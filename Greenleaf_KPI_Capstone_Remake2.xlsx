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6848b0fceaef76bf/ROBERTSON COLLEGE/10 ANALYTICS/POD PROJECTS/EXCEL POD PROJECT/GREENLEAF PROJECT PORTFOLIO/"/>
    </mc:Choice>
  </mc:AlternateContent>
  <xr:revisionPtr revIDLastSave="0" documentId="13_ncr:20001_{469ACB85-0776-4257-91A2-29F886E55728}" xr6:coauthVersionLast="47" xr6:coauthVersionMax="47" xr10:uidLastSave="{00000000-0000-0000-0000-000000000000}"/>
  <bookViews>
    <workbookView minimized="1" xWindow="368" yWindow="368" windowWidth="16199" windowHeight="8295" firstSheet="2" activeTab="5" xr2:uid="{B310B1DA-1A8E-481D-899E-84A95B2E39AD}"/>
  </bookViews>
  <sheets>
    <sheet name="Raw_Data" sheetId="11" r:id="rId1"/>
    <sheet name="Greenleaf_Working_Data" sheetId="1" r:id="rId2"/>
    <sheet name="Pivot Table &amp; Charts" sheetId="2" r:id="rId3"/>
    <sheet name="Charts" sheetId="3" r:id="rId4"/>
    <sheet name="Dashboard" sheetId="9" r:id="rId5"/>
    <sheet name="Dashboard (2)" sheetId="12" r:id="rId6"/>
  </sheets>
  <externalReferences>
    <externalReference r:id="rId7"/>
  </externalReferences>
  <definedNames>
    <definedName name="_xlchart.v5.0" hidden="1">'Pivot Table &amp; Charts'!$B$301</definedName>
    <definedName name="_xlchart.v5.1" hidden="1">'Pivot Table &amp; Charts'!$B$302:$B$311</definedName>
    <definedName name="_xlchart.v5.2" hidden="1">'Pivot Table &amp; Charts'!$C$301</definedName>
    <definedName name="_xlchart.v5.3" hidden="1">'Pivot Table &amp; Charts'!$C$302:$C$311</definedName>
    <definedName name="Slicer_Months__Order_Date">#N/A</definedName>
    <definedName name="Slicer_Product_Category">#N/A</definedName>
    <definedName name="Slicer_State">#N/A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0" i="2" l="1"/>
  <c r="H173" i="2" l="1"/>
  <c r="H5" i="2" l="1"/>
  <c r="G5" i="2"/>
  <c r="F176" i="2"/>
  <c r="F184" i="2"/>
  <c r="D146" i="2" l="1"/>
  <c r="E146" i="2" s="1"/>
  <c r="D147" i="2"/>
  <c r="E147" i="2" s="1"/>
  <c r="D148" i="2"/>
  <c r="E148" i="2" s="1"/>
  <c r="D149" i="2"/>
  <c r="E149" i="2" s="1"/>
  <c r="D145" i="2"/>
  <c r="E145" i="2" s="1"/>
  <c r="E137" i="2"/>
  <c r="E138" i="2"/>
  <c r="E139" i="2"/>
  <c r="E140" i="2"/>
  <c r="E136" i="2"/>
  <c r="E128" i="2"/>
  <c r="E125" i="2"/>
  <c r="E124" i="2"/>
  <c r="E127" i="2"/>
  <c r="E126"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D70" i="2" l="1"/>
  <c r="D71" i="2"/>
  <c r="D72" i="2"/>
  <c r="D73" i="2"/>
  <c r="D69" i="2"/>
  <c r="G70" i="2"/>
  <c r="G71" i="2"/>
  <c r="G72" i="2"/>
  <c r="G73" i="2"/>
  <c r="G69" i="2"/>
  <c r="E70" i="2"/>
  <c r="E71" i="2"/>
  <c r="E72" i="2"/>
  <c r="E73" i="2"/>
  <c r="E69" i="2"/>
  <c r="D50" i="2"/>
  <c r="D46" i="2"/>
  <c r="D45" i="2"/>
  <c r="D47" i="2"/>
  <c r="D44" i="2"/>
  <c r="D42" i="2"/>
  <c r="D51" i="2"/>
  <c r="D43" i="2"/>
  <c r="D48" i="2"/>
  <c r="D49" i="2"/>
  <c r="C50" i="2"/>
  <c r="C46" i="2"/>
  <c r="C45" i="2"/>
  <c r="C47" i="2"/>
  <c r="C44" i="2"/>
  <c r="C42" i="2"/>
  <c r="C51" i="2"/>
  <c r="C43" i="2"/>
  <c r="C48" i="2"/>
  <c r="C49" i="2"/>
  <c r="O1001" i="1" a="1"/>
  <c r="O1001" i="1" s="1"/>
  <c r="M1001" i="1"/>
  <c r="L1001" i="1"/>
  <c r="O1000" i="1" a="1"/>
  <c r="O1000" i="1" s="1"/>
  <c r="M1000" i="1"/>
  <c r="L1000" i="1"/>
  <c r="O999" i="1" a="1"/>
  <c r="O999" i="1" s="1"/>
  <c r="M999" i="1"/>
  <c r="L999" i="1"/>
  <c r="O998" i="1" a="1"/>
  <c r="O998" i="1" s="1"/>
  <c r="M998" i="1"/>
  <c r="L998" i="1"/>
  <c r="O997" i="1" a="1"/>
  <c r="O997" i="1" s="1"/>
  <c r="M997" i="1"/>
  <c r="L997" i="1"/>
  <c r="O996" i="1" a="1"/>
  <c r="O996" i="1" s="1"/>
  <c r="M996" i="1"/>
  <c r="L996" i="1"/>
  <c r="O995" i="1" a="1"/>
  <c r="O995" i="1" s="1"/>
  <c r="M995" i="1"/>
  <c r="L995" i="1"/>
  <c r="O994" i="1" a="1"/>
  <c r="O994" i="1" s="1"/>
  <c r="M994" i="1"/>
  <c r="L994" i="1"/>
  <c r="O993" i="1" a="1"/>
  <c r="O993" i="1" s="1"/>
  <c r="M993" i="1"/>
  <c r="L993" i="1"/>
  <c r="O992" i="1" a="1"/>
  <c r="O992" i="1" s="1"/>
  <c r="M992" i="1"/>
  <c r="L992" i="1"/>
  <c r="O991" i="1" a="1"/>
  <c r="O991" i="1" s="1"/>
  <c r="M991" i="1"/>
  <c r="L991" i="1"/>
  <c r="O990" i="1" a="1"/>
  <c r="O990" i="1" s="1"/>
  <c r="M990" i="1"/>
  <c r="L990" i="1"/>
  <c r="O989" i="1" a="1"/>
  <c r="O989" i="1" s="1"/>
  <c r="M989" i="1"/>
  <c r="L989" i="1"/>
  <c r="O988" i="1" a="1"/>
  <c r="O988" i="1" s="1"/>
  <c r="M988" i="1"/>
  <c r="L988" i="1"/>
  <c r="O987" i="1" a="1"/>
  <c r="O987" i="1" s="1"/>
  <c r="M987" i="1"/>
  <c r="L987" i="1"/>
  <c r="O986" i="1" a="1"/>
  <c r="O986" i="1" s="1"/>
  <c r="M986" i="1"/>
  <c r="L986" i="1"/>
  <c r="O985" i="1" a="1"/>
  <c r="O985" i="1" s="1"/>
  <c r="M985" i="1"/>
  <c r="L985" i="1"/>
  <c r="O984" i="1" a="1"/>
  <c r="O984" i="1" s="1"/>
  <c r="M984" i="1"/>
  <c r="L984" i="1"/>
  <c r="O983" i="1" a="1"/>
  <c r="O983" i="1" s="1"/>
  <c r="M983" i="1"/>
  <c r="L983" i="1"/>
  <c r="O982" i="1" a="1"/>
  <c r="O982" i="1" s="1"/>
  <c r="M982" i="1"/>
  <c r="L982" i="1"/>
  <c r="O981" i="1" a="1"/>
  <c r="O981" i="1" s="1"/>
  <c r="M981" i="1"/>
  <c r="L981" i="1"/>
  <c r="O980" i="1" a="1"/>
  <c r="O980" i="1" s="1"/>
  <c r="M980" i="1"/>
  <c r="L980" i="1"/>
  <c r="O979" i="1" a="1"/>
  <c r="O979" i="1" s="1"/>
  <c r="M979" i="1"/>
  <c r="L979" i="1"/>
  <c r="O978" i="1" a="1"/>
  <c r="O978" i="1" s="1"/>
  <c r="M978" i="1"/>
  <c r="L978" i="1"/>
  <c r="O977" i="1" a="1"/>
  <c r="O977" i="1" s="1"/>
  <c r="M977" i="1"/>
  <c r="L977" i="1"/>
  <c r="O976" i="1" a="1"/>
  <c r="O976" i="1" s="1"/>
  <c r="M976" i="1"/>
  <c r="L976" i="1"/>
  <c r="O975" i="1" a="1"/>
  <c r="O975" i="1" s="1"/>
  <c r="M975" i="1"/>
  <c r="L975" i="1"/>
  <c r="O974" i="1" a="1"/>
  <c r="O974" i="1" s="1"/>
  <c r="M974" i="1"/>
  <c r="L974" i="1"/>
  <c r="O973" i="1" a="1"/>
  <c r="O973" i="1" s="1"/>
  <c r="M973" i="1"/>
  <c r="L973" i="1"/>
  <c r="O972" i="1" a="1"/>
  <c r="O972" i="1" s="1"/>
  <c r="M972" i="1"/>
  <c r="L972" i="1"/>
  <c r="O971" i="1" a="1"/>
  <c r="O971" i="1" s="1"/>
  <c r="M971" i="1"/>
  <c r="L971" i="1"/>
  <c r="O970" i="1" a="1"/>
  <c r="O970" i="1" s="1"/>
  <c r="M970" i="1"/>
  <c r="L970" i="1"/>
  <c r="O969" i="1" a="1"/>
  <c r="O969" i="1" s="1"/>
  <c r="M969" i="1"/>
  <c r="L969" i="1"/>
  <c r="O968" i="1" a="1"/>
  <c r="O968" i="1" s="1"/>
  <c r="M968" i="1"/>
  <c r="L968" i="1"/>
  <c r="O967" i="1" a="1"/>
  <c r="O967" i="1" s="1"/>
  <c r="M967" i="1"/>
  <c r="L967" i="1"/>
  <c r="O966" i="1" a="1"/>
  <c r="O966" i="1" s="1"/>
  <c r="M966" i="1"/>
  <c r="L966" i="1"/>
  <c r="O965" i="1" a="1"/>
  <c r="O965" i="1" s="1"/>
  <c r="M965" i="1"/>
  <c r="L965" i="1"/>
  <c r="O964" i="1" a="1"/>
  <c r="O964" i="1" s="1"/>
  <c r="M964" i="1"/>
  <c r="L964" i="1"/>
  <c r="O963" i="1" a="1"/>
  <c r="O963" i="1" s="1"/>
  <c r="M963" i="1"/>
  <c r="L963" i="1"/>
  <c r="O962" i="1" a="1"/>
  <c r="O962" i="1" s="1"/>
  <c r="M962" i="1"/>
  <c r="L962" i="1"/>
  <c r="O961" i="1" a="1"/>
  <c r="O961" i="1" s="1"/>
  <c r="M961" i="1"/>
  <c r="L961" i="1"/>
  <c r="O960" i="1" a="1"/>
  <c r="O960" i="1" s="1"/>
  <c r="M960" i="1"/>
  <c r="L960" i="1"/>
  <c r="O959" i="1" a="1"/>
  <c r="O959" i="1" s="1"/>
  <c r="M959" i="1"/>
  <c r="L959" i="1"/>
  <c r="O958" i="1" a="1"/>
  <c r="O958" i="1" s="1"/>
  <c r="M958" i="1"/>
  <c r="L958" i="1"/>
  <c r="O957" i="1" a="1"/>
  <c r="O957" i="1" s="1"/>
  <c r="M957" i="1"/>
  <c r="L957" i="1"/>
  <c r="O956" i="1" a="1"/>
  <c r="O956" i="1" s="1"/>
  <c r="M956" i="1"/>
  <c r="L956" i="1"/>
  <c r="O955" i="1" a="1"/>
  <c r="O955" i="1" s="1"/>
  <c r="M955" i="1"/>
  <c r="L955" i="1"/>
  <c r="O954" i="1" a="1"/>
  <c r="O954" i="1" s="1"/>
  <c r="M954" i="1"/>
  <c r="L954" i="1"/>
  <c r="O953" i="1" a="1"/>
  <c r="O953" i="1" s="1"/>
  <c r="M953" i="1"/>
  <c r="L953" i="1"/>
  <c r="O952" i="1" a="1"/>
  <c r="O952" i="1" s="1"/>
  <c r="M952" i="1"/>
  <c r="L952" i="1"/>
  <c r="O951" i="1" a="1"/>
  <c r="O951" i="1" s="1"/>
  <c r="M951" i="1"/>
  <c r="L951" i="1"/>
  <c r="O950" i="1" a="1"/>
  <c r="O950" i="1" s="1"/>
  <c r="M950" i="1"/>
  <c r="L950" i="1"/>
  <c r="O949" i="1" a="1"/>
  <c r="O949" i="1" s="1"/>
  <c r="M949" i="1"/>
  <c r="L949" i="1"/>
  <c r="O948" i="1" a="1"/>
  <c r="O948" i="1" s="1"/>
  <c r="M948" i="1"/>
  <c r="L948" i="1"/>
  <c r="O947" i="1" a="1"/>
  <c r="O947" i="1" s="1"/>
  <c r="M947" i="1"/>
  <c r="L947" i="1"/>
  <c r="O946" i="1" a="1"/>
  <c r="O946" i="1" s="1"/>
  <c r="M946" i="1"/>
  <c r="L946" i="1"/>
  <c r="O945" i="1" a="1"/>
  <c r="O945" i="1" s="1"/>
  <c r="M945" i="1"/>
  <c r="L945" i="1"/>
  <c r="O944" i="1" a="1"/>
  <c r="O944" i="1" s="1"/>
  <c r="M944" i="1"/>
  <c r="L944" i="1"/>
  <c r="O943" i="1" a="1"/>
  <c r="O943" i="1" s="1"/>
  <c r="M943" i="1"/>
  <c r="L943" i="1"/>
  <c r="O942" i="1" a="1"/>
  <c r="O942" i="1" s="1"/>
  <c r="M942" i="1"/>
  <c r="L942" i="1"/>
  <c r="O941" i="1" a="1"/>
  <c r="O941" i="1" s="1"/>
  <c r="M941" i="1"/>
  <c r="L941" i="1"/>
  <c r="O940" i="1" a="1"/>
  <c r="O940" i="1" s="1"/>
  <c r="M940" i="1"/>
  <c r="L940" i="1"/>
  <c r="O939" i="1" a="1"/>
  <c r="O939" i="1" s="1"/>
  <c r="M939" i="1"/>
  <c r="L939" i="1"/>
  <c r="O938" i="1" a="1"/>
  <c r="O938" i="1" s="1"/>
  <c r="M938" i="1"/>
  <c r="L938" i="1"/>
  <c r="O937" i="1" a="1"/>
  <c r="O937" i="1" s="1"/>
  <c r="M937" i="1"/>
  <c r="L937" i="1"/>
  <c r="O936" i="1" a="1"/>
  <c r="O936" i="1" s="1"/>
  <c r="M936" i="1"/>
  <c r="L936" i="1"/>
  <c r="O935" i="1" a="1"/>
  <c r="O935" i="1" s="1"/>
  <c r="M935" i="1"/>
  <c r="L935" i="1"/>
  <c r="O934" i="1" a="1"/>
  <c r="O934" i="1" s="1"/>
  <c r="M934" i="1"/>
  <c r="L934" i="1"/>
  <c r="O933" i="1" a="1"/>
  <c r="O933" i="1" s="1"/>
  <c r="M933" i="1"/>
  <c r="L933" i="1"/>
  <c r="O932" i="1" a="1"/>
  <c r="O932" i="1" s="1"/>
  <c r="M932" i="1"/>
  <c r="L932" i="1"/>
  <c r="O931" i="1" a="1"/>
  <c r="O931" i="1" s="1"/>
  <c r="M931" i="1"/>
  <c r="L931" i="1"/>
  <c r="O930" i="1" a="1"/>
  <c r="O930" i="1" s="1"/>
  <c r="M930" i="1"/>
  <c r="L930" i="1"/>
  <c r="N930" i="1" s="1"/>
  <c r="O929" i="1" a="1"/>
  <c r="O929" i="1" s="1"/>
  <c r="M929" i="1"/>
  <c r="L929" i="1"/>
  <c r="O928" i="1" a="1"/>
  <c r="O928" i="1" s="1"/>
  <c r="M928" i="1"/>
  <c r="L928" i="1"/>
  <c r="O927" i="1" a="1"/>
  <c r="O927" i="1" s="1"/>
  <c r="M927" i="1"/>
  <c r="L927" i="1"/>
  <c r="O926" i="1" a="1"/>
  <c r="O926" i="1" s="1"/>
  <c r="M926" i="1"/>
  <c r="L926" i="1"/>
  <c r="O925" i="1" a="1"/>
  <c r="O925" i="1" s="1"/>
  <c r="M925" i="1"/>
  <c r="L925" i="1"/>
  <c r="O924" i="1" a="1"/>
  <c r="O924" i="1" s="1"/>
  <c r="M924" i="1"/>
  <c r="L924" i="1"/>
  <c r="O923" i="1" a="1"/>
  <c r="O923" i="1" s="1"/>
  <c r="M923" i="1"/>
  <c r="L923" i="1"/>
  <c r="O922" i="1" a="1"/>
  <c r="O922" i="1" s="1"/>
  <c r="M922" i="1"/>
  <c r="L922" i="1"/>
  <c r="O921" i="1" a="1"/>
  <c r="O921" i="1" s="1"/>
  <c r="M921" i="1"/>
  <c r="L921" i="1"/>
  <c r="O920" i="1" a="1"/>
  <c r="O920" i="1" s="1"/>
  <c r="M920" i="1"/>
  <c r="L920" i="1"/>
  <c r="O919" i="1" a="1"/>
  <c r="O919" i="1" s="1"/>
  <c r="M919" i="1"/>
  <c r="L919" i="1"/>
  <c r="O918" i="1" a="1"/>
  <c r="O918" i="1" s="1"/>
  <c r="M918" i="1"/>
  <c r="L918" i="1"/>
  <c r="O917" i="1" a="1"/>
  <c r="O917" i="1" s="1"/>
  <c r="M917" i="1"/>
  <c r="L917" i="1"/>
  <c r="O916" i="1" a="1"/>
  <c r="O916" i="1" s="1"/>
  <c r="M916" i="1"/>
  <c r="L916" i="1"/>
  <c r="O915" i="1" a="1"/>
  <c r="O915" i="1" s="1"/>
  <c r="M915" i="1"/>
  <c r="L915" i="1"/>
  <c r="O914" i="1" a="1"/>
  <c r="O914" i="1" s="1"/>
  <c r="M914" i="1"/>
  <c r="L914" i="1"/>
  <c r="O913" i="1" a="1"/>
  <c r="O913" i="1" s="1"/>
  <c r="M913" i="1"/>
  <c r="L913" i="1"/>
  <c r="O912" i="1" a="1"/>
  <c r="O912" i="1" s="1"/>
  <c r="M912" i="1"/>
  <c r="L912" i="1"/>
  <c r="O911" i="1" a="1"/>
  <c r="O911" i="1" s="1"/>
  <c r="M911" i="1"/>
  <c r="L911" i="1"/>
  <c r="O910" i="1" a="1"/>
  <c r="O910" i="1" s="1"/>
  <c r="M910" i="1"/>
  <c r="L910" i="1"/>
  <c r="O909" i="1" a="1"/>
  <c r="O909" i="1" s="1"/>
  <c r="M909" i="1"/>
  <c r="L909" i="1"/>
  <c r="O908" i="1" a="1"/>
  <c r="O908" i="1" s="1"/>
  <c r="M908" i="1"/>
  <c r="L908" i="1"/>
  <c r="O907" i="1" a="1"/>
  <c r="O907" i="1" s="1"/>
  <c r="M907" i="1"/>
  <c r="L907" i="1"/>
  <c r="O906" i="1" a="1"/>
  <c r="O906" i="1" s="1"/>
  <c r="M906" i="1"/>
  <c r="L906" i="1"/>
  <c r="O905" i="1" a="1"/>
  <c r="O905" i="1" s="1"/>
  <c r="M905" i="1"/>
  <c r="L905" i="1"/>
  <c r="O904" i="1" a="1"/>
  <c r="O904" i="1" s="1"/>
  <c r="M904" i="1"/>
  <c r="L904" i="1"/>
  <c r="O903" i="1" a="1"/>
  <c r="O903" i="1" s="1"/>
  <c r="M903" i="1"/>
  <c r="L903" i="1"/>
  <c r="O902" i="1" a="1"/>
  <c r="O902" i="1" s="1"/>
  <c r="M902" i="1"/>
  <c r="L902" i="1"/>
  <c r="O901" i="1" a="1"/>
  <c r="O901" i="1" s="1"/>
  <c r="M901" i="1"/>
  <c r="L901" i="1"/>
  <c r="O900" i="1" a="1"/>
  <c r="O900" i="1" s="1"/>
  <c r="M900" i="1"/>
  <c r="L900" i="1"/>
  <c r="O899" i="1" a="1"/>
  <c r="O899" i="1" s="1"/>
  <c r="M899" i="1"/>
  <c r="L899" i="1"/>
  <c r="O898" i="1" a="1"/>
  <c r="O898" i="1" s="1"/>
  <c r="M898" i="1"/>
  <c r="L898" i="1"/>
  <c r="O897" i="1" a="1"/>
  <c r="O897" i="1" s="1"/>
  <c r="M897" i="1"/>
  <c r="L897" i="1"/>
  <c r="O896" i="1" a="1"/>
  <c r="O896" i="1" s="1"/>
  <c r="M896" i="1"/>
  <c r="L896" i="1"/>
  <c r="O895" i="1" a="1"/>
  <c r="O895" i="1" s="1"/>
  <c r="M895" i="1"/>
  <c r="L895" i="1"/>
  <c r="O894" i="1" a="1"/>
  <c r="O894" i="1" s="1"/>
  <c r="M894" i="1"/>
  <c r="L894" i="1"/>
  <c r="O893" i="1" a="1"/>
  <c r="O893" i="1" s="1"/>
  <c r="M893" i="1"/>
  <c r="L893" i="1"/>
  <c r="O892" i="1" a="1"/>
  <c r="O892" i="1" s="1"/>
  <c r="M892" i="1"/>
  <c r="L892" i="1"/>
  <c r="O891" i="1" a="1"/>
  <c r="O891" i="1" s="1"/>
  <c r="M891" i="1"/>
  <c r="L891" i="1"/>
  <c r="O890" i="1" a="1"/>
  <c r="O890" i="1" s="1"/>
  <c r="M890" i="1"/>
  <c r="L890" i="1"/>
  <c r="O889" i="1" a="1"/>
  <c r="O889" i="1" s="1"/>
  <c r="M889" i="1"/>
  <c r="L889" i="1"/>
  <c r="O888" i="1" a="1"/>
  <c r="O888" i="1" s="1"/>
  <c r="M888" i="1"/>
  <c r="L888" i="1"/>
  <c r="O887" i="1" a="1"/>
  <c r="O887" i="1" s="1"/>
  <c r="M887" i="1"/>
  <c r="L887" i="1"/>
  <c r="O886" i="1" a="1"/>
  <c r="O886" i="1" s="1"/>
  <c r="M886" i="1"/>
  <c r="L886" i="1"/>
  <c r="O885" i="1" a="1"/>
  <c r="O885" i="1" s="1"/>
  <c r="M885" i="1"/>
  <c r="L885" i="1"/>
  <c r="O884" i="1" a="1"/>
  <c r="O884" i="1" s="1"/>
  <c r="M884" i="1"/>
  <c r="L884" i="1"/>
  <c r="O883" i="1" a="1"/>
  <c r="O883" i="1" s="1"/>
  <c r="M883" i="1"/>
  <c r="L883" i="1"/>
  <c r="O882" i="1" a="1"/>
  <c r="O882" i="1" s="1"/>
  <c r="M882" i="1"/>
  <c r="L882" i="1"/>
  <c r="O881" i="1" a="1"/>
  <c r="O881" i="1" s="1"/>
  <c r="M881" i="1"/>
  <c r="L881" i="1"/>
  <c r="O880" i="1" a="1"/>
  <c r="O880" i="1" s="1"/>
  <c r="M880" i="1"/>
  <c r="L880" i="1"/>
  <c r="O879" i="1" a="1"/>
  <c r="O879" i="1" s="1"/>
  <c r="M879" i="1"/>
  <c r="L879" i="1"/>
  <c r="O878" i="1" a="1"/>
  <c r="O878" i="1" s="1"/>
  <c r="M878" i="1"/>
  <c r="L878" i="1"/>
  <c r="O877" i="1" a="1"/>
  <c r="O877" i="1" s="1"/>
  <c r="M877" i="1"/>
  <c r="L877" i="1"/>
  <c r="O876" i="1" a="1"/>
  <c r="O876" i="1" s="1"/>
  <c r="M876" i="1"/>
  <c r="L876" i="1"/>
  <c r="O875" i="1" a="1"/>
  <c r="O875" i="1" s="1"/>
  <c r="M875" i="1"/>
  <c r="L875" i="1"/>
  <c r="O874" i="1" a="1"/>
  <c r="O874" i="1" s="1"/>
  <c r="M874" i="1"/>
  <c r="L874" i="1"/>
  <c r="O873" i="1" a="1"/>
  <c r="O873" i="1" s="1"/>
  <c r="M873" i="1"/>
  <c r="L873" i="1"/>
  <c r="O872" i="1" a="1"/>
  <c r="O872" i="1" s="1"/>
  <c r="M872" i="1"/>
  <c r="L872" i="1"/>
  <c r="O871" i="1" a="1"/>
  <c r="O871" i="1" s="1"/>
  <c r="M871" i="1"/>
  <c r="L871" i="1"/>
  <c r="O870" i="1" a="1"/>
  <c r="O870" i="1" s="1"/>
  <c r="M870" i="1"/>
  <c r="L870" i="1"/>
  <c r="O869" i="1" a="1"/>
  <c r="O869" i="1" s="1"/>
  <c r="M869" i="1"/>
  <c r="L869" i="1"/>
  <c r="O868" i="1" a="1"/>
  <c r="O868" i="1" s="1"/>
  <c r="M868" i="1"/>
  <c r="L868" i="1"/>
  <c r="O867" i="1" a="1"/>
  <c r="O867" i="1" s="1"/>
  <c r="M867" i="1"/>
  <c r="L867" i="1"/>
  <c r="O866" i="1" a="1"/>
  <c r="O866" i="1" s="1"/>
  <c r="M866" i="1"/>
  <c r="L866" i="1"/>
  <c r="O865" i="1" a="1"/>
  <c r="O865" i="1" s="1"/>
  <c r="M865" i="1"/>
  <c r="L865" i="1"/>
  <c r="O864" i="1" a="1"/>
  <c r="O864" i="1" s="1"/>
  <c r="M864" i="1"/>
  <c r="L864" i="1"/>
  <c r="O863" i="1" a="1"/>
  <c r="O863" i="1" s="1"/>
  <c r="M863" i="1"/>
  <c r="L863" i="1"/>
  <c r="O862" i="1" a="1"/>
  <c r="O862" i="1" s="1"/>
  <c r="M862" i="1"/>
  <c r="L862" i="1"/>
  <c r="O861" i="1" a="1"/>
  <c r="O861" i="1" s="1"/>
  <c r="M861" i="1"/>
  <c r="L861" i="1"/>
  <c r="O860" i="1" a="1"/>
  <c r="O860" i="1" s="1"/>
  <c r="M860" i="1"/>
  <c r="L860" i="1"/>
  <c r="O859" i="1" a="1"/>
  <c r="O859" i="1" s="1"/>
  <c r="M859" i="1"/>
  <c r="L859" i="1"/>
  <c r="O858" i="1" a="1"/>
  <c r="O858" i="1" s="1"/>
  <c r="M858" i="1"/>
  <c r="L858" i="1"/>
  <c r="O857" i="1" a="1"/>
  <c r="O857" i="1" s="1"/>
  <c r="M857" i="1"/>
  <c r="L857" i="1"/>
  <c r="O856" i="1" a="1"/>
  <c r="O856" i="1" s="1"/>
  <c r="M856" i="1"/>
  <c r="L856" i="1"/>
  <c r="O855" i="1" a="1"/>
  <c r="O855" i="1" s="1"/>
  <c r="M855" i="1"/>
  <c r="L855" i="1"/>
  <c r="O854" i="1" a="1"/>
  <c r="O854" i="1" s="1"/>
  <c r="M854" i="1"/>
  <c r="L854" i="1"/>
  <c r="O853" i="1" a="1"/>
  <c r="O853" i="1" s="1"/>
  <c r="M853" i="1"/>
  <c r="L853" i="1"/>
  <c r="O852" i="1" a="1"/>
  <c r="O852" i="1" s="1"/>
  <c r="M852" i="1"/>
  <c r="L852" i="1"/>
  <c r="O851" i="1" a="1"/>
  <c r="O851" i="1" s="1"/>
  <c r="M851" i="1"/>
  <c r="L851" i="1"/>
  <c r="O850" i="1" a="1"/>
  <c r="O850" i="1" s="1"/>
  <c r="M850" i="1"/>
  <c r="L850" i="1"/>
  <c r="O849" i="1" a="1"/>
  <c r="O849" i="1" s="1"/>
  <c r="M849" i="1"/>
  <c r="L849" i="1"/>
  <c r="O848" i="1" a="1"/>
  <c r="O848" i="1" s="1"/>
  <c r="M848" i="1"/>
  <c r="L848" i="1"/>
  <c r="O847" i="1" a="1"/>
  <c r="O847" i="1" s="1"/>
  <c r="M847" i="1"/>
  <c r="L847" i="1"/>
  <c r="O846" i="1" a="1"/>
  <c r="O846" i="1" s="1"/>
  <c r="M846" i="1"/>
  <c r="L846" i="1"/>
  <c r="O845" i="1" a="1"/>
  <c r="O845" i="1" s="1"/>
  <c r="M845" i="1"/>
  <c r="L845" i="1"/>
  <c r="O844" i="1" a="1"/>
  <c r="O844" i="1" s="1"/>
  <c r="M844" i="1"/>
  <c r="L844" i="1"/>
  <c r="O843" i="1" a="1"/>
  <c r="O843" i="1" s="1"/>
  <c r="M843" i="1"/>
  <c r="L843" i="1"/>
  <c r="O842" i="1" a="1"/>
  <c r="O842" i="1" s="1"/>
  <c r="M842" i="1"/>
  <c r="L842" i="1"/>
  <c r="O841" i="1" a="1"/>
  <c r="O841" i="1" s="1"/>
  <c r="M841" i="1"/>
  <c r="L841" i="1"/>
  <c r="O840" i="1" a="1"/>
  <c r="O840" i="1" s="1"/>
  <c r="M840" i="1"/>
  <c r="L840" i="1"/>
  <c r="O839" i="1" a="1"/>
  <c r="O839" i="1" s="1"/>
  <c r="M839" i="1"/>
  <c r="L839" i="1"/>
  <c r="O838" i="1" a="1"/>
  <c r="O838" i="1" s="1"/>
  <c r="M838" i="1"/>
  <c r="L838" i="1"/>
  <c r="O837" i="1" a="1"/>
  <c r="O837" i="1" s="1"/>
  <c r="M837" i="1"/>
  <c r="L837" i="1"/>
  <c r="O836" i="1" a="1"/>
  <c r="O836" i="1" s="1"/>
  <c r="M836" i="1"/>
  <c r="L836" i="1"/>
  <c r="O835" i="1" a="1"/>
  <c r="O835" i="1" s="1"/>
  <c r="M835" i="1"/>
  <c r="L835" i="1"/>
  <c r="O834" i="1" a="1"/>
  <c r="O834" i="1" s="1"/>
  <c r="M834" i="1"/>
  <c r="L834" i="1"/>
  <c r="O833" i="1" a="1"/>
  <c r="O833" i="1" s="1"/>
  <c r="M833" i="1"/>
  <c r="L833" i="1"/>
  <c r="O832" i="1" a="1"/>
  <c r="O832" i="1" s="1"/>
  <c r="M832" i="1"/>
  <c r="L832" i="1"/>
  <c r="O831" i="1" a="1"/>
  <c r="O831" i="1" s="1"/>
  <c r="M831" i="1"/>
  <c r="L831" i="1"/>
  <c r="O830" i="1" a="1"/>
  <c r="O830" i="1" s="1"/>
  <c r="M830" i="1"/>
  <c r="L830" i="1"/>
  <c r="O829" i="1" a="1"/>
  <c r="O829" i="1" s="1"/>
  <c r="M829" i="1"/>
  <c r="L829" i="1"/>
  <c r="O828" i="1" a="1"/>
  <c r="O828" i="1" s="1"/>
  <c r="M828" i="1"/>
  <c r="L828" i="1"/>
  <c r="O827" i="1" a="1"/>
  <c r="O827" i="1" s="1"/>
  <c r="M827" i="1"/>
  <c r="L827" i="1"/>
  <c r="O826" i="1" a="1"/>
  <c r="O826" i="1" s="1"/>
  <c r="M826" i="1"/>
  <c r="L826" i="1"/>
  <c r="O825" i="1" a="1"/>
  <c r="O825" i="1" s="1"/>
  <c r="M825" i="1"/>
  <c r="L825" i="1"/>
  <c r="O824" i="1" a="1"/>
  <c r="O824" i="1" s="1"/>
  <c r="M824" i="1"/>
  <c r="L824" i="1"/>
  <c r="O823" i="1" a="1"/>
  <c r="O823" i="1" s="1"/>
  <c r="M823" i="1"/>
  <c r="L823" i="1"/>
  <c r="O822" i="1" a="1"/>
  <c r="O822" i="1" s="1"/>
  <c r="M822" i="1"/>
  <c r="L822" i="1"/>
  <c r="O821" i="1" a="1"/>
  <c r="O821" i="1" s="1"/>
  <c r="M821" i="1"/>
  <c r="L821" i="1"/>
  <c r="O820" i="1" a="1"/>
  <c r="O820" i="1" s="1"/>
  <c r="M820" i="1"/>
  <c r="L820" i="1"/>
  <c r="O819" i="1" a="1"/>
  <c r="O819" i="1" s="1"/>
  <c r="M819" i="1"/>
  <c r="L819" i="1"/>
  <c r="O818" i="1" a="1"/>
  <c r="O818" i="1" s="1"/>
  <c r="M818" i="1"/>
  <c r="L818" i="1"/>
  <c r="O817" i="1" a="1"/>
  <c r="O817" i="1" s="1"/>
  <c r="M817" i="1"/>
  <c r="L817" i="1"/>
  <c r="O816" i="1" a="1"/>
  <c r="O816" i="1" s="1"/>
  <c r="M816" i="1"/>
  <c r="L816" i="1"/>
  <c r="O815" i="1" a="1"/>
  <c r="O815" i="1" s="1"/>
  <c r="M815" i="1"/>
  <c r="L815" i="1"/>
  <c r="O814" i="1" a="1"/>
  <c r="O814" i="1" s="1"/>
  <c r="M814" i="1"/>
  <c r="L814" i="1"/>
  <c r="O813" i="1" a="1"/>
  <c r="O813" i="1" s="1"/>
  <c r="M813" i="1"/>
  <c r="L813" i="1"/>
  <c r="O812" i="1" a="1"/>
  <c r="O812" i="1" s="1"/>
  <c r="M812" i="1"/>
  <c r="L812" i="1"/>
  <c r="O811" i="1" a="1"/>
  <c r="O811" i="1" s="1"/>
  <c r="M811" i="1"/>
  <c r="L811" i="1"/>
  <c r="O810" i="1" a="1"/>
  <c r="O810" i="1" s="1"/>
  <c r="M810" i="1"/>
  <c r="L810" i="1"/>
  <c r="O809" i="1" a="1"/>
  <c r="O809" i="1" s="1"/>
  <c r="M809" i="1"/>
  <c r="L809" i="1"/>
  <c r="O808" i="1" a="1"/>
  <c r="O808" i="1" s="1"/>
  <c r="M808" i="1"/>
  <c r="L808" i="1"/>
  <c r="O807" i="1" a="1"/>
  <c r="O807" i="1" s="1"/>
  <c r="M807" i="1"/>
  <c r="L807" i="1"/>
  <c r="O806" i="1" a="1"/>
  <c r="O806" i="1" s="1"/>
  <c r="M806" i="1"/>
  <c r="L806" i="1"/>
  <c r="O805" i="1" a="1"/>
  <c r="O805" i="1" s="1"/>
  <c r="M805" i="1"/>
  <c r="L805" i="1"/>
  <c r="O804" i="1" a="1"/>
  <c r="O804" i="1" s="1"/>
  <c r="M804" i="1"/>
  <c r="L804" i="1"/>
  <c r="O803" i="1" a="1"/>
  <c r="O803" i="1" s="1"/>
  <c r="M803" i="1"/>
  <c r="L803" i="1"/>
  <c r="O802" i="1" a="1"/>
  <c r="O802" i="1" s="1"/>
  <c r="M802" i="1"/>
  <c r="L802" i="1"/>
  <c r="O801" i="1" a="1"/>
  <c r="O801" i="1" s="1"/>
  <c r="M801" i="1"/>
  <c r="L801" i="1"/>
  <c r="O800" i="1" a="1"/>
  <c r="O800" i="1" s="1"/>
  <c r="M800" i="1"/>
  <c r="L800" i="1"/>
  <c r="O799" i="1" a="1"/>
  <c r="O799" i="1" s="1"/>
  <c r="M799" i="1"/>
  <c r="L799" i="1"/>
  <c r="O798" i="1" a="1"/>
  <c r="O798" i="1" s="1"/>
  <c r="M798" i="1"/>
  <c r="L798" i="1"/>
  <c r="O797" i="1" a="1"/>
  <c r="O797" i="1" s="1"/>
  <c r="M797" i="1"/>
  <c r="L797" i="1"/>
  <c r="O796" i="1" a="1"/>
  <c r="O796" i="1" s="1"/>
  <c r="M796" i="1"/>
  <c r="L796" i="1"/>
  <c r="O795" i="1" a="1"/>
  <c r="O795" i="1" s="1"/>
  <c r="M795" i="1"/>
  <c r="L795" i="1"/>
  <c r="O794" i="1" a="1"/>
  <c r="O794" i="1" s="1"/>
  <c r="M794" i="1"/>
  <c r="L794" i="1"/>
  <c r="O793" i="1" a="1"/>
  <c r="O793" i="1" s="1"/>
  <c r="M793" i="1"/>
  <c r="L793" i="1"/>
  <c r="O792" i="1" a="1"/>
  <c r="O792" i="1" s="1"/>
  <c r="M792" i="1"/>
  <c r="L792" i="1"/>
  <c r="O791" i="1" a="1"/>
  <c r="O791" i="1" s="1"/>
  <c r="M791" i="1"/>
  <c r="L791" i="1"/>
  <c r="O790" i="1" a="1"/>
  <c r="O790" i="1" s="1"/>
  <c r="M790" i="1"/>
  <c r="L790" i="1"/>
  <c r="O789" i="1" a="1"/>
  <c r="O789" i="1" s="1"/>
  <c r="M789" i="1"/>
  <c r="L789" i="1"/>
  <c r="O788" i="1" a="1"/>
  <c r="O788" i="1" s="1"/>
  <c r="M788" i="1"/>
  <c r="L788" i="1"/>
  <c r="O787" i="1" a="1"/>
  <c r="O787" i="1" s="1"/>
  <c r="M787" i="1"/>
  <c r="L787" i="1"/>
  <c r="O786" i="1" a="1"/>
  <c r="O786" i="1" s="1"/>
  <c r="M786" i="1"/>
  <c r="L786" i="1"/>
  <c r="O785" i="1" a="1"/>
  <c r="O785" i="1" s="1"/>
  <c r="M785" i="1"/>
  <c r="L785" i="1"/>
  <c r="O784" i="1" a="1"/>
  <c r="O784" i="1" s="1"/>
  <c r="M784" i="1"/>
  <c r="L784" i="1"/>
  <c r="O783" i="1" a="1"/>
  <c r="O783" i="1" s="1"/>
  <c r="M783" i="1"/>
  <c r="L783" i="1"/>
  <c r="O782" i="1" a="1"/>
  <c r="O782" i="1" s="1"/>
  <c r="M782" i="1"/>
  <c r="L782" i="1"/>
  <c r="O781" i="1" a="1"/>
  <c r="O781" i="1" s="1"/>
  <c r="M781" i="1"/>
  <c r="L781" i="1"/>
  <c r="O780" i="1" a="1"/>
  <c r="O780" i="1" s="1"/>
  <c r="M780" i="1"/>
  <c r="L780" i="1"/>
  <c r="O779" i="1" a="1"/>
  <c r="O779" i="1" s="1"/>
  <c r="M779" i="1"/>
  <c r="L779" i="1"/>
  <c r="O778" i="1" a="1"/>
  <c r="O778" i="1" s="1"/>
  <c r="M778" i="1"/>
  <c r="L778" i="1"/>
  <c r="O777" i="1" a="1"/>
  <c r="O777" i="1" s="1"/>
  <c r="M777" i="1"/>
  <c r="L777" i="1"/>
  <c r="O776" i="1" a="1"/>
  <c r="O776" i="1" s="1"/>
  <c r="M776" i="1"/>
  <c r="L776" i="1"/>
  <c r="O775" i="1" a="1"/>
  <c r="O775" i="1" s="1"/>
  <c r="M775" i="1"/>
  <c r="L775" i="1"/>
  <c r="O774" i="1" a="1"/>
  <c r="O774" i="1" s="1"/>
  <c r="M774" i="1"/>
  <c r="L774" i="1"/>
  <c r="O773" i="1" a="1"/>
  <c r="O773" i="1" s="1"/>
  <c r="M773" i="1"/>
  <c r="L773" i="1"/>
  <c r="O772" i="1" a="1"/>
  <c r="O772" i="1" s="1"/>
  <c r="M772" i="1"/>
  <c r="L772" i="1"/>
  <c r="O771" i="1" a="1"/>
  <c r="O771" i="1" s="1"/>
  <c r="M771" i="1"/>
  <c r="L771" i="1"/>
  <c r="O770" i="1" a="1"/>
  <c r="O770" i="1" s="1"/>
  <c r="M770" i="1"/>
  <c r="L770" i="1"/>
  <c r="O769" i="1" a="1"/>
  <c r="O769" i="1" s="1"/>
  <c r="M769" i="1"/>
  <c r="L769" i="1"/>
  <c r="O768" i="1" a="1"/>
  <c r="O768" i="1" s="1"/>
  <c r="M768" i="1"/>
  <c r="L768" i="1"/>
  <c r="O767" i="1" a="1"/>
  <c r="O767" i="1" s="1"/>
  <c r="M767" i="1"/>
  <c r="L767" i="1"/>
  <c r="O766" i="1" a="1"/>
  <c r="O766" i="1" s="1"/>
  <c r="M766" i="1"/>
  <c r="L766" i="1"/>
  <c r="O765" i="1" a="1"/>
  <c r="O765" i="1" s="1"/>
  <c r="M765" i="1"/>
  <c r="L765" i="1"/>
  <c r="O764" i="1" a="1"/>
  <c r="O764" i="1" s="1"/>
  <c r="M764" i="1"/>
  <c r="L764" i="1"/>
  <c r="O763" i="1" a="1"/>
  <c r="O763" i="1" s="1"/>
  <c r="M763" i="1"/>
  <c r="L763" i="1"/>
  <c r="O762" i="1" a="1"/>
  <c r="O762" i="1" s="1"/>
  <c r="M762" i="1"/>
  <c r="L762" i="1"/>
  <c r="O761" i="1" a="1"/>
  <c r="O761" i="1" s="1"/>
  <c r="M761" i="1"/>
  <c r="L761" i="1"/>
  <c r="O760" i="1" a="1"/>
  <c r="O760" i="1" s="1"/>
  <c r="M760" i="1"/>
  <c r="L760" i="1"/>
  <c r="O759" i="1" a="1"/>
  <c r="O759" i="1" s="1"/>
  <c r="M759" i="1"/>
  <c r="L759" i="1"/>
  <c r="O758" i="1" a="1"/>
  <c r="O758" i="1" s="1"/>
  <c r="M758" i="1"/>
  <c r="L758" i="1"/>
  <c r="O757" i="1" a="1"/>
  <c r="O757" i="1" s="1"/>
  <c r="M757" i="1"/>
  <c r="L757" i="1"/>
  <c r="O756" i="1" a="1"/>
  <c r="O756" i="1" s="1"/>
  <c r="M756" i="1"/>
  <c r="L756" i="1"/>
  <c r="O755" i="1" a="1"/>
  <c r="O755" i="1" s="1"/>
  <c r="M755" i="1"/>
  <c r="L755" i="1"/>
  <c r="O754" i="1" a="1"/>
  <c r="O754" i="1" s="1"/>
  <c r="M754" i="1"/>
  <c r="L754" i="1"/>
  <c r="O753" i="1" a="1"/>
  <c r="O753" i="1" s="1"/>
  <c r="M753" i="1"/>
  <c r="L753" i="1"/>
  <c r="O752" i="1" a="1"/>
  <c r="O752" i="1" s="1"/>
  <c r="M752" i="1"/>
  <c r="L752" i="1"/>
  <c r="O751" i="1" a="1"/>
  <c r="O751" i="1" s="1"/>
  <c r="M751" i="1"/>
  <c r="L751" i="1"/>
  <c r="O750" i="1" a="1"/>
  <c r="O750" i="1" s="1"/>
  <c r="M750" i="1"/>
  <c r="L750" i="1"/>
  <c r="O749" i="1" a="1"/>
  <c r="O749" i="1" s="1"/>
  <c r="M749" i="1"/>
  <c r="L749" i="1"/>
  <c r="O748" i="1" a="1"/>
  <c r="O748" i="1" s="1"/>
  <c r="M748" i="1"/>
  <c r="L748" i="1"/>
  <c r="O747" i="1" a="1"/>
  <c r="O747" i="1" s="1"/>
  <c r="M747" i="1"/>
  <c r="L747" i="1"/>
  <c r="O746" i="1" a="1"/>
  <c r="O746" i="1" s="1"/>
  <c r="M746" i="1"/>
  <c r="L746" i="1"/>
  <c r="O745" i="1" a="1"/>
  <c r="O745" i="1" s="1"/>
  <c r="M745" i="1"/>
  <c r="L745" i="1"/>
  <c r="O744" i="1" a="1"/>
  <c r="O744" i="1" s="1"/>
  <c r="M744" i="1"/>
  <c r="L744" i="1"/>
  <c r="O743" i="1" a="1"/>
  <c r="O743" i="1" s="1"/>
  <c r="M743" i="1"/>
  <c r="L743" i="1"/>
  <c r="O742" i="1" a="1"/>
  <c r="O742" i="1" s="1"/>
  <c r="M742" i="1"/>
  <c r="L742" i="1"/>
  <c r="O741" i="1" a="1"/>
  <c r="O741" i="1" s="1"/>
  <c r="M741" i="1"/>
  <c r="L741" i="1"/>
  <c r="O740" i="1" a="1"/>
  <c r="O740" i="1" s="1"/>
  <c r="M740" i="1"/>
  <c r="L740" i="1"/>
  <c r="O739" i="1" a="1"/>
  <c r="O739" i="1" s="1"/>
  <c r="M739" i="1"/>
  <c r="L739" i="1"/>
  <c r="O738" i="1" a="1"/>
  <c r="O738" i="1" s="1"/>
  <c r="M738" i="1"/>
  <c r="L738" i="1"/>
  <c r="O737" i="1" a="1"/>
  <c r="O737" i="1" s="1"/>
  <c r="M737" i="1"/>
  <c r="L737" i="1"/>
  <c r="O736" i="1" a="1"/>
  <c r="O736" i="1" s="1"/>
  <c r="M736" i="1"/>
  <c r="L736" i="1"/>
  <c r="O735" i="1" a="1"/>
  <c r="O735" i="1" s="1"/>
  <c r="M735" i="1"/>
  <c r="L735" i="1"/>
  <c r="O734" i="1" a="1"/>
  <c r="O734" i="1" s="1"/>
  <c r="M734" i="1"/>
  <c r="L734" i="1"/>
  <c r="O733" i="1" a="1"/>
  <c r="O733" i="1" s="1"/>
  <c r="M733" i="1"/>
  <c r="L733" i="1"/>
  <c r="O732" i="1" a="1"/>
  <c r="O732" i="1" s="1"/>
  <c r="M732" i="1"/>
  <c r="L732" i="1"/>
  <c r="O731" i="1" a="1"/>
  <c r="O731" i="1" s="1"/>
  <c r="M731" i="1"/>
  <c r="L731" i="1"/>
  <c r="O730" i="1" a="1"/>
  <c r="O730" i="1" s="1"/>
  <c r="M730" i="1"/>
  <c r="L730" i="1"/>
  <c r="O729" i="1" a="1"/>
  <c r="O729" i="1" s="1"/>
  <c r="M729" i="1"/>
  <c r="L729" i="1"/>
  <c r="O728" i="1" a="1"/>
  <c r="O728" i="1" s="1"/>
  <c r="M728" i="1"/>
  <c r="L728" i="1"/>
  <c r="O727" i="1" a="1"/>
  <c r="O727" i="1" s="1"/>
  <c r="M727" i="1"/>
  <c r="L727" i="1"/>
  <c r="O726" i="1" a="1"/>
  <c r="O726" i="1" s="1"/>
  <c r="M726" i="1"/>
  <c r="L726" i="1"/>
  <c r="O725" i="1" a="1"/>
  <c r="O725" i="1" s="1"/>
  <c r="M725" i="1"/>
  <c r="L725" i="1"/>
  <c r="O724" i="1" a="1"/>
  <c r="O724" i="1" s="1"/>
  <c r="M724" i="1"/>
  <c r="L724" i="1"/>
  <c r="O723" i="1" a="1"/>
  <c r="O723" i="1" s="1"/>
  <c r="M723" i="1"/>
  <c r="L723" i="1"/>
  <c r="O722" i="1" a="1"/>
  <c r="O722" i="1" s="1"/>
  <c r="M722" i="1"/>
  <c r="L722" i="1"/>
  <c r="O721" i="1" a="1"/>
  <c r="O721" i="1" s="1"/>
  <c r="M721" i="1"/>
  <c r="L721" i="1"/>
  <c r="O720" i="1" a="1"/>
  <c r="O720" i="1" s="1"/>
  <c r="M720" i="1"/>
  <c r="L720" i="1"/>
  <c r="O719" i="1" a="1"/>
  <c r="O719" i="1" s="1"/>
  <c r="M719" i="1"/>
  <c r="L719" i="1"/>
  <c r="O718" i="1" a="1"/>
  <c r="O718" i="1" s="1"/>
  <c r="M718" i="1"/>
  <c r="L718" i="1"/>
  <c r="O717" i="1" a="1"/>
  <c r="O717" i="1" s="1"/>
  <c r="M717" i="1"/>
  <c r="L717" i="1"/>
  <c r="O716" i="1" a="1"/>
  <c r="O716" i="1" s="1"/>
  <c r="M716" i="1"/>
  <c r="L716" i="1"/>
  <c r="O715" i="1" a="1"/>
  <c r="O715" i="1" s="1"/>
  <c r="M715" i="1"/>
  <c r="L715" i="1"/>
  <c r="O714" i="1" a="1"/>
  <c r="O714" i="1" s="1"/>
  <c r="M714" i="1"/>
  <c r="L714" i="1"/>
  <c r="O713" i="1" a="1"/>
  <c r="O713" i="1" s="1"/>
  <c r="M713" i="1"/>
  <c r="L713" i="1"/>
  <c r="O712" i="1" a="1"/>
  <c r="O712" i="1" s="1"/>
  <c r="M712" i="1"/>
  <c r="L712" i="1"/>
  <c r="O711" i="1" a="1"/>
  <c r="O711" i="1" s="1"/>
  <c r="M711" i="1"/>
  <c r="L711" i="1"/>
  <c r="O710" i="1" a="1"/>
  <c r="O710" i="1" s="1"/>
  <c r="M710" i="1"/>
  <c r="L710" i="1"/>
  <c r="O709" i="1" a="1"/>
  <c r="O709" i="1" s="1"/>
  <c r="M709" i="1"/>
  <c r="L709" i="1"/>
  <c r="O708" i="1" a="1"/>
  <c r="O708" i="1" s="1"/>
  <c r="M708" i="1"/>
  <c r="L708" i="1"/>
  <c r="O707" i="1" a="1"/>
  <c r="O707" i="1" s="1"/>
  <c r="M707" i="1"/>
  <c r="L707" i="1"/>
  <c r="O706" i="1" a="1"/>
  <c r="O706" i="1" s="1"/>
  <c r="M706" i="1"/>
  <c r="L706" i="1"/>
  <c r="O705" i="1" a="1"/>
  <c r="O705" i="1" s="1"/>
  <c r="M705" i="1"/>
  <c r="L705" i="1"/>
  <c r="O704" i="1" a="1"/>
  <c r="O704" i="1" s="1"/>
  <c r="M704" i="1"/>
  <c r="L704" i="1"/>
  <c r="O703" i="1" a="1"/>
  <c r="O703" i="1" s="1"/>
  <c r="M703" i="1"/>
  <c r="L703" i="1"/>
  <c r="O702" i="1" a="1"/>
  <c r="O702" i="1" s="1"/>
  <c r="M702" i="1"/>
  <c r="L702" i="1"/>
  <c r="O701" i="1" a="1"/>
  <c r="O701" i="1" s="1"/>
  <c r="M701" i="1"/>
  <c r="L701" i="1"/>
  <c r="O700" i="1" a="1"/>
  <c r="O700" i="1" s="1"/>
  <c r="M700" i="1"/>
  <c r="L700" i="1"/>
  <c r="O699" i="1" a="1"/>
  <c r="O699" i="1" s="1"/>
  <c r="M699" i="1"/>
  <c r="L699" i="1"/>
  <c r="O698" i="1" a="1"/>
  <c r="O698" i="1" s="1"/>
  <c r="M698" i="1"/>
  <c r="L698" i="1"/>
  <c r="O697" i="1" a="1"/>
  <c r="O697" i="1" s="1"/>
  <c r="M697" i="1"/>
  <c r="L697" i="1"/>
  <c r="O696" i="1" a="1"/>
  <c r="O696" i="1" s="1"/>
  <c r="M696" i="1"/>
  <c r="L696" i="1"/>
  <c r="O695" i="1" a="1"/>
  <c r="O695" i="1" s="1"/>
  <c r="M695" i="1"/>
  <c r="L695" i="1"/>
  <c r="O694" i="1" a="1"/>
  <c r="O694" i="1" s="1"/>
  <c r="M694" i="1"/>
  <c r="L694" i="1"/>
  <c r="O693" i="1" a="1"/>
  <c r="O693" i="1" s="1"/>
  <c r="M693" i="1"/>
  <c r="L693" i="1"/>
  <c r="O692" i="1" a="1"/>
  <c r="O692" i="1" s="1"/>
  <c r="M692" i="1"/>
  <c r="L692" i="1"/>
  <c r="O691" i="1" a="1"/>
  <c r="O691" i="1" s="1"/>
  <c r="M691" i="1"/>
  <c r="L691" i="1"/>
  <c r="O690" i="1" a="1"/>
  <c r="O690" i="1" s="1"/>
  <c r="M690" i="1"/>
  <c r="L690" i="1"/>
  <c r="O689" i="1" a="1"/>
  <c r="O689" i="1" s="1"/>
  <c r="M689" i="1"/>
  <c r="L689" i="1"/>
  <c r="O688" i="1" a="1"/>
  <c r="O688" i="1" s="1"/>
  <c r="M688" i="1"/>
  <c r="L688" i="1"/>
  <c r="O687" i="1" a="1"/>
  <c r="O687" i="1" s="1"/>
  <c r="M687" i="1"/>
  <c r="L687" i="1"/>
  <c r="O686" i="1" a="1"/>
  <c r="O686" i="1" s="1"/>
  <c r="M686" i="1"/>
  <c r="L686" i="1"/>
  <c r="O685" i="1" a="1"/>
  <c r="O685" i="1" s="1"/>
  <c r="M685" i="1"/>
  <c r="L685" i="1"/>
  <c r="O684" i="1" a="1"/>
  <c r="O684" i="1" s="1"/>
  <c r="M684" i="1"/>
  <c r="L684" i="1"/>
  <c r="O683" i="1" a="1"/>
  <c r="O683" i="1" s="1"/>
  <c r="M683" i="1"/>
  <c r="L683" i="1"/>
  <c r="O682" i="1" a="1"/>
  <c r="O682" i="1" s="1"/>
  <c r="M682" i="1"/>
  <c r="L682" i="1"/>
  <c r="O681" i="1" a="1"/>
  <c r="O681" i="1" s="1"/>
  <c r="M681" i="1"/>
  <c r="L681" i="1"/>
  <c r="O680" i="1" a="1"/>
  <c r="O680" i="1" s="1"/>
  <c r="M680" i="1"/>
  <c r="L680" i="1"/>
  <c r="O679" i="1" a="1"/>
  <c r="O679" i="1" s="1"/>
  <c r="M679" i="1"/>
  <c r="L679" i="1"/>
  <c r="O678" i="1" a="1"/>
  <c r="O678" i="1" s="1"/>
  <c r="M678" i="1"/>
  <c r="L678" i="1"/>
  <c r="O677" i="1" a="1"/>
  <c r="O677" i="1" s="1"/>
  <c r="M677" i="1"/>
  <c r="L677" i="1"/>
  <c r="O676" i="1" a="1"/>
  <c r="O676" i="1" s="1"/>
  <c r="M676" i="1"/>
  <c r="L676" i="1"/>
  <c r="N676" i="1" s="1"/>
  <c r="O675" i="1" a="1"/>
  <c r="O675" i="1" s="1"/>
  <c r="M675" i="1"/>
  <c r="L675" i="1"/>
  <c r="O674" i="1" a="1"/>
  <c r="O674" i="1" s="1"/>
  <c r="M674" i="1"/>
  <c r="L674" i="1"/>
  <c r="O673" i="1" a="1"/>
  <c r="O673" i="1" s="1"/>
  <c r="M673" i="1"/>
  <c r="L673" i="1"/>
  <c r="O672" i="1" a="1"/>
  <c r="O672" i="1" s="1"/>
  <c r="M672" i="1"/>
  <c r="L672" i="1"/>
  <c r="O671" i="1" a="1"/>
  <c r="O671" i="1" s="1"/>
  <c r="M671" i="1"/>
  <c r="L671" i="1"/>
  <c r="O670" i="1" a="1"/>
  <c r="O670" i="1" s="1"/>
  <c r="M670" i="1"/>
  <c r="L670" i="1"/>
  <c r="O669" i="1" a="1"/>
  <c r="O669" i="1" s="1"/>
  <c r="M669" i="1"/>
  <c r="L669" i="1"/>
  <c r="O668" i="1" a="1"/>
  <c r="O668" i="1" s="1"/>
  <c r="M668" i="1"/>
  <c r="L668" i="1"/>
  <c r="O667" i="1" a="1"/>
  <c r="O667" i="1" s="1"/>
  <c r="M667" i="1"/>
  <c r="L667" i="1"/>
  <c r="O666" i="1" a="1"/>
  <c r="O666" i="1" s="1"/>
  <c r="M666" i="1"/>
  <c r="L666" i="1"/>
  <c r="O665" i="1" a="1"/>
  <c r="O665" i="1" s="1"/>
  <c r="M665" i="1"/>
  <c r="L665" i="1"/>
  <c r="O664" i="1" a="1"/>
  <c r="O664" i="1" s="1"/>
  <c r="M664" i="1"/>
  <c r="L664" i="1"/>
  <c r="O663" i="1" a="1"/>
  <c r="O663" i="1" s="1"/>
  <c r="M663" i="1"/>
  <c r="L663" i="1"/>
  <c r="O662" i="1" a="1"/>
  <c r="O662" i="1" s="1"/>
  <c r="M662" i="1"/>
  <c r="L662" i="1"/>
  <c r="O661" i="1" a="1"/>
  <c r="O661" i="1" s="1"/>
  <c r="M661" i="1"/>
  <c r="L661" i="1"/>
  <c r="O660" i="1" a="1"/>
  <c r="O660" i="1" s="1"/>
  <c r="M660" i="1"/>
  <c r="L660" i="1"/>
  <c r="O659" i="1" a="1"/>
  <c r="O659" i="1" s="1"/>
  <c r="M659" i="1"/>
  <c r="L659" i="1"/>
  <c r="O658" i="1" a="1"/>
  <c r="O658" i="1" s="1"/>
  <c r="M658" i="1"/>
  <c r="L658" i="1"/>
  <c r="O657" i="1" a="1"/>
  <c r="O657" i="1" s="1"/>
  <c r="M657" i="1"/>
  <c r="L657" i="1"/>
  <c r="O656" i="1" a="1"/>
  <c r="O656" i="1" s="1"/>
  <c r="M656" i="1"/>
  <c r="L656" i="1"/>
  <c r="O655" i="1" a="1"/>
  <c r="O655" i="1" s="1"/>
  <c r="M655" i="1"/>
  <c r="L655" i="1"/>
  <c r="O654" i="1" a="1"/>
  <c r="O654" i="1" s="1"/>
  <c r="M654" i="1"/>
  <c r="L654" i="1"/>
  <c r="O653" i="1" a="1"/>
  <c r="O653" i="1" s="1"/>
  <c r="M653" i="1"/>
  <c r="L653" i="1"/>
  <c r="O652" i="1" a="1"/>
  <c r="O652" i="1" s="1"/>
  <c r="M652" i="1"/>
  <c r="L652" i="1"/>
  <c r="O651" i="1" a="1"/>
  <c r="O651" i="1" s="1"/>
  <c r="M651" i="1"/>
  <c r="L651" i="1"/>
  <c r="O650" i="1" a="1"/>
  <c r="O650" i="1" s="1"/>
  <c r="M650" i="1"/>
  <c r="L650" i="1"/>
  <c r="O649" i="1" a="1"/>
  <c r="O649" i="1" s="1"/>
  <c r="M649" i="1"/>
  <c r="L649" i="1"/>
  <c r="O648" i="1" a="1"/>
  <c r="O648" i="1" s="1"/>
  <c r="M648" i="1"/>
  <c r="L648" i="1"/>
  <c r="O647" i="1" a="1"/>
  <c r="O647" i="1" s="1"/>
  <c r="M647" i="1"/>
  <c r="L647" i="1"/>
  <c r="O646" i="1" a="1"/>
  <c r="O646" i="1" s="1"/>
  <c r="M646" i="1"/>
  <c r="L646" i="1"/>
  <c r="O645" i="1" a="1"/>
  <c r="O645" i="1" s="1"/>
  <c r="M645" i="1"/>
  <c r="L645" i="1"/>
  <c r="O644" i="1" a="1"/>
  <c r="O644" i="1" s="1"/>
  <c r="M644" i="1"/>
  <c r="L644" i="1"/>
  <c r="O643" i="1" a="1"/>
  <c r="O643" i="1" s="1"/>
  <c r="M643" i="1"/>
  <c r="L643" i="1"/>
  <c r="O642" i="1" a="1"/>
  <c r="O642" i="1" s="1"/>
  <c r="M642" i="1"/>
  <c r="L642" i="1"/>
  <c r="O641" i="1" a="1"/>
  <c r="O641" i="1" s="1"/>
  <c r="M641" i="1"/>
  <c r="L641" i="1"/>
  <c r="O640" i="1" a="1"/>
  <c r="O640" i="1" s="1"/>
  <c r="M640" i="1"/>
  <c r="L640" i="1"/>
  <c r="O639" i="1" a="1"/>
  <c r="O639" i="1" s="1"/>
  <c r="M639" i="1"/>
  <c r="L639" i="1"/>
  <c r="O638" i="1" a="1"/>
  <c r="O638" i="1" s="1"/>
  <c r="M638" i="1"/>
  <c r="L638" i="1"/>
  <c r="O637" i="1" a="1"/>
  <c r="O637" i="1" s="1"/>
  <c r="M637" i="1"/>
  <c r="L637" i="1"/>
  <c r="O636" i="1" a="1"/>
  <c r="O636" i="1" s="1"/>
  <c r="M636" i="1"/>
  <c r="L636" i="1"/>
  <c r="O635" i="1" a="1"/>
  <c r="O635" i="1" s="1"/>
  <c r="M635" i="1"/>
  <c r="L635" i="1"/>
  <c r="O634" i="1" a="1"/>
  <c r="O634" i="1" s="1"/>
  <c r="M634" i="1"/>
  <c r="L634" i="1"/>
  <c r="O633" i="1" a="1"/>
  <c r="O633" i="1" s="1"/>
  <c r="M633" i="1"/>
  <c r="L633" i="1"/>
  <c r="O632" i="1" a="1"/>
  <c r="O632" i="1" s="1"/>
  <c r="M632" i="1"/>
  <c r="L632" i="1"/>
  <c r="O631" i="1" a="1"/>
  <c r="O631" i="1" s="1"/>
  <c r="M631" i="1"/>
  <c r="L631" i="1"/>
  <c r="O630" i="1" a="1"/>
  <c r="O630" i="1" s="1"/>
  <c r="M630" i="1"/>
  <c r="L630" i="1"/>
  <c r="O629" i="1" a="1"/>
  <c r="O629" i="1" s="1"/>
  <c r="M629" i="1"/>
  <c r="L629" i="1"/>
  <c r="O628" i="1" a="1"/>
  <c r="O628" i="1" s="1"/>
  <c r="M628" i="1"/>
  <c r="L628" i="1"/>
  <c r="O627" i="1" a="1"/>
  <c r="O627" i="1" s="1"/>
  <c r="M627" i="1"/>
  <c r="L627" i="1"/>
  <c r="O626" i="1" a="1"/>
  <c r="O626" i="1" s="1"/>
  <c r="M626" i="1"/>
  <c r="L626" i="1"/>
  <c r="O625" i="1" a="1"/>
  <c r="O625" i="1" s="1"/>
  <c r="M625" i="1"/>
  <c r="L625" i="1"/>
  <c r="O624" i="1" a="1"/>
  <c r="O624" i="1" s="1"/>
  <c r="M624" i="1"/>
  <c r="L624" i="1"/>
  <c r="O623" i="1" a="1"/>
  <c r="O623" i="1" s="1"/>
  <c r="M623" i="1"/>
  <c r="L623" i="1"/>
  <c r="O622" i="1" a="1"/>
  <c r="O622" i="1" s="1"/>
  <c r="M622" i="1"/>
  <c r="L622" i="1"/>
  <c r="O621" i="1" a="1"/>
  <c r="O621" i="1" s="1"/>
  <c r="M621" i="1"/>
  <c r="L621" i="1"/>
  <c r="O620" i="1" a="1"/>
  <c r="O620" i="1" s="1"/>
  <c r="M620" i="1"/>
  <c r="L620" i="1"/>
  <c r="O619" i="1" a="1"/>
  <c r="O619" i="1" s="1"/>
  <c r="M619" i="1"/>
  <c r="L619" i="1"/>
  <c r="O618" i="1" a="1"/>
  <c r="O618" i="1" s="1"/>
  <c r="M618" i="1"/>
  <c r="L618" i="1"/>
  <c r="O617" i="1" a="1"/>
  <c r="O617" i="1" s="1"/>
  <c r="M617" i="1"/>
  <c r="L617" i="1"/>
  <c r="O616" i="1" a="1"/>
  <c r="O616" i="1" s="1"/>
  <c r="M616" i="1"/>
  <c r="L616" i="1"/>
  <c r="O615" i="1" a="1"/>
  <c r="O615" i="1" s="1"/>
  <c r="M615" i="1"/>
  <c r="L615" i="1"/>
  <c r="O614" i="1" a="1"/>
  <c r="O614" i="1" s="1"/>
  <c r="M614" i="1"/>
  <c r="L614" i="1"/>
  <c r="O613" i="1" a="1"/>
  <c r="O613" i="1" s="1"/>
  <c r="M613" i="1"/>
  <c r="L613" i="1"/>
  <c r="O612" i="1" a="1"/>
  <c r="O612" i="1" s="1"/>
  <c r="M612" i="1"/>
  <c r="L612" i="1"/>
  <c r="O611" i="1" a="1"/>
  <c r="O611" i="1" s="1"/>
  <c r="M611" i="1"/>
  <c r="L611" i="1"/>
  <c r="O610" i="1" a="1"/>
  <c r="O610" i="1" s="1"/>
  <c r="M610" i="1"/>
  <c r="L610" i="1"/>
  <c r="O609" i="1" a="1"/>
  <c r="O609" i="1" s="1"/>
  <c r="M609" i="1"/>
  <c r="L609" i="1"/>
  <c r="O608" i="1" a="1"/>
  <c r="O608" i="1" s="1"/>
  <c r="M608" i="1"/>
  <c r="L608" i="1"/>
  <c r="O607" i="1" a="1"/>
  <c r="O607" i="1" s="1"/>
  <c r="M607" i="1"/>
  <c r="L607" i="1"/>
  <c r="O606" i="1" a="1"/>
  <c r="O606" i="1" s="1"/>
  <c r="M606" i="1"/>
  <c r="L606" i="1"/>
  <c r="O605" i="1" a="1"/>
  <c r="O605" i="1" s="1"/>
  <c r="M605" i="1"/>
  <c r="L605" i="1"/>
  <c r="O604" i="1" a="1"/>
  <c r="O604" i="1" s="1"/>
  <c r="M604" i="1"/>
  <c r="L604" i="1"/>
  <c r="O603" i="1" a="1"/>
  <c r="O603" i="1" s="1"/>
  <c r="M603" i="1"/>
  <c r="L603" i="1"/>
  <c r="O602" i="1" a="1"/>
  <c r="O602" i="1" s="1"/>
  <c r="M602" i="1"/>
  <c r="L602" i="1"/>
  <c r="O601" i="1" a="1"/>
  <c r="O601" i="1" s="1"/>
  <c r="M601" i="1"/>
  <c r="L601" i="1"/>
  <c r="O600" i="1" a="1"/>
  <c r="O600" i="1" s="1"/>
  <c r="M600" i="1"/>
  <c r="L600" i="1"/>
  <c r="O599" i="1" a="1"/>
  <c r="O599" i="1" s="1"/>
  <c r="M599" i="1"/>
  <c r="L599" i="1"/>
  <c r="O598" i="1" a="1"/>
  <c r="O598" i="1" s="1"/>
  <c r="M598" i="1"/>
  <c r="L598" i="1"/>
  <c r="O597" i="1" a="1"/>
  <c r="O597" i="1" s="1"/>
  <c r="M597" i="1"/>
  <c r="L597" i="1"/>
  <c r="O596" i="1" a="1"/>
  <c r="O596" i="1" s="1"/>
  <c r="M596" i="1"/>
  <c r="L596" i="1"/>
  <c r="O595" i="1" a="1"/>
  <c r="O595" i="1" s="1"/>
  <c r="M595" i="1"/>
  <c r="L595" i="1"/>
  <c r="O594" i="1" a="1"/>
  <c r="O594" i="1" s="1"/>
  <c r="M594" i="1"/>
  <c r="L594" i="1"/>
  <c r="O593" i="1" a="1"/>
  <c r="O593" i="1" s="1"/>
  <c r="M593" i="1"/>
  <c r="L593" i="1"/>
  <c r="O592" i="1" a="1"/>
  <c r="O592" i="1" s="1"/>
  <c r="M592" i="1"/>
  <c r="L592" i="1"/>
  <c r="O591" i="1" a="1"/>
  <c r="O591" i="1" s="1"/>
  <c r="M591" i="1"/>
  <c r="L591" i="1"/>
  <c r="O590" i="1" a="1"/>
  <c r="O590" i="1" s="1"/>
  <c r="M590" i="1"/>
  <c r="L590" i="1"/>
  <c r="O589" i="1" a="1"/>
  <c r="O589" i="1" s="1"/>
  <c r="M589" i="1"/>
  <c r="L589" i="1"/>
  <c r="O588" i="1" a="1"/>
  <c r="O588" i="1" s="1"/>
  <c r="M588" i="1"/>
  <c r="L588" i="1"/>
  <c r="O587" i="1" a="1"/>
  <c r="O587" i="1" s="1"/>
  <c r="M587" i="1"/>
  <c r="L587" i="1"/>
  <c r="O586" i="1" a="1"/>
  <c r="O586" i="1" s="1"/>
  <c r="M586" i="1"/>
  <c r="L586" i="1"/>
  <c r="O585" i="1" a="1"/>
  <c r="O585" i="1" s="1"/>
  <c r="M585" i="1"/>
  <c r="L585" i="1"/>
  <c r="O584" i="1" a="1"/>
  <c r="O584" i="1" s="1"/>
  <c r="M584" i="1"/>
  <c r="L584" i="1"/>
  <c r="O583" i="1" a="1"/>
  <c r="O583" i="1" s="1"/>
  <c r="M583" i="1"/>
  <c r="L583" i="1"/>
  <c r="O582" i="1" a="1"/>
  <c r="O582" i="1" s="1"/>
  <c r="M582" i="1"/>
  <c r="L582" i="1"/>
  <c r="O581" i="1" a="1"/>
  <c r="O581" i="1" s="1"/>
  <c r="M581" i="1"/>
  <c r="L581" i="1"/>
  <c r="O580" i="1" a="1"/>
  <c r="O580" i="1" s="1"/>
  <c r="M580" i="1"/>
  <c r="L580" i="1"/>
  <c r="O579" i="1" a="1"/>
  <c r="O579" i="1" s="1"/>
  <c r="M579" i="1"/>
  <c r="L579" i="1"/>
  <c r="O578" i="1" a="1"/>
  <c r="O578" i="1" s="1"/>
  <c r="M578" i="1"/>
  <c r="L578" i="1"/>
  <c r="O577" i="1" a="1"/>
  <c r="O577" i="1" s="1"/>
  <c r="M577" i="1"/>
  <c r="L577" i="1"/>
  <c r="O576" i="1" a="1"/>
  <c r="O576" i="1" s="1"/>
  <c r="M576" i="1"/>
  <c r="L576" i="1"/>
  <c r="O575" i="1" a="1"/>
  <c r="O575" i="1" s="1"/>
  <c r="M575" i="1"/>
  <c r="L575" i="1"/>
  <c r="O574" i="1" a="1"/>
  <c r="O574" i="1" s="1"/>
  <c r="M574" i="1"/>
  <c r="L574" i="1"/>
  <c r="O573" i="1" a="1"/>
  <c r="O573" i="1" s="1"/>
  <c r="M573" i="1"/>
  <c r="L573" i="1"/>
  <c r="O572" i="1" a="1"/>
  <c r="O572" i="1" s="1"/>
  <c r="M572" i="1"/>
  <c r="L572" i="1"/>
  <c r="O571" i="1" a="1"/>
  <c r="O571" i="1" s="1"/>
  <c r="M571" i="1"/>
  <c r="L571" i="1"/>
  <c r="O570" i="1" a="1"/>
  <c r="O570" i="1" s="1"/>
  <c r="M570" i="1"/>
  <c r="L570" i="1"/>
  <c r="O569" i="1" a="1"/>
  <c r="O569" i="1" s="1"/>
  <c r="M569" i="1"/>
  <c r="L569" i="1"/>
  <c r="O568" i="1" a="1"/>
  <c r="O568" i="1" s="1"/>
  <c r="M568" i="1"/>
  <c r="L568" i="1"/>
  <c r="O567" i="1" a="1"/>
  <c r="O567" i="1" s="1"/>
  <c r="M567" i="1"/>
  <c r="L567" i="1"/>
  <c r="O566" i="1" a="1"/>
  <c r="O566" i="1" s="1"/>
  <c r="M566" i="1"/>
  <c r="L566" i="1"/>
  <c r="O565" i="1" a="1"/>
  <c r="O565" i="1" s="1"/>
  <c r="M565" i="1"/>
  <c r="L565" i="1"/>
  <c r="O564" i="1" a="1"/>
  <c r="O564" i="1" s="1"/>
  <c r="M564" i="1"/>
  <c r="L564" i="1"/>
  <c r="O563" i="1" a="1"/>
  <c r="O563" i="1" s="1"/>
  <c r="M563" i="1"/>
  <c r="L563" i="1"/>
  <c r="O562" i="1" a="1"/>
  <c r="O562" i="1" s="1"/>
  <c r="M562" i="1"/>
  <c r="L562" i="1"/>
  <c r="O561" i="1" a="1"/>
  <c r="O561" i="1" s="1"/>
  <c r="M561" i="1"/>
  <c r="L561" i="1"/>
  <c r="O560" i="1" a="1"/>
  <c r="O560" i="1" s="1"/>
  <c r="M560" i="1"/>
  <c r="L560" i="1"/>
  <c r="O559" i="1" a="1"/>
  <c r="O559" i="1" s="1"/>
  <c r="M559" i="1"/>
  <c r="L559" i="1"/>
  <c r="O558" i="1" a="1"/>
  <c r="O558" i="1" s="1"/>
  <c r="M558" i="1"/>
  <c r="L558" i="1"/>
  <c r="O557" i="1" a="1"/>
  <c r="O557" i="1" s="1"/>
  <c r="M557" i="1"/>
  <c r="L557" i="1"/>
  <c r="O556" i="1" a="1"/>
  <c r="O556" i="1" s="1"/>
  <c r="M556" i="1"/>
  <c r="L556" i="1"/>
  <c r="O555" i="1" a="1"/>
  <c r="O555" i="1" s="1"/>
  <c r="M555" i="1"/>
  <c r="L555" i="1"/>
  <c r="O554" i="1" a="1"/>
  <c r="O554" i="1" s="1"/>
  <c r="M554" i="1"/>
  <c r="L554" i="1"/>
  <c r="O553" i="1" a="1"/>
  <c r="O553" i="1" s="1"/>
  <c r="M553" i="1"/>
  <c r="L553" i="1"/>
  <c r="O552" i="1" a="1"/>
  <c r="O552" i="1" s="1"/>
  <c r="M552" i="1"/>
  <c r="L552" i="1"/>
  <c r="O551" i="1" a="1"/>
  <c r="O551" i="1" s="1"/>
  <c r="M551" i="1"/>
  <c r="L551" i="1"/>
  <c r="O550" i="1" a="1"/>
  <c r="O550" i="1" s="1"/>
  <c r="M550" i="1"/>
  <c r="L550" i="1"/>
  <c r="O549" i="1" a="1"/>
  <c r="O549" i="1" s="1"/>
  <c r="M549" i="1"/>
  <c r="L549" i="1"/>
  <c r="O548" i="1" a="1"/>
  <c r="O548" i="1" s="1"/>
  <c r="M548" i="1"/>
  <c r="L548" i="1"/>
  <c r="O547" i="1" a="1"/>
  <c r="O547" i="1" s="1"/>
  <c r="M547" i="1"/>
  <c r="L547" i="1"/>
  <c r="O546" i="1" a="1"/>
  <c r="O546" i="1" s="1"/>
  <c r="M546" i="1"/>
  <c r="L546" i="1"/>
  <c r="O545" i="1" a="1"/>
  <c r="O545" i="1" s="1"/>
  <c r="M545" i="1"/>
  <c r="L545" i="1"/>
  <c r="O544" i="1" a="1"/>
  <c r="O544" i="1" s="1"/>
  <c r="M544" i="1"/>
  <c r="L544" i="1"/>
  <c r="O543" i="1" a="1"/>
  <c r="O543" i="1" s="1"/>
  <c r="M543" i="1"/>
  <c r="L543" i="1"/>
  <c r="O542" i="1" a="1"/>
  <c r="O542" i="1" s="1"/>
  <c r="M542" i="1"/>
  <c r="L542" i="1"/>
  <c r="O541" i="1" a="1"/>
  <c r="O541" i="1" s="1"/>
  <c r="M541" i="1"/>
  <c r="L541" i="1"/>
  <c r="O540" i="1" a="1"/>
  <c r="O540" i="1" s="1"/>
  <c r="M540" i="1"/>
  <c r="L540" i="1"/>
  <c r="O539" i="1" a="1"/>
  <c r="O539" i="1" s="1"/>
  <c r="M539" i="1"/>
  <c r="L539" i="1"/>
  <c r="O538" i="1" a="1"/>
  <c r="O538" i="1" s="1"/>
  <c r="M538" i="1"/>
  <c r="L538" i="1"/>
  <c r="O537" i="1" a="1"/>
  <c r="O537" i="1" s="1"/>
  <c r="M537" i="1"/>
  <c r="L537" i="1"/>
  <c r="O536" i="1" a="1"/>
  <c r="O536" i="1" s="1"/>
  <c r="M536" i="1"/>
  <c r="L536" i="1"/>
  <c r="O535" i="1" a="1"/>
  <c r="O535" i="1" s="1"/>
  <c r="M535" i="1"/>
  <c r="L535" i="1"/>
  <c r="O534" i="1" a="1"/>
  <c r="O534" i="1" s="1"/>
  <c r="M534" i="1"/>
  <c r="L534" i="1"/>
  <c r="O533" i="1" a="1"/>
  <c r="O533" i="1" s="1"/>
  <c r="M533" i="1"/>
  <c r="L533" i="1"/>
  <c r="O532" i="1" a="1"/>
  <c r="O532" i="1" s="1"/>
  <c r="M532" i="1"/>
  <c r="L532" i="1"/>
  <c r="O531" i="1" a="1"/>
  <c r="O531" i="1" s="1"/>
  <c r="M531" i="1"/>
  <c r="L531" i="1"/>
  <c r="O530" i="1" a="1"/>
  <c r="O530" i="1" s="1"/>
  <c r="M530" i="1"/>
  <c r="L530" i="1"/>
  <c r="O529" i="1" a="1"/>
  <c r="O529" i="1" s="1"/>
  <c r="M529" i="1"/>
  <c r="L529" i="1"/>
  <c r="O528" i="1" a="1"/>
  <c r="O528" i="1" s="1"/>
  <c r="M528" i="1"/>
  <c r="L528" i="1"/>
  <c r="O527" i="1" a="1"/>
  <c r="O527" i="1" s="1"/>
  <c r="M527" i="1"/>
  <c r="L527" i="1"/>
  <c r="O526" i="1" a="1"/>
  <c r="O526" i="1" s="1"/>
  <c r="M526" i="1"/>
  <c r="L526" i="1"/>
  <c r="O525" i="1" a="1"/>
  <c r="O525" i="1" s="1"/>
  <c r="M525" i="1"/>
  <c r="L525" i="1"/>
  <c r="O524" i="1" a="1"/>
  <c r="O524" i="1" s="1"/>
  <c r="M524" i="1"/>
  <c r="L524" i="1"/>
  <c r="O523" i="1" a="1"/>
  <c r="O523" i="1" s="1"/>
  <c r="M523" i="1"/>
  <c r="L523" i="1"/>
  <c r="O522" i="1" a="1"/>
  <c r="O522" i="1" s="1"/>
  <c r="M522" i="1"/>
  <c r="L522" i="1"/>
  <c r="O521" i="1" a="1"/>
  <c r="O521" i="1" s="1"/>
  <c r="M521" i="1"/>
  <c r="L521" i="1"/>
  <c r="O520" i="1" a="1"/>
  <c r="O520" i="1" s="1"/>
  <c r="M520" i="1"/>
  <c r="L520" i="1"/>
  <c r="O519" i="1" a="1"/>
  <c r="O519" i="1" s="1"/>
  <c r="M519" i="1"/>
  <c r="L519" i="1"/>
  <c r="O518" i="1" a="1"/>
  <c r="O518" i="1" s="1"/>
  <c r="M518" i="1"/>
  <c r="L518" i="1"/>
  <c r="O517" i="1" a="1"/>
  <c r="O517" i="1" s="1"/>
  <c r="M517" i="1"/>
  <c r="L517" i="1"/>
  <c r="O516" i="1" a="1"/>
  <c r="O516" i="1" s="1"/>
  <c r="M516" i="1"/>
  <c r="L516" i="1"/>
  <c r="O515" i="1" a="1"/>
  <c r="O515" i="1" s="1"/>
  <c r="M515" i="1"/>
  <c r="L515" i="1"/>
  <c r="O514" i="1" a="1"/>
  <c r="O514" i="1" s="1"/>
  <c r="M514" i="1"/>
  <c r="L514" i="1"/>
  <c r="O513" i="1" a="1"/>
  <c r="O513" i="1" s="1"/>
  <c r="M513" i="1"/>
  <c r="L513" i="1"/>
  <c r="O512" i="1" a="1"/>
  <c r="O512" i="1" s="1"/>
  <c r="M512" i="1"/>
  <c r="L512" i="1"/>
  <c r="O511" i="1" a="1"/>
  <c r="O511" i="1" s="1"/>
  <c r="M511" i="1"/>
  <c r="L511" i="1"/>
  <c r="O510" i="1" a="1"/>
  <c r="O510" i="1" s="1"/>
  <c r="M510" i="1"/>
  <c r="L510" i="1"/>
  <c r="O509" i="1" a="1"/>
  <c r="O509" i="1" s="1"/>
  <c r="M509" i="1"/>
  <c r="L509" i="1"/>
  <c r="O508" i="1" a="1"/>
  <c r="O508" i="1" s="1"/>
  <c r="M508" i="1"/>
  <c r="L508" i="1"/>
  <c r="O507" i="1" a="1"/>
  <c r="O507" i="1" s="1"/>
  <c r="M507" i="1"/>
  <c r="L507" i="1"/>
  <c r="O506" i="1" a="1"/>
  <c r="O506" i="1" s="1"/>
  <c r="M506" i="1"/>
  <c r="L506" i="1"/>
  <c r="O505" i="1" a="1"/>
  <c r="O505" i="1" s="1"/>
  <c r="M505" i="1"/>
  <c r="L505" i="1"/>
  <c r="O504" i="1" a="1"/>
  <c r="O504" i="1" s="1"/>
  <c r="M504" i="1"/>
  <c r="L504" i="1"/>
  <c r="O503" i="1" a="1"/>
  <c r="O503" i="1" s="1"/>
  <c r="M503" i="1"/>
  <c r="L503" i="1"/>
  <c r="O502" i="1" a="1"/>
  <c r="O502" i="1" s="1"/>
  <c r="M502" i="1"/>
  <c r="L502" i="1"/>
  <c r="O501" i="1" a="1"/>
  <c r="O501" i="1" s="1"/>
  <c r="M501" i="1"/>
  <c r="L501" i="1"/>
  <c r="O500" i="1" a="1"/>
  <c r="O500" i="1" s="1"/>
  <c r="M500" i="1"/>
  <c r="L500" i="1"/>
  <c r="O499" i="1" a="1"/>
  <c r="O499" i="1" s="1"/>
  <c r="M499" i="1"/>
  <c r="L499" i="1"/>
  <c r="O498" i="1" a="1"/>
  <c r="O498" i="1" s="1"/>
  <c r="M498" i="1"/>
  <c r="L498" i="1"/>
  <c r="O497" i="1" a="1"/>
  <c r="O497" i="1" s="1"/>
  <c r="M497" i="1"/>
  <c r="L497" i="1"/>
  <c r="O496" i="1" a="1"/>
  <c r="O496" i="1" s="1"/>
  <c r="M496" i="1"/>
  <c r="L496" i="1"/>
  <c r="O495" i="1" a="1"/>
  <c r="O495" i="1" s="1"/>
  <c r="M495" i="1"/>
  <c r="L495" i="1"/>
  <c r="O494" i="1" a="1"/>
  <c r="O494" i="1" s="1"/>
  <c r="M494" i="1"/>
  <c r="L494" i="1"/>
  <c r="O493" i="1" a="1"/>
  <c r="O493" i="1" s="1"/>
  <c r="M493" i="1"/>
  <c r="L493" i="1"/>
  <c r="O492" i="1" a="1"/>
  <c r="O492" i="1" s="1"/>
  <c r="M492" i="1"/>
  <c r="L492" i="1"/>
  <c r="O491" i="1" a="1"/>
  <c r="O491" i="1" s="1"/>
  <c r="M491" i="1"/>
  <c r="L491" i="1"/>
  <c r="O490" i="1" a="1"/>
  <c r="O490" i="1" s="1"/>
  <c r="M490" i="1"/>
  <c r="L490" i="1"/>
  <c r="O489" i="1" a="1"/>
  <c r="O489" i="1" s="1"/>
  <c r="M489" i="1"/>
  <c r="L489" i="1"/>
  <c r="O488" i="1" a="1"/>
  <c r="O488" i="1" s="1"/>
  <c r="M488" i="1"/>
  <c r="L488" i="1"/>
  <c r="O487" i="1" a="1"/>
  <c r="O487" i="1" s="1"/>
  <c r="M487" i="1"/>
  <c r="L487" i="1"/>
  <c r="O486" i="1" a="1"/>
  <c r="O486" i="1" s="1"/>
  <c r="M486" i="1"/>
  <c r="L486" i="1"/>
  <c r="O485" i="1" a="1"/>
  <c r="O485" i="1" s="1"/>
  <c r="M485" i="1"/>
  <c r="L485" i="1"/>
  <c r="O484" i="1" a="1"/>
  <c r="O484" i="1" s="1"/>
  <c r="M484" i="1"/>
  <c r="L484" i="1"/>
  <c r="O483" i="1" a="1"/>
  <c r="O483" i="1" s="1"/>
  <c r="M483" i="1"/>
  <c r="L483" i="1"/>
  <c r="O482" i="1" a="1"/>
  <c r="O482" i="1" s="1"/>
  <c r="M482" i="1"/>
  <c r="L482" i="1"/>
  <c r="O481" i="1" a="1"/>
  <c r="O481" i="1" s="1"/>
  <c r="M481" i="1"/>
  <c r="L481" i="1"/>
  <c r="O480" i="1" a="1"/>
  <c r="O480" i="1" s="1"/>
  <c r="M480" i="1"/>
  <c r="L480" i="1"/>
  <c r="O479" i="1" a="1"/>
  <c r="O479" i="1" s="1"/>
  <c r="M479" i="1"/>
  <c r="L479" i="1"/>
  <c r="O478" i="1" a="1"/>
  <c r="O478" i="1" s="1"/>
  <c r="M478" i="1"/>
  <c r="L478" i="1"/>
  <c r="O477" i="1" a="1"/>
  <c r="O477" i="1" s="1"/>
  <c r="M477" i="1"/>
  <c r="L477" i="1"/>
  <c r="O476" i="1" a="1"/>
  <c r="O476" i="1" s="1"/>
  <c r="M476" i="1"/>
  <c r="L476" i="1"/>
  <c r="O475" i="1" a="1"/>
  <c r="O475" i="1" s="1"/>
  <c r="M475" i="1"/>
  <c r="L475" i="1"/>
  <c r="O474" i="1" a="1"/>
  <c r="O474" i="1" s="1"/>
  <c r="M474" i="1"/>
  <c r="L474" i="1"/>
  <c r="O473" i="1" a="1"/>
  <c r="O473" i="1" s="1"/>
  <c r="M473" i="1"/>
  <c r="L473" i="1"/>
  <c r="O472" i="1" a="1"/>
  <c r="O472" i="1" s="1"/>
  <c r="M472" i="1"/>
  <c r="L472" i="1"/>
  <c r="O471" i="1" a="1"/>
  <c r="O471" i="1" s="1"/>
  <c r="M471" i="1"/>
  <c r="L471" i="1"/>
  <c r="O470" i="1" a="1"/>
  <c r="O470" i="1" s="1"/>
  <c r="M470" i="1"/>
  <c r="L470" i="1"/>
  <c r="O469" i="1" a="1"/>
  <c r="O469" i="1" s="1"/>
  <c r="M469" i="1"/>
  <c r="L469" i="1"/>
  <c r="O468" i="1" a="1"/>
  <c r="O468" i="1" s="1"/>
  <c r="M468" i="1"/>
  <c r="L468" i="1"/>
  <c r="O467" i="1" a="1"/>
  <c r="O467" i="1" s="1"/>
  <c r="M467" i="1"/>
  <c r="L467" i="1"/>
  <c r="O466" i="1" a="1"/>
  <c r="O466" i="1" s="1"/>
  <c r="M466" i="1"/>
  <c r="L466" i="1"/>
  <c r="O465" i="1" a="1"/>
  <c r="O465" i="1" s="1"/>
  <c r="M465" i="1"/>
  <c r="L465" i="1"/>
  <c r="O464" i="1" a="1"/>
  <c r="O464" i="1" s="1"/>
  <c r="M464" i="1"/>
  <c r="L464" i="1"/>
  <c r="O463" i="1" a="1"/>
  <c r="O463" i="1" s="1"/>
  <c r="M463" i="1"/>
  <c r="L463" i="1"/>
  <c r="O462" i="1" a="1"/>
  <c r="O462" i="1" s="1"/>
  <c r="M462" i="1"/>
  <c r="L462" i="1"/>
  <c r="O461" i="1" a="1"/>
  <c r="O461" i="1" s="1"/>
  <c r="M461" i="1"/>
  <c r="L461" i="1"/>
  <c r="O460" i="1" a="1"/>
  <c r="O460" i="1" s="1"/>
  <c r="M460" i="1"/>
  <c r="L460" i="1"/>
  <c r="O459" i="1" a="1"/>
  <c r="O459" i="1" s="1"/>
  <c r="M459" i="1"/>
  <c r="L459" i="1"/>
  <c r="O458" i="1" a="1"/>
  <c r="O458" i="1" s="1"/>
  <c r="M458" i="1"/>
  <c r="L458" i="1"/>
  <c r="O457" i="1" a="1"/>
  <c r="O457" i="1" s="1"/>
  <c r="M457" i="1"/>
  <c r="L457" i="1"/>
  <c r="O456" i="1" a="1"/>
  <c r="O456" i="1" s="1"/>
  <c r="M456" i="1"/>
  <c r="L456" i="1"/>
  <c r="O455" i="1" a="1"/>
  <c r="O455" i="1" s="1"/>
  <c r="M455" i="1"/>
  <c r="L455" i="1"/>
  <c r="O454" i="1" a="1"/>
  <c r="O454" i="1" s="1"/>
  <c r="M454" i="1"/>
  <c r="L454" i="1"/>
  <c r="O453" i="1" a="1"/>
  <c r="O453" i="1" s="1"/>
  <c r="M453" i="1"/>
  <c r="L453" i="1"/>
  <c r="O452" i="1" a="1"/>
  <c r="O452" i="1" s="1"/>
  <c r="M452" i="1"/>
  <c r="L452" i="1"/>
  <c r="O451" i="1" a="1"/>
  <c r="O451" i="1" s="1"/>
  <c r="M451" i="1"/>
  <c r="L451" i="1"/>
  <c r="O450" i="1" a="1"/>
  <c r="O450" i="1" s="1"/>
  <c r="M450" i="1"/>
  <c r="L450" i="1"/>
  <c r="O449" i="1" a="1"/>
  <c r="O449" i="1" s="1"/>
  <c r="M449" i="1"/>
  <c r="L449" i="1"/>
  <c r="O448" i="1" a="1"/>
  <c r="O448" i="1" s="1"/>
  <c r="M448" i="1"/>
  <c r="L448" i="1"/>
  <c r="O447" i="1" a="1"/>
  <c r="O447" i="1" s="1"/>
  <c r="M447" i="1"/>
  <c r="L447" i="1"/>
  <c r="O446" i="1" a="1"/>
  <c r="O446" i="1" s="1"/>
  <c r="M446" i="1"/>
  <c r="L446" i="1"/>
  <c r="O445" i="1" a="1"/>
  <c r="O445" i="1" s="1"/>
  <c r="M445" i="1"/>
  <c r="L445" i="1"/>
  <c r="O444" i="1" a="1"/>
  <c r="O444" i="1" s="1"/>
  <c r="M444" i="1"/>
  <c r="L444" i="1"/>
  <c r="O443" i="1" a="1"/>
  <c r="O443" i="1" s="1"/>
  <c r="M443" i="1"/>
  <c r="L443" i="1"/>
  <c r="O442" i="1" a="1"/>
  <c r="O442" i="1" s="1"/>
  <c r="M442" i="1"/>
  <c r="L442" i="1"/>
  <c r="O441" i="1" a="1"/>
  <c r="O441" i="1" s="1"/>
  <c r="M441" i="1"/>
  <c r="L441" i="1"/>
  <c r="O440" i="1" a="1"/>
  <c r="O440" i="1" s="1"/>
  <c r="M440" i="1"/>
  <c r="L440" i="1"/>
  <c r="O439" i="1" a="1"/>
  <c r="O439" i="1" s="1"/>
  <c r="M439" i="1"/>
  <c r="L439" i="1"/>
  <c r="O438" i="1" a="1"/>
  <c r="O438" i="1" s="1"/>
  <c r="M438" i="1"/>
  <c r="L438" i="1"/>
  <c r="O437" i="1" a="1"/>
  <c r="O437" i="1" s="1"/>
  <c r="M437" i="1"/>
  <c r="L437" i="1"/>
  <c r="O436" i="1" a="1"/>
  <c r="O436" i="1" s="1"/>
  <c r="M436" i="1"/>
  <c r="L436" i="1"/>
  <c r="O435" i="1" a="1"/>
  <c r="O435" i="1" s="1"/>
  <c r="M435" i="1"/>
  <c r="L435" i="1"/>
  <c r="O434" i="1" a="1"/>
  <c r="O434" i="1" s="1"/>
  <c r="M434" i="1"/>
  <c r="L434" i="1"/>
  <c r="O433" i="1" a="1"/>
  <c r="O433" i="1" s="1"/>
  <c r="M433" i="1"/>
  <c r="L433" i="1"/>
  <c r="O432" i="1" a="1"/>
  <c r="O432" i="1" s="1"/>
  <c r="M432" i="1"/>
  <c r="L432" i="1"/>
  <c r="O431" i="1" a="1"/>
  <c r="O431" i="1" s="1"/>
  <c r="M431" i="1"/>
  <c r="L431" i="1"/>
  <c r="O430" i="1" a="1"/>
  <c r="O430" i="1" s="1"/>
  <c r="M430" i="1"/>
  <c r="L430" i="1"/>
  <c r="O429" i="1" a="1"/>
  <c r="O429" i="1" s="1"/>
  <c r="M429" i="1"/>
  <c r="L429" i="1"/>
  <c r="O428" i="1" a="1"/>
  <c r="O428" i="1" s="1"/>
  <c r="M428" i="1"/>
  <c r="L428" i="1"/>
  <c r="O427" i="1" a="1"/>
  <c r="O427" i="1" s="1"/>
  <c r="M427" i="1"/>
  <c r="L427" i="1"/>
  <c r="O426" i="1" a="1"/>
  <c r="O426" i="1" s="1"/>
  <c r="M426" i="1"/>
  <c r="L426" i="1"/>
  <c r="O425" i="1" a="1"/>
  <c r="O425" i="1" s="1"/>
  <c r="M425" i="1"/>
  <c r="L425" i="1"/>
  <c r="O424" i="1" a="1"/>
  <c r="O424" i="1" s="1"/>
  <c r="M424" i="1"/>
  <c r="L424" i="1"/>
  <c r="O423" i="1" a="1"/>
  <c r="O423" i="1" s="1"/>
  <c r="M423" i="1"/>
  <c r="L423" i="1"/>
  <c r="O422" i="1" a="1"/>
  <c r="O422" i="1" s="1"/>
  <c r="M422" i="1"/>
  <c r="L422" i="1"/>
  <c r="O421" i="1" a="1"/>
  <c r="O421" i="1" s="1"/>
  <c r="M421" i="1"/>
  <c r="L421" i="1"/>
  <c r="O420" i="1" a="1"/>
  <c r="O420" i="1" s="1"/>
  <c r="M420" i="1"/>
  <c r="L420" i="1"/>
  <c r="O419" i="1" a="1"/>
  <c r="O419" i="1" s="1"/>
  <c r="M419" i="1"/>
  <c r="L419" i="1"/>
  <c r="O418" i="1" a="1"/>
  <c r="O418" i="1" s="1"/>
  <c r="M418" i="1"/>
  <c r="L418" i="1"/>
  <c r="O417" i="1" a="1"/>
  <c r="O417" i="1" s="1"/>
  <c r="M417" i="1"/>
  <c r="L417" i="1"/>
  <c r="O416" i="1" a="1"/>
  <c r="O416" i="1" s="1"/>
  <c r="M416" i="1"/>
  <c r="L416" i="1"/>
  <c r="O415" i="1" a="1"/>
  <c r="O415" i="1" s="1"/>
  <c r="M415" i="1"/>
  <c r="L415" i="1"/>
  <c r="O414" i="1" a="1"/>
  <c r="O414" i="1" s="1"/>
  <c r="M414" i="1"/>
  <c r="L414" i="1"/>
  <c r="O413" i="1" a="1"/>
  <c r="O413" i="1" s="1"/>
  <c r="M413" i="1"/>
  <c r="L413" i="1"/>
  <c r="O412" i="1" a="1"/>
  <c r="O412" i="1" s="1"/>
  <c r="M412" i="1"/>
  <c r="L412" i="1"/>
  <c r="O411" i="1" a="1"/>
  <c r="O411" i="1" s="1"/>
  <c r="M411" i="1"/>
  <c r="L411" i="1"/>
  <c r="O410" i="1" a="1"/>
  <c r="O410" i="1" s="1"/>
  <c r="M410" i="1"/>
  <c r="L410" i="1"/>
  <c r="O409" i="1" a="1"/>
  <c r="O409" i="1" s="1"/>
  <c r="M409" i="1"/>
  <c r="L409" i="1"/>
  <c r="O408" i="1" a="1"/>
  <c r="O408" i="1" s="1"/>
  <c r="M408" i="1"/>
  <c r="L408" i="1"/>
  <c r="O407" i="1" a="1"/>
  <c r="O407" i="1" s="1"/>
  <c r="M407" i="1"/>
  <c r="L407" i="1"/>
  <c r="O406" i="1" a="1"/>
  <c r="O406" i="1" s="1"/>
  <c r="M406" i="1"/>
  <c r="L406" i="1"/>
  <c r="O405" i="1" a="1"/>
  <c r="O405" i="1" s="1"/>
  <c r="M405" i="1"/>
  <c r="L405" i="1"/>
  <c r="O404" i="1" a="1"/>
  <c r="O404" i="1" s="1"/>
  <c r="M404" i="1"/>
  <c r="L404" i="1"/>
  <c r="O403" i="1" a="1"/>
  <c r="O403" i="1" s="1"/>
  <c r="M403" i="1"/>
  <c r="L403" i="1"/>
  <c r="O402" i="1" a="1"/>
  <c r="O402" i="1" s="1"/>
  <c r="M402" i="1"/>
  <c r="L402" i="1"/>
  <c r="O401" i="1" a="1"/>
  <c r="O401" i="1" s="1"/>
  <c r="M401" i="1"/>
  <c r="L401" i="1"/>
  <c r="O400" i="1" a="1"/>
  <c r="O400" i="1" s="1"/>
  <c r="M400" i="1"/>
  <c r="L400" i="1"/>
  <c r="O399" i="1" a="1"/>
  <c r="O399" i="1" s="1"/>
  <c r="M399" i="1"/>
  <c r="L399" i="1"/>
  <c r="O398" i="1" a="1"/>
  <c r="O398" i="1" s="1"/>
  <c r="M398" i="1"/>
  <c r="L398" i="1"/>
  <c r="O397" i="1" a="1"/>
  <c r="O397" i="1" s="1"/>
  <c r="M397" i="1"/>
  <c r="L397" i="1"/>
  <c r="O396" i="1" a="1"/>
  <c r="O396" i="1" s="1"/>
  <c r="M396" i="1"/>
  <c r="L396" i="1"/>
  <c r="O395" i="1" a="1"/>
  <c r="O395" i="1" s="1"/>
  <c r="M395" i="1"/>
  <c r="L395" i="1"/>
  <c r="O394" i="1" a="1"/>
  <c r="O394" i="1" s="1"/>
  <c r="M394" i="1"/>
  <c r="L394" i="1"/>
  <c r="O393" i="1" a="1"/>
  <c r="O393" i="1" s="1"/>
  <c r="M393" i="1"/>
  <c r="L393" i="1"/>
  <c r="O392" i="1" a="1"/>
  <c r="O392" i="1" s="1"/>
  <c r="M392" i="1"/>
  <c r="L392" i="1"/>
  <c r="O391" i="1" a="1"/>
  <c r="O391" i="1" s="1"/>
  <c r="M391" i="1"/>
  <c r="L391" i="1"/>
  <c r="O390" i="1" a="1"/>
  <c r="O390" i="1" s="1"/>
  <c r="M390" i="1"/>
  <c r="L390" i="1"/>
  <c r="O389" i="1" a="1"/>
  <c r="O389" i="1" s="1"/>
  <c r="M389" i="1"/>
  <c r="L389" i="1"/>
  <c r="O388" i="1" a="1"/>
  <c r="O388" i="1" s="1"/>
  <c r="M388" i="1"/>
  <c r="L388" i="1"/>
  <c r="O387" i="1" a="1"/>
  <c r="O387" i="1" s="1"/>
  <c r="M387" i="1"/>
  <c r="L387" i="1"/>
  <c r="O386" i="1" a="1"/>
  <c r="O386" i="1" s="1"/>
  <c r="M386" i="1"/>
  <c r="L386" i="1"/>
  <c r="O385" i="1" a="1"/>
  <c r="O385" i="1" s="1"/>
  <c r="M385" i="1"/>
  <c r="L385" i="1"/>
  <c r="O384" i="1" a="1"/>
  <c r="O384" i="1" s="1"/>
  <c r="M384" i="1"/>
  <c r="L384" i="1"/>
  <c r="O383" i="1" a="1"/>
  <c r="O383" i="1" s="1"/>
  <c r="M383" i="1"/>
  <c r="L383" i="1"/>
  <c r="O382" i="1" a="1"/>
  <c r="O382" i="1" s="1"/>
  <c r="M382" i="1"/>
  <c r="L382" i="1"/>
  <c r="O381" i="1" a="1"/>
  <c r="O381" i="1" s="1"/>
  <c r="M381" i="1"/>
  <c r="L381" i="1"/>
  <c r="O380" i="1" a="1"/>
  <c r="O380" i="1" s="1"/>
  <c r="M380" i="1"/>
  <c r="L380" i="1"/>
  <c r="O379" i="1" a="1"/>
  <c r="O379" i="1" s="1"/>
  <c r="M379" i="1"/>
  <c r="L379" i="1"/>
  <c r="O378" i="1" a="1"/>
  <c r="O378" i="1" s="1"/>
  <c r="M378" i="1"/>
  <c r="L378" i="1"/>
  <c r="O377" i="1" a="1"/>
  <c r="O377" i="1" s="1"/>
  <c r="M377" i="1"/>
  <c r="L377" i="1"/>
  <c r="O376" i="1" a="1"/>
  <c r="O376" i="1" s="1"/>
  <c r="M376" i="1"/>
  <c r="L376" i="1"/>
  <c r="O375" i="1" a="1"/>
  <c r="O375" i="1" s="1"/>
  <c r="M375" i="1"/>
  <c r="L375" i="1"/>
  <c r="O374" i="1" a="1"/>
  <c r="O374" i="1" s="1"/>
  <c r="M374" i="1"/>
  <c r="L374" i="1"/>
  <c r="O373" i="1" a="1"/>
  <c r="O373" i="1" s="1"/>
  <c r="M373" i="1"/>
  <c r="L373" i="1"/>
  <c r="O372" i="1" a="1"/>
  <c r="O372" i="1" s="1"/>
  <c r="M372" i="1"/>
  <c r="L372" i="1"/>
  <c r="O371" i="1" a="1"/>
  <c r="O371" i="1" s="1"/>
  <c r="M371" i="1"/>
  <c r="L371" i="1"/>
  <c r="O370" i="1" a="1"/>
  <c r="O370" i="1" s="1"/>
  <c r="M370" i="1"/>
  <c r="L370" i="1"/>
  <c r="O369" i="1" a="1"/>
  <c r="O369" i="1" s="1"/>
  <c r="M369" i="1"/>
  <c r="L369" i="1"/>
  <c r="O368" i="1" a="1"/>
  <c r="O368" i="1" s="1"/>
  <c r="M368" i="1"/>
  <c r="L368" i="1"/>
  <c r="O367" i="1" a="1"/>
  <c r="O367" i="1" s="1"/>
  <c r="M367" i="1"/>
  <c r="L367" i="1"/>
  <c r="O366" i="1" a="1"/>
  <c r="O366" i="1" s="1"/>
  <c r="M366" i="1"/>
  <c r="L366" i="1"/>
  <c r="O365" i="1" a="1"/>
  <c r="O365" i="1" s="1"/>
  <c r="M365" i="1"/>
  <c r="L365" i="1"/>
  <c r="O364" i="1" a="1"/>
  <c r="O364" i="1" s="1"/>
  <c r="M364" i="1"/>
  <c r="L364" i="1"/>
  <c r="O363" i="1" a="1"/>
  <c r="O363" i="1" s="1"/>
  <c r="M363" i="1"/>
  <c r="L363" i="1"/>
  <c r="O362" i="1" a="1"/>
  <c r="O362" i="1" s="1"/>
  <c r="M362" i="1"/>
  <c r="L362" i="1"/>
  <c r="O361" i="1" a="1"/>
  <c r="O361" i="1" s="1"/>
  <c r="M361" i="1"/>
  <c r="L361" i="1"/>
  <c r="O360" i="1" a="1"/>
  <c r="O360" i="1" s="1"/>
  <c r="M360" i="1"/>
  <c r="L360" i="1"/>
  <c r="O359" i="1" a="1"/>
  <c r="O359" i="1" s="1"/>
  <c r="M359" i="1"/>
  <c r="L359" i="1"/>
  <c r="O358" i="1" a="1"/>
  <c r="O358" i="1" s="1"/>
  <c r="M358" i="1"/>
  <c r="L358" i="1"/>
  <c r="O357" i="1" a="1"/>
  <c r="O357" i="1" s="1"/>
  <c r="M357" i="1"/>
  <c r="L357" i="1"/>
  <c r="O356" i="1" a="1"/>
  <c r="O356" i="1" s="1"/>
  <c r="M356" i="1"/>
  <c r="L356" i="1"/>
  <c r="O355" i="1" a="1"/>
  <c r="O355" i="1" s="1"/>
  <c r="M355" i="1"/>
  <c r="L355" i="1"/>
  <c r="O354" i="1" a="1"/>
  <c r="O354" i="1" s="1"/>
  <c r="M354" i="1"/>
  <c r="L354" i="1"/>
  <c r="O353" i="1" a="1"/>
  <c r="O353" i="1" s="1"/>
  <c r="M353" i="1"/>
  <c r="L353" i="1"/>
  <c r="O352" i="1" a="1"/>
  <c r="O352" i="1" s="1"/>
  <c r="M352" i="1"/>
  <c r="L352" i="1"/>
  <c r="O351" i="1" a="1"/>
  <c r="O351" i="1" s="1"/>
  <c r="M351" i="1"/>
  <c r="L351" i="1"/>
  <c r="O350" i="1" a="1"/>
  <c r="O350" i="1" s="1"/>
  <c r="M350" i="1"/>
  <c r="L350" i="1"/>
  <c r="O349" i="1" a="1"/>
  <c r="O349" i="1" s="1"/>
  <c r="M349" i="1"/>
  <c r="L349" i="1"/>
  <c r="O348" i="1" a="1"/>
  <c r="O348" i="1" s="1"/>
  <c r="M348" i="1"/>
  <c r="L348" i="1"/>
  <c r="O347" i="1" a="1"/>
  <c r="O347" i="1" s="1"/>
  <c r="M347" i="1"/>
  <c r="L347" i="1"/>
  <c r="O346" i="1" a="1"/>
  <c r="O346" i="1" s="1"/>
  <c r="M346" i="1"/>
  <c r="L346" i="1"/>
  <c r="O345" i="1" a="1"/>
  <c r="O345" i="1" s="1"/>
  <c r="M345" i="1"/>
  <c r="L345" i="1"/>
  <c r="O344" i="1" a="1"/>
  <c r="O344" i="1" s="1"/>
  <c r="M344" i="1"/>
  <c r="L344" i="1"/>
  <c r="O343" i="1" a="1"/>
  <c r="O343" i="1" s="1"/>
  <c r="M343" i="1"/>
  <c r="L343" i="1"/>
  <c r="O342" i="1" a="1"/>
  <c r="O342" i="1" s="1"/>
  <c r="M342" i="1"/>
  <c r="L342" i="1"/>
  <c r="O341" i="1" a="1"/>
  <c r="O341" i="1" s="1"/>
  <c r="M341" i="1"/>
  <c r="L341" i="1"/>
  <c r="O340" i="1" a="1"/>
  <c r="O340" i="1" s="1"/>
  <c r="M340" i="1"/>
  <c r="L340" i="1"/>
  <c r="O339" i="1" a="1"/>
  <c r="O339" i="1" s="1"/>
  <c r="M339" i="1"/>
  <c r="L339" i="1"/>
  <c r="O338" i="1" a="1"/>
  <c r="O338" i="1" s="1"/>
  <c r="M338" i="1"/>
  <c r="L338" i="1"/>
  <c r="O337" i="1" a="1"/>
  <c r="O337" i="1" s="1"/>
  <c r="M337" i="1"/>
  <c r="L337" i="1"/>
  <c r="O336" i="1" a="1"/>
  <c r="O336" i="1" s="1"/>
  <c r="M336" i="1"/>
  <c r="L336" i="1"/>
  <c r="O335" i="1" a="1"/>
  <c r="O335" i="1" s="1"/>
  <c r="M335" i="1"/>
  <c r="L335" i="1"/>
  <c r="O334" i="1" a="1"/>
  <c r="O334" i="1" s="1"/>
  <c r="M334" i="1"/>
  <c r="L334" i="1"/>
  <c r="O333" i="1" a="1"/>
  <c r="O333" i="1" s="1"/>
  <c r="M333" i="1"/>
  <c r="L333" i="1"/>
  <c r="O332" i="1" a="1"/>
  <c r="O332" i="1" s="1"/>
  <c r="M332" i="1"/>
  <c r="L332" i="1"/>
  <c r="O331" i="1" a="1"/>
  <c r="O331" i="1" s="1"/>
  <c r="M331" i="1"/>
  <c r="L331" i="1"/>
  <c r="O330" i="1" a="1"/>
  <c r="O330" i="1" s="1"/>
  <c r="M330" i="1"/>
  <c r="L330" i="1"/>
  <c r="O329" i="1" a="1"/>
  <c r="O329" i="1" s="1"/>
  <c r="M329" i="1"/>
  <c r="L329" i="1"/>
  <c r="O328" i="1" a="1"/>
  <c r="O328" i="1" s="1"/>
  <c r="M328" i="1"/>
  <c r="L328" i="1"/>
  <c r="O327" i="1" a="1"/>
  <c r="O327" i="1" s="1"/>
  <c r="M327" i="1"/>
  <c r="L327" i="1"/>
  <c r="O326" i="1" a="1"/>
  <c r="O326" i="1" s="1"/>
  <c r="M326" i="1"/>
  <c r="L326" i="1"/>
  <c r="O325" i="1" a="1"/>
  <c r="O325" i="1" s="1"/>
  <c r="M325" i="1"/>
  <c r="L325" i="1"/>
  <c r="O324" i="1" a="1"/>
  <c r="O324" i="1" s="1"/>
  <c r="M324" i="1"/>
  <c r="L324" i="1"/>
  <c r="O323" i="1" a="1"/>
  <c r="O323" i="1" s="1"/>
  <c r="M323" i="1"/>
  <c r="L323" i="1"/>
  <c r="O322" i="1" a="1"/>
  <c r="O322" i="1" s="1"/>
  <c r="M322" i="1"/>
  <c r="L322" i="1"/>
  <c r="O321" i="1" a="1"/>
  <c r="O321" i="1" s="1"/>
  <c r="M321" i="1"/>
  <c r="L321" i="1"/>
  <c r="O320" i="1" a="1"/>
  <c r="O320" i="1" s="1"/>
  <c r="M320" i="1"/>
  <c r="L320" i="1"/>
  <c r="O319" i="1" a="1"/>
  <c r="O319" i="1" s="1"/>
  <c r="M319" i="1"/>
  <c r="L319" i="1"/>
  <c r="O318" i="1" a="1"/>
  <c r="O318" i="1" s="1"/>
  <c r="M318" i="1"/>
  <c r="L318" i="1"/>
  <c r="O317" i="1" a="1"/>
  <c r="O317" i="1" s="1"/>
  <c r="M317" i="1"/>
  <c r="L317" i="1"/>
  <c r="O316" i="1" a="1"/>
  <c r="O316" i="1" s="1"/>
  <c r="M316" i="1"/>
  <c r="L316" i="1"/>
  <c r="O315" i="1" a="1"/>
  <c r="O315" i="1" s="1"/>
  <c r="M315" i="1"/>
  <c r="L315" i="1"/>
  <c r="O314" i="1" a="1"/>
  <c r="O314" i="1" s="1"/>
  <c r="M314" i="1"/>
  <c r="L314" i="1"/>
  <c r="O313" i="1" a="1"/>
  <c r="O313" i="1" s="1"/>
  <c r="M313" i="1"/>
  <c r="L313" i="1"/>
  <c r="O312" i="1" a="1"/>
  <c r="O312" i="1" s="1"/>
  <c r="M312" i="1"/>
  <c r="L312" i="1"/>
  <c r="O311" i="1" a="1"/>
  <c r="O311" i="1" s="1"/>
  <c r="M311" i="1"/>
  <c r="L311" i="1"/>
  <c r="O310" i="1" a="1"/>
  <c r="O310" i="1" s="1"/>
  <c r="M310" i="1"/>
  <c r="L310" i="1"/>
  <c r="O309" i="1" a="1"/>
  <c r="O309" i="1" s="1"/>
  <c r="M309" i="1"/>
  <c r="L309" i="1"/>
  <c r="O308" i="1" a="1"/>
  <c r="O308" i="1" s="1"/>
  <c r="M308" i="1"/>
  <c r="L308" i="1"/>
  <c r="O307" i="1" a="1"/>
  <c r="O307" i="1" s="1"/>
  <c r="M307" i="1"/>
  <c r="L307" i="1"/>
  <c r="O306" i="1" a="1"/>
  <c r="O306" i="1" s="1"/>
  <c r="M306" i="1"/>
  <c r="L306" i="1"/>
  <c r="O305" i="1" a="1"/>
  <c r="O305" i="1" s="1"/>
  <c r="M305" i="1"/>
  <c r="L305" i="1"/>
  <c r="O304" i="1" a="1"/>
  <c r="O304" i="1" s="1"/>
  <c r="M304" i="1"/>
  <c r="L304" i="1"/>
  <c r="O303" i="1" a="1"/>
  <c r="O303" i="1" s="1"/>
  <c r="M303" i="1"/>
  <c r="L303" i="1"/>
  <c r="O302" i="1" a="1"/>
  <c r="O302" i="1" s="1"/>
  <c r="M302" i="1"/>
  <c r="L302" i="1"/>
  <c r="O301" i="1" a="1"/>
  <c r="O301" i="1" s="1"/>
  <c r="M301" i="1"/>
  <c r="L301" i="1"/>
  <c r="O300" i="1" a="1"/>
  <c r="O300" i="1" s="1"/>
  <c r="M300" i="1"/>
  <c r="L300" i="1"/>
  <c r="O299" i="1" a="1"/>
  <c r="O299" i="1" s="1"/>
  <c r="M299" i="1"/>
  <c r="L299" i="1"/>
  <c r="O298" i="1" a="1"/>
  <c r="O298" i="1" s="1"/>
  <c r="M298" i="1"/>
  <c r="L298" i="1"/>
  <c r="O297" i="1" a="1"/>
  <c r="O297" i="1" s="1"/>
  <c r="M297" i="1"/>
  <c r="L297" i="1"/>
  <c r="O296" i="1" a="1"/>
  <c r="O296" i="1" s="1"/>
  <c r="M296" i="1"/>
  <c r="L296" i="1"/>
  <c r="O295" i="1" a="1"/>
  <c r="O295" i="1" s="1"/>
  <c r="M295" i="1"/>
  <c r="L295" i="1"/>
  <c r="O294" i="1" a="1"/>
  <c r="O294" i="1" s="1"/>
  <c r="M294" i="1"/>
  <c r="L294" i="1"/>
  <c r="O293" i="1" a="1"/>
  <c r="O293" i="1" s="1"/>
  <c r="M293" i="1"/>
  <c r="L293" i="1"/>
  <c r="O292" i="1" a="1"/>
  <c r="O292" i="1" s="1"/>
  <c r="M292" i="1"/>
  <c r="L292" i="1"/>
  <c r="O291" i="1" a="1"/>
  <c r="O291" i="1" s="1"/>
  <c r="M291" i="1"/>
  <c r="L291" i="1"/>
  <c r="O290" i="1" a="1"/>
  <c r="O290" i="1" s="1"/>
  <c r="M290" i="1"/>
  <c r="L290" i="1"/>
  <c r="O289" i="1" a="1"/>
  <c r="O289" i="1" s="1"/>
  <c r="M289" i="1"/>
  <c r="L289" i="1"/>
  <c r="O288" i="1" a="1"/>
  <c r="O288" i="1" s="1"/>
  <c r="M288" i="1"/>
  <c r="L288" i="1"/>
  <c r="O287" i="1" a="1"/>
  <c r="O287" i="1" s="1"/>
  <c r="M287" i="1"/>
  <c r="L287" i="1"/>
  <c r="O286" i="1" a="1"/>
  <c r="O286" i="1" s="1"/>
  <c r="M286" i="1"/>
  <c r="L286" i="1"/>
  <c r="O285" i="1" a="1"/>
  <c r="O285" i="1" s="1"/>
  <c r="M285" i="1"/>
  <c r="L285" i="1"/>
  <c r="O284" i="1" a="1"/>
  <c r="O284" i="1" s="1"/>
  <c r="M284" i="1"/>
  <c r="L284" i="1"/>
  <c r="O283" i="1" a="1"/>
  <c r="O283" i="1" s="1"/>
  <c r="M283" i="1"/>
  <c r="L283" i="1"/>
  <c r="O282" i="1" a="1"/>
  <c r="O282" i="1" s="1"/>
  <c r="M282" i="1"/>
  <c r="L282" i="1"/>
  <c r="O281" i="1" a="1"/>
  <c r="O281" i="1" s="1"/>
  <c r="M281" i="1"/>
  <c r="L281" i="1"/>
  <c r="O280" i="1" a="1"/>
  <c r="O280" i="1" s="1"/>
  <c r="M280" i="1"/>
  <c r="L280" i="1"/>
  <c r="O279" i="1" a="1"/>
  <c r="O279" i="1" s="1"/>
  <c r="M279" i="1"/>
  <c r="L279" i="1"/>
  <c r="O278" i="1" a="1"/>
  <c r="O278" i="1" s="1"/>
  <c r="M278" i="1"/>
  <c r="L278" i="1"/>
  <c r="O277" i="1" a="1"/>
  <c r="O277" i="1" s="1"/>
  <c r="M277" i="1"/>
  <c r="L277" i="1"/>
  <c r="O276" i="1" a="1"/>
  <c r="O276" i="1" s="1"/>
  <c r="M276" i="1"/>
  <c r="L276" i="1"/>
  <c r="O275" i="1" a="1"/>
  <c r="O275" i="1" s="1"/>
  <c r="M275" i="1"/>
  <c r="L275" i="1"/>
  <c r="O274" i="1" a="1"/>
  <c r="O274" i="1" s="1"/>
  <c r="M274" i="1"/>
  <c r="L274" i="1"/>
  <c r="O273" i="1" a="1"/>
  <c r="O273" i="1" s="1"/>
  <c r="M273" i="1"/>
  <c r="L273" i="1"/>
  <c r="O272" i="1" a="1"/>
  <c r="O272" i="1" s="1"/>
  <c r="M272" i="1"/>
  <c r="L272" i="1"/>
  <c r="O271" i="1" a="1"/>
  <c r="O271" i="1" s="1"/>
  <c r="M271" i="1"/>
  <c r="L271" i="1"/>
  <c r="O270" i="1" a="1"/>
  <c r="O270" i="1" s="1"/>
  <c r="M270" i="1"/>
  <c r="L270" i="1"/>
  <c r="O269" i="1" a="1"/>
  <c r="O269" i="1" s="1"/>
  <c r="M269" i="1"/>
  <c r="L269" i="1"/>
  <c r="O268" i="1" a="1"/>
  <c r="O268" i="1" s="1"/>
  <c r="M268" i="1"/>
  <c r="L268" i="1"/>
  <c r="O267" i="1" a="1"/>
  <c r="O267" i="1" s="1"/>
  <c r="M267" i="1"/>
  <c r="L267" i="1"/>
  <c r="O266" i="1" a="1"/>
  <c r="O266" i="1" s="1"/>
  <c r="M266" i="1"/>
  <c r="L266" i="1"/>
  <c r="O265" i="1" a="1"/>
  <c r="O265" i="1" s="1"/>
  <c r="M265" i="1"/>
  <c r="L265" i="1"/>
  <c r="O264" i="1" a="1"/>
  <c r="O264" i="1" s="1"/>
  <c r="M264" i="1"/>
  <c r="L264" i="1"/>
  <c r="O263" i="1" a="1"/>
  <c r="O263" i="1" s="1"/>
  <c r="M263" i="1"/>
  <c r="L263" i="1"/>
  <c r="O262" i="1" a="1"/>
  <c r="O262" i="1" s="1"/>
  <c r="M262" i="1"/>
  <c r="L262" i="1"/>
  <c r="O261" i="1" a="1"/>
  <c r="O261" i="1" s="1"/>
  <c r="M261" i="1"/>
  <c r="L261" i="1"/>
  <c r="O260" i="1" a="1"/>
  <c r="O260" i="1" s="1"/>
  <c r="M260" i="1"/>
  <c r="L260" i="1"/>
  <c r="O259" i="1" a="1"/>
  <c r="O259" i="1" s="1"/>
  <c r="M259" i="1"/>
  <c r="L259" i="1"/>
  <c r="O258" i="1" a="1"/>
  <c r="O258" i="1" s="1"/>
  <c r="M258" i="1"/>
  <c r="L258" i="1"/>
  <c r="O257" i="1" a="1"/>
  <c r="O257" i="1" s="1"/>
  <c r="M257" i="1"/>
  <c r="L257" i="1"/>
  <c r="O256" i="1" a="1"/>
  <c r="O256" i="1" s="1"/>
  <c r="M256" i="1"/>
  <c r="L256" i="1"/>
  <c r="O255" i="1" a="1"/>
  <c r="O255" i="1" s="1"/>
  <c r="M255" i="1"/>
  <c r="L255" i="1"/>
  <c r="O254" i="1" a="1"/>
  <c r="O254" i="1" s="1"/>
  <c r="M254" i="1"/>
  <c r="L254" i="1"/>
  <c r="O253" i="1" a="1"/>
  <c r="O253" i="1" s="1"/>
  <c r="M253" i="1"/>
  <c r="L253" i="1"/>
  <c r="O252" i="1" a="1"/>
  <c r="O252" i="1" s="1"/>
  <c r="M252" i="1"/>
  <c r="L252" i="1"/>
  <c r="O251" i="1" a="1"/>
  <c r="O251" i="1" s="1"/>
  <c r="M251" i="1"/>
  <c r="L251" i="1"/>
  <c r="O250" i="1" a="1"/>
  <c r="O250" i="1" s="1"/>
  <c r="M250" i="1"/>
  <c r="L250" i="1"/>
  <c r="O249" i="1" a="1"/>
  <c r="O249" i="1" s="1"/>
  <c r="M249" i="1"/>
  <c r="L249" i="1"/>
  <c r="O248" i="1" a="1"/>
  <c r="O248" i="1" s="1"/>
  <c r="M248" i="1"/>
  <c r="L248" i="1"/>
  <c r="O247" i="1" a="1"/>
  <c r="O247" i="1" s="1"/>
  <c r="M247" i="1"/>
  <c r="L247" i="1"/>
  <c r="O246" i="1" a="1"/>
  <c r="O246" i="1" s="1"/>
  <c r="M246" i="1"/>
  <c r="L246" i="1"/>
  <c r="O245" i="1" a="1"/>
  <c r="O245" i="1" s="1"/>
  <c r="M245" i="1"/>
  <c r="L245" i="1"/>
  <c r="O244" i="1" a="1"/>
  <c r="O244" i="1" s="1"/>
  <c r="M244" i="1"/>
  <c r="L244" i="1"/>
  <c r="O243" i="1" a="1"/>
  <c r="O243" i="1" s="1"/>
  <c r="M243" i="1"/>
  <c r="L243" i="1"/>
  <c r="O242" i="1" a="1"/>
  <c r="O242" i="1" s="1"/>
  <c r="M242" i="1"/>
  <c r="L242" i="1"/>
  <c r="O241" i="1" a="1"/>
  <c r="O241" i="1" s="1"/>
  <c r="M241" i="1"/>
  <c r="L241" i="1"/>
  <c r="O240" i="1" a="1"/>
  <c r="O240" i="1" s="1"/>
  <c r="M240" i="1"/>
  <c r="L240" i="1"/>
  <c r="O239" i="1" a="1"/>
  <c r="O239" i="1" s="1"/>
  <c r="M239" i="1"/>
  <c r="L239" i="1"/>
  <c r="O238" i="1" a="1"/>
  <c r="O238" i="1" s="1"/>
  <c r="M238" i="1"/>
  <c r="L238" i="1"/>
  <c r="O237" i="1" a="1"/>
  <c r="O237" i="1" s="1"/>
  <c r="M237" i="1"/>
  <c r="L237" i="1"/>
  <c r="O236" i="1" a="1"/>
  <c r="O236" i="1" s="1"/>
  <c r="M236" i="1"/>
  <c r="L236" i="1"/>
  <c r="O235" i="1" a="1"/>
  <c r="O235" i="1" s="1"/>
  <c r="M235" i="1"/>
  <c r="L235" i="1"/>
  <c r="O234" i="1" a="1"/>
  <c r="O234" i="1" s="1"/>
  <c r="M234" i="1"/>
  <c r="L234" i="1"/>
  <c r="O233" i="1" a="1"/>
  <c r="O233" i="1" s="1"/>
  <c r="M233" i="1"/>
  <c r="L233" i="1"/>
  <c r="O232" i="1" a="1"/>
  <c r="O232" i="1" s="1"/>
  <c r="M232" i="1"/>
  <c r="L232" i="1"/>
  <c r="O231" i="1" a="1"/>
  <c r="O231" i="1" s="1"/>
  <c r="M231" i="1"/>
  <c r="L231" i="1"/>
  <c r="O230" i="1" a="1"/>
  <c r="O230" i="1" s="1"/>
  <c r="M230" i="1"/>
  <c r="L230" i="1"/>
  <c r="O229" i="1" a="1"/>
  <c r="O229" i="1" s="1"/>
  <c r="M229" i="1"/>
  <c r="L229" i="1"/>
  <c r="O228" i="1" a="1"/>
  <c r="O228" i="1" s="1"/>
  <c r="M228" i="1"/>
  <c r="L228" i="1"/>
  <c r="O227" i="1" a="1"/>
  <c r="O227" i="1" s="1"/>
  <c r="M227" i="1"/>
  <c r="L227" i="1"/>
  <c r="O226" i="1" a="1"/>
  <c r="O226" i="1" s="1"/>
  <c r="M226" i="1"/>
  <c r="L226" i="1"/>
  <c r="O225" i="1" a="1"/>
  <c r="O225" i="1" s="1"/>
  <c r="M225" i="1"/>
  <c r="L225" i="1"/>
  <c r="O224" i="1" a="1"/>
  <c r="O224" i="1" s="1"/>
  <c r="M224" i="1"/>
  <c r="L224" i="1"/>
  <c r="O223" i="1" a="1"/>
  <c r="O223" i="1" s="1"/>
  <c r="M223" i="1"/>
  <c r="L223" i="1"/>
  <c r="O222" i="1" a="1"/>
  <c r="O222" i="1" s="1"/>
  <c r="M222" i="1"/>
  <c r="L222" i="1"/>
  <c r="O221" i="1" a="1"/>
  <c r="O221" i="1" s="1"/>
  <c r="M221" i="1"/>
  <c r="L221" i="1"/>
  <c r="O220" i="1" a="1"/>
  <c r="O220" i="1" s="1"/>
  <c r="M220" i="1"/>
  <c r="L220" i="1"/>
  <c r="O219" i="1" a="1"/>
  <c r="O219" i="1" s="1"/>
  <c r="M219" i="1"/>
  <c r="L219" i="1"/>
  <c r="O218" i="1" a="1"/>
  <c r="O218" i="1" s="1"/>
  <c r="M218" i="1"/>
  <c r="L218" i="1"/>
  <c r="O217" i="1" a="1"/>
  <c r="O217" i="1" s="1"/>
  <c r="M217" i="1"/>
  <c r="L217" i="1"/>
  <c r="O216" i="1" a="1"/>
  <c r="O216" i="1" s="1"/>
  <c r="M216" i="1"/>
  <c r="L216" i="1"/>
  <c r="N216" i="1" s="1"/>
  <c r="O215" i="1" a="1"/>
  <c r="O215" i="1" s="1"/>
  <c r="M215" i="1"/>
  <c r="L215" i="1"/>
  <c r="O214" i="1" a="1"/>
  <c r="O214" i="1" s="1"/>
  <c r="M214" i="1"/>
  <c r="L214" i="1"/>
  <c r="O213" i="1" a="1"/>
  <c r="O213" i="1" s="1"/>
  <c r="M213" i="1"/>
  <c r="L213" i="1"/>
  <c r="O212" i="1" a="1"/>
  <c r="O212" i="1" s="1"/>
  <c r="M212" i="1"/>
  <c r="L212" i="1"/>
  <c r="O211" i="1" a="1"/>
  <c r="O211" i="1" s="1"/>
  <c r="M211" i="1"/>
  <c r="L211" i="1"/>
  <c r="O210" i="1" a="1"/>
  <c r="O210" i="1" s="1"/>
  <c r="M210" i="1"/>
  <c r="L210" i="1"/>
  <c r="O209" i="1" a="1"/>
  <c r="O209" i="1" s="1"/>
  <c r="M209" i="1"/>
  <c r="L209" i="1"/>
  <c r="O208" i="1" a="1"/>
  <c r="O208" i="1" s="1"/>
  <c r="M208" i="1"/>
  <c r="L208" i="1"/>
  <c r="O207" i="1" a="1"/>
  <c r="O207" i="1" s="1"/>
  <c r="M207" i="1"/>
  <c r="L207" i="1"/>
  <c r="O206" i="1" a="1"/>
  <c r="O206" i="1" s="1"/>
  <c r="M206" i="1"/>
  <c r="L206" i="1"/>
  <c r="O205" i="1" a="1"/>
  <c r="O205" i="1" s="1"/>
  <c r="M205" i="1"/>
  <c r="L205" i="1"/>
  <c r="O204" i="1" a="1"/>
  <c r="O204" i="1" s="1"/>
  <c r="M204" i="1"/>
  <c r="L204" i="1"/>
  <c r="O203" i="1" a="1"/>
  <c r="O203" i="1" s="1"/>
  <c r="M203" i="1"/>
  <c r="L203" i="1"/>
  <c r="O202" i="1" a="1"/>
  <c r="O202" i="1" s="1"/>
  <c r="M202" i="1"/>
  <c r="L202" i="1"/>
  <c r="O201" i="1" a="1"/>
  <c r="O201" i="1" s="1"/>
  <c r="M201" i="1"/>
  <c r="L201" i="1"/>
  <c r="O200" i="1" a="1"/>
  <c r="O200" i="1" s="1"/>
  <c r="M200" i="1"/>
  <c r="L200" i="1"/>
  <c r="O199" i="1" a="1"/>
  <c r="O199" i="1" s="1"/>
  <c r="M199" i="1"/>
  <c r="L199" i="1"/>
  <c r="O198" i="1" a="1"/>
  <c r="O198" i="1" s="1"/>
  <c r="M198" i="1"/>
  <c r="L198" i="1"/>
  <c r="O197" i="1" a="1"/>
  <c r="O197" i="1" s="1"/>
  <c r="M197" i="1"/>
  <c r="L197" i="1"/>
  <c r="O196" i="1" a="1"/>
  <c r="O196" i="1" s="1"/>
  <c r="M196" i="1"/>
  <c r="L196" i="1"/>
  <c r="O195" i="1" a="1"/>
  <c r="O195" i="1" s="1"/>
  <c r="M195" i="1"/>
  <c r="L195" i="1"/>
  <c r="O194" i="1" a="1"/>
  <c r="O194" i="1" s="1"/>
  <c r="M194" i="1"/>
  <c r="L194" i="1"/>
  <c r="O193" i="1" a="1"/>
  <c r="O193" i="1" s="1"/>
  <c r="M193" i="1"/>
  <c r="L193" i="1"/>
  <c r="O192" i="1" a="1"/>
  <c r="O192" i="1" s="1"/>
  <c r="M192" i="1"/>
  <c r="L192" i="1"/>
  <c r="O191" i="1" a="1"/>
  <c r="O191" i="1" s="1"/>
  <c r="M191" i="1"/>
  <c r="L191" i="1"/>
  <c r="O190" i="1" a="1"/>
  <c r="O190" i="1" s="1"/>
  <c r="M190" i="1"/>
  <c r="L190" i="1"/>
  <c r="O189" i="1" a="1"/>
  <c r="O189" i="1" s="1"/>
  <c r="M189" i="1"/>
  <c r="L189" i="1"/>
  <c r="O188" i="1" a="1"/>
  <c r="O188" i="1" s="1"/>
  <c r="M188" i="1"/>
  <c r="L188" i="1"/>
  <c r="O187" i="1" a="1"/>
  <c r="O187" i="1" s="1"/>
  <c r="M187" i="1"/>
  <c r="L187" i="1"/>
  <c r="O186" i="1" a="1"/>
  <c r="O186" i="1" s="1"/>
  <c r="M186" i="1"/>
  <c r="L186" i="1"/>
  <c r="O185" i="1" a="1"/>
  <c r="O185" i="1" s="1"/>
  <c r="M185" i="1"/>
  <c r="L185" i="1"/>
  <c r="O184" i="1" a="1"/>
  <c r="O184" i="1" s="1"/>
  <c r="M184" i="1"/>
  <c r="L184" i="1"/>
  <c r="O183" i="1" a="1"/>
  <c r="O183" i="1" s="1"/>
  <c r="M183" i="1"/>
  <c r="L183" i="1"/>
  <c r="O182" i="1" a="1"/>
  <c r="O182" i="1" s="1"/>
  <c r="M182" i="1"/>
  <c r="L182" i="1"/>
  <c r="O181" i="1" a="1"/>
  <c r="O181" i="1" s="1"/>
  <c r="M181" i="1"/>
  <c r="L181" i="1"/>
  <c r="O180" i="1" a="1"/>
  <c r="O180" i="1" s="1"/>
  <c r="M180" i="1"/>
  <c r="L180" i="1"/>
  <c r="O179" i="1" a="1"/>
  <c r="O179" i="1" s="1"/>
  <c r="M179" i="1"/>
  <c r="L179" i="1"/>
  <c r="O178" i="1" a="1"/>
  <c r="O178" i="1" s="1"/>
  <c r="M178" i="1"/>
  <c r="L178" i="1"/>
  <c r="O177" i="1" a="1"/>
  <c r="O177" i="1" s="1"/>
  <c r="M177" i="1"/>
  <c r="L177" i="1"/>
  <c r="O176" i="1" a="1"/>
  <c r="O176" i="1" s="1"/>
  <c r="M176" i="1"/>
  <c r="L176" i="1"/>
  <c r="O175" i="1" a="1"/>
  <c r="O175" i="1" s="1"/>
  <c r="M175" i="1"/>
  <c r="L175" i="1"/>
  <c r="O174" i="1" a="1"/>
  <c r="O174" i="1" s="1"/>
  <c r="M174" i="1"/>
  <c r="L174" i="1"/>
  <c r="O173" i="1" a="1"/>
  <c r="O173" i="1" s="1"/>
  <c r="M173" i="1"/>
  <c r="L173" i="1"/>
  <c r="O172" i="1" a="1"/>
  <c r="O172" i="1" s="1"/>
  <c r="M172" i="1"/>
  <c r="L172" i="1"/>
  <c r="O171" i="1" a="1"/>
  <c r="O171" i="1" s="1"/>
  <c r="M171" i="1"/>
  <c r="L171" i="1"/>
  <c r="O170" i="1" a="1"/>
  <c r="O170" i="1" s="1"/>
  <c r="M170" i="1"/>
  <c r="L170" i="1"/>
  <c r="O169" i="1" a="1"/>
  <c r="O169" i="1" s="1"/>
  <c r="M169" i="1"/>
  <c r="L169" i="1"/>
  <c r="O168" i="1" a="1"/>
  <c r="O168" i="1" s="1"/>
  <c r="M168" i="1"/>
  <c r="L168" i="1"/>
  <c r="O167" i="1" a="1"/>
  <c r="O167" i="1" s="1"/>
  <c r="M167" i="1"/>
  <c r="L167" i="1"/>
  <c r="O166" i="1" a="1"/>
  <c r="O166" i="1" s="1"/>
  <c r="M166" i="1"/>
  <c r="L166" i="1"/>
  <c r="O165" i="1" a="1"/>
  <c r="O165" i="1" s="1"/>
  <c r="M165" i="1"/>
  <c r="L165" i="1"/>
  <c r="O164" i="1" a="1"/>
  <c r="O164" i="1" s="1"/>
  <c r="M164" i="1"/>
  <c r="L164" i="1"/>
  <c r="O163" i="1" a="1"/>
  <c r="O163" i="1" s="1"/>
  <c r="M163" i="1"/>
  <c r="L163" i="1"/>
  <c r="O162" i="1" a="1"/>
  <c r="O162" i="1" s="1"/>
  <c r="M162" i="1"/>
  <c r="L162" i="1"/>
  <c r="O161" i="1" a="1"/>
  <c r="O161" i="1" s="1"/>
  <c r="M161" i="1"/>
  <c r="L161" i="1"/>
  <c r="O160" i="1" a="1"/>
  <c r="O160" i="1" s="1"/>
  <c r="M160" i="1"/>
  <c r="L160" i="1"/>
  <c r="O159" i="1" a="1"/>
  <c r="O159" i="1" s="1"/>
  <c r="M159" i="1"/>
  <c r="L159" i="1"/>
  <c r="O158" i="1" a="1"/>
  <c r="O158" i="1" s="1"/>
  <c r="M158" i="1"/>
  <c r="L158" i="1"/>
  <c r="O157" i="1" a="1"/>
  <c r="O157" i="1" s="1"/>
  <c r="M157" i="1"/>
  <c r="L157" i="1"/>
  <c r="O156" i="1" a="1"/>
  <c r="O156" i="1" s="1"/>
  <c r="M156" i="1"/>
  <c r="L156" i="1"/>
  <c r="O155" i="1" a="1"/>
  <c r="O155" i="1" s="1"/>
  <c r="M155" i="1"/>
  <c r="L155" i="1"/>
  <c r="O154" i="1" a="1"/>
  <c r="O154" i="1" s="1"/>
  <c r="M154" i="1"/>
  <c r="L154" i="1"/>
  <c r="O153" i="1" a="1"/>
  <c r="O153" i="1" s="1"/>
  <c r="M153" i="1"/>
  <c r="L153" i="1"/>
  <c r="O152" i="1" a="1"/>
  <c r="O152" i="1" s="1"/>
  <c r="M152" i="1"/>
  <c r="L152" i="1"/>
  <c r="O151" i="1" a="1"/>
  <c r="O151" i="1" s="1"/>
  <c r="M151" i="1"/>
  <c r="L151" i="1"/>
  <c r="O150" i="1" a="1"/>
  <c r="O150" i="1" s="1"/>
  <c r="M150" i="1"/>
  <c r="L150" i="1"/>
  <c r="O149" i="1" a="1"/>
  <c r="O149" i="1" s="1"/>
  <c r="M149" i="1"/>
  <c r="L149" i="1"/>
  <c r="O148" i="1" a="1"/>
  <c r="O148" i="1" s="1"/>
  <c r="M148" i="1"/>
  <c r="L148" i="1"/>
  <c r="O147" i="1" a="1"/>
  <c r="O147" i="1" s="1"/>
  <c r="M147" i="1"/>
  <c r="L147" i="1"/>
  <c r="O146" i="1" a="1"/>
  <c r="O146" i="1" s="1"/>
  <c r="M146" i="1"/>
  <c r="L146" i="1"/>
  <c r="O145" i="1" a="1"/>
  <c r="O145" i="1" s="1"/>
  <c r="M145" i="1"/>
  <c r="L145" i="1"/>
  <c r="O144" i="1" a="1"/>
  <c r="O144" i="1" s="1"/>
  <c r="M144" i="1"/>
  <c r="L144" i="1"/>
  <c r="O143" i="1" a="1"/>
  <c r="O143" i="1" s="1"/>
  <c r="M143" i="1"/>
  <c r="L143" i="1"/>
  <c r="O142" i="1" a="1"/>
  <c r="O142" i="1" s="1"/>
  <c r="M142" i="1"/>
  <c r="L142" i="1"/>
  <c r="O141" i="1" a="1"/>
  <c r="O141" i="1" s="1"/>
  <c r="M141" i="1"/>
  <c r="L141" i="1"/>
  <c r="O140" i="1" a="1"/>
  <c r="O140" i="1" s="1"/>
  <c r="M140" i="1"/>
  <c r="L140" i="1"/>
  <c r="O139" i="1" a="1"/>
  <c r="O139" i="1" s="1"/>
  <c r="M139" i="1"/>
  <c r="L139" i="1"/>
  <c r="O138" i="1" a="1"/>
  <c r="O138" i="1" s="1"/>
  <c r="M138" i="1"/>
  <c r="L138" i="1"/>
  <c r="O137" i="1" a="1"/>
  <c r="O137" i="1" s="1"/>
  <c r="M137" i="1"/>
  <c r="L137" i="1"/>
  <c r="O136" i="1" a="1"/>
  <c r="O136" i="1" s="1"/>
  <c r="M136" i="1"/>
  <c r="L136" i="1"/>
  <c r="O135" i="1" a="1"/>
  <c r="O135" i="1" s="1"/>
  <c r="M135" i="1"/>
  <c r="L135" i="1"/>
  <c r="O134" i="1" a="1"/>
  <c r="O134" i="1" s="1"/>
  <c r="M134" i="1"/>
  <c r="L134" i="1"/>
  <c r="O133" i="1" a="1"/>
  <c r="O133" i="1" s="1"/>
  <c r="M133" i="1"/>
  <c r="L133" i="1"/>
  <c r="O132" i="1" a="1"/>
  <c r="O132" i="1" s="1"/>
  <c r="M132" i="1"/>
  <c r="L132" i="1"/>
  <c r="O131" i="1" a="1"/>
  <c r="O131" i="1" s="1"/>
  <c r="M131" i="1"/>
  <c r="L131" i="1"/>
  <c r="O130" i="1" a="1"/>
  <c r="O130" i="1" s="1"/>
  <c r="M130" i="1"/>
  <c r="L130" i="1"/>
  <c r="O129" i="1" a="1"/>
  <c r="O129" i="1" s="1"/>
  <c r="M129" i="1"/>
  <c r="L129" i="1"/>
  <c r="O128" i="1" a="1"/>
  <c r="O128" i="1" s="1"/>
  <c r="M128" i="1"/>
  <c r="L128" i="1"/>
  <c r="O127" i="1" a="1"/>
  <c r="O127" i="1" s="1"/>
  <c r="M127" i="1"/>
  <c r="L127" i="1"/>
  <c r="O126" i="1" a="1"/>
  <c r="O126" i="1" s="1"/>
  <c r="M126" i="1"/>
  <c r="L126" i="1"/>
  <c r="O125" i="1" a="1"/>
  <c r="O125" i="1" s="1"/>
  <c r="M125" i="1"/>
  <c r="L125" i="1"/>
  <c r="O124" i="1" a="1"/>
  <c r="O124" i="1" s="1"/>
  <c r="M124" i="1"/>
  <c r="L124" i="1"/>
  <c r="O123" i="1" a="1"/>
  <c r="O123" i="1" s="1"/>
  <c r="M123" i="1"/>
  <c r="L123" i="1"/>
  <c r="O122" i="1" a="1"/>
  <c r="O122" i="1" s="1"/>
  <c r="M122" i="1"/>
  <c r="L122" i="1"/>
  <c r="O121" i="1" a="1"/>
  <c r="O121" i="1" s="1"/>
  <c r="M121" i="1"/>
  <c r="L121" i="1"/>
  <c r="O120" i="1" a="1"/>
  <c r="O120" i="1" s="1"/>
  <c r="M120" i="1"/>
  <c r="L120" i="1"/>
  <c r="O119" i="1" a="1"/>
  <c r="O119" i="1" s="1"/>
  <c r="M119" i="1"/>
  <c r="L119" i="1"/>
  <c r="O118" i="1" a="1"/>
  <c r="O118" i="1" s="1"/>
  <c r="M118" i="1"/>
  <c r="L118" i="1"/>
  <c r="O117" i="1" a="1"/>
  <c r="O117" i="1" s="1"/>
  <c r="M117" i="1"/>
  <c r="L117" i="1"/>
  <c r="O116" i="1" a="1"/>
  <c r="O116" i="1" s="1"/>
  <c r="M116" i="1"/>
  <c r="L116" i="1"/>
  <c r="O115" i="1" a="1"/>
  <c r="O115" i="1" s="1"/>
  <c r="M115" i="1"/>
  <c r="L115" i="1"/>
  <c r="O114" i="1" a="1"/>
  <c r="O114" i="1" s="1"/>
  <c r="M114" i="1"/>
  <c r="L114" i="1"/>
  <c r="O113" i="1" a="1"/>
  <c r="O113" i="1" s="1"/>
  <c r="M113" i="1"/>
  <c r="L113" i="1"/>
  <c r="O112" i="1" a="1"/>
  <c r="O112" i="1" s="1"/>
  <c r="M112" i="1"/>
  <c r="L112" i="1"/>
  <c r="O111" i="1" a="1"/>
  <c r="O111" i="1" s="1"/>
  <c r="M111" i="1"/>
  <c r="L111" i="1"/>
  <c r="O110" i="1" a="1"/>
  <c r="O110" i="1" s="1"/>
  <c r="M110" i="1"/>
  <c r="L110" i="1"/>
  <c r="O109" i="1" a="1"/>
  <c r="O109" i="1" s="1"/>
  <c r="M109" i="1"/>
  <c r="L109" i="1"/>
  <c r="O108" i="1" a="1"/>
  <c r="O108" i="1" s="1"/>
  <c r="M108" i="1"/>
  <c r="L108" i="1"/>
  <c r="O107" i="1" a="1"/>
  <c r="O107" i="1" s="1"/>
  <c r="M107" i="1"/>
  <c r="L107" i="1"/>
  <c r="O106" i="1" a="1"/>
  <c r="O106" i="1" s="1"/>
  <c r="M106" i="1"/>
  <c r="L106" i="1"/>
  <c r="O105" i="1" a="1"/>
  <c r="O105" i="1" s="1"/>
  <c r="M105" i="1"/>
  <c r="L105" i="1"/>
  <c r="O104" i="1" a="1"/>
  <c r="O104" i="1" s="1"/>
  <c r="M104" i="1"/>
  <c r="L104" i="1"/>
  <c r="O103" i="1" a="1"/>
  <c r="O103" i="1" s="1"/>
  <c r="M103" i="1"/>
  <c r="L103" i="1"/>
  <c r="O102" i="1" a="1"/>
  <c r="O102" i="1" s="1"/>
  <c r="M102" i="1"/>
  <c r="L102" i="1"/>
  <c r="O101" i="1" a="1"/>
  <c r="O101" i="1" s="1"/>
  <c r="M101" i="1"/>
  <c r="L101" i="1"/>
  <c r="O100" i="1" a="1"/>
  <c r="O100" i="1" s="1"/>
  <c r="M100" i="1"/>
  <c r="L100" i="1"/>
  <c r="O99" i="1" a="1"/>
  <c r="O99" i="1" s="1"/>
  <c r="M99" i="1"/>
  <c r="L99" i="1"/>
  <c r="O98" i="1" a="1"/>
  <c r="O98" i="1" s="1"/>
  <c r="M98" i="1"/>
  <c r="L98" i="1"/>
  <c r="O97" i="1" a="1"/>
  <c r="O97" i="1" s="1"/>
  <c r="M97" i="1"/>
  <c r="L97" i="1"/>
  <c r="O96" i="1" a="1"/>
  <c r="O96" i="1" s="1"/>
  <c r="M96" i="1"/>
  <c r="L96" i="1"/>
  <c r="O95" i="1" a="1"/>
  <c r="O95" i="1" s="1"/>
  <c r="M95" i="1"/>
  <c r="L95" i="1"/>
  <c r="O94" i="1" a="1"/>
  <c r="O94" i="1" s="1"/>
  <c r="M94" i="1"/>
  <c r="L94" i="1"/>
  <c r="O93" i="1" a="1"/>
  <c r="O93" i="1" s="1"/>
  <c r="M93" i="1"/>
  <c r="L93" i="1"/>
  <c r="O92" i="1" a="1"/>
  <c r="O92" i="1" s="1"/>
  <c r="M92" i="1"/>
  <c r="L92" i="1"/>
  <c r="O91" i="1" a="1"/>
  <c r="O91" i="1" s="1"/>
  <c r="M91" i="1"/>
  <c r="L91" i="1"/>
  <c r="O90" i="1" a="1"/>
  <c r="O90" i="1" s="1"/>
  <c r="M90" i="1"/>
  <c r="L90" i="1"/>
  <c r="O89" i="1" a="1"/>
  <c r="O89" i="1" s="1"/>
  <c r="M89" i="1"/>
  <c r="L89" i="1"/>
  <c r="O88" i="1" a="1"/>
  <c r="O88" i="1" s="1"/>
  <c r="M88" i="1"/>
  <c r="L88" i="1"/>
  <c r="O87" i="1" a="1"/>
  <c r="O87" i="1" s="1"/>
  <c r="M87" i="1"/>
  <c r="L87" i="1"/>
  <c r="O86" i="1" a="1"/>
  <c r="O86" i="1" s="1"/>
  <c r="M86" i="1"/>
  <c r="L86" i="1"/>
  <c r="O85" i="1" a="1"/>
  <c r="O85" i="1" s="1"/>
  <c r="M85" i="1"/>
  <c r="L85" i="1"/>
  <c r="O84" i="1" a="1"/>
  <c r="O84" i="1" s="1"/>
  <c r="M84" i="1"/>
  <c r="L84" i="1"/>
  <c r="O83" i="1" a="1"/>
  <c r="O83" i="1" s="1"/>
  <c r="M83" i="1"/>
  <c r="L83" i="1"/>
  <c r="O82" i="1" a="1"/>
  <c r="O82" i="1" s="1"/>
  <c r="M82" i="1"/>
  <c r="L82" i="1"/>
  <c r="O81" i="1" a="1"/>
  <c r="O81" i="1" s="1"/>
  <c r="M81" i="1"/>
  <c r="L81" i="1"/>
  <c r="O80" i="1" a="1"/>
  <c r="O80" i="1" s="1"/>
  <c r="M80" i="1"/>
  <c r="L80" i="1"/>
  <c r="O79" i="1" a="1"/>
  <c r="O79" i="1" s="1"/>
  <c r="M79" i="1"/>
  <c r="L79" i="1"/>
  <c r="O78" i="1" a="1"/>
  <c r="O78" i="1" s="1"/>
  <c r="M78" i="1"/>
  <c r="L78" i="1"/>
  <c r="O77" i="1" a="1"/>
  <c r="O77" i="1" s="1"/>
  <c r="M77" i="1"/>
  <c r="L77" i="1"/>
  <c r="O76" i="1" a="1"/>
  <c r="O76" i="1" s="1"/>
  <c r="M76" i="1"/>
  <c r="L76" i="1"/>
  <c r="O75" i="1" a="1"/>
  <c r="O75" i="1" s="1"/>
  <c r="M75" i="1"/>
  <c r="L75" i="1"/>
  <c r="O74" i="1" a="1"/>
  <c r="O74" i="1" s="1"/>
  <c r="M74" i="1"/>
  <c r="L74" i="1"/>
  <c r="O73" i="1" a="1"/>
  <c r="O73" i="1" s="1"/>
  <c r="M73" i="1"/>
  <c r="L73" i="1"/>
  <c r="O72" i="1" a="1"/>
  <c r="O72" i="1" s="1"/>
  <c r="M72" i="1"/>
  <c r="L72" i="1"/>
  <c r="O71" i="1" a="1"/>
  <c r="O71" i="1" s="1"/>
  <c r="M71" i="1"/>
  <c r="L71" i="1"/>
  <c r="O70" i="1" a="1"/>
  <c r="O70" i="1" s="1"/>
  <c r="M70" i="1"/>
  <c r="L70" i="1"/>
  <c r="O69" i="1" a="1"/>
  <c r="O69" i="1" s="1"/>
  <c r="M69" i="1"/>
  <c r="L69" i="1"/>
  <c r="O68" i="1" a="1"/>
  <c r="O68" i="1" s="1"/>
  <c r="M68" i="1"/>
  <c r="L68" i="1"/>
  <c r="O67" i="1" a="1"/>
  <c r="O67" i="1" s="1"/>
  <c r="M67" i="1"/>
  <c r="L67" i="1"/>
  <c r="O66" i="1" a="1"/>
  <c r="O66" i="1" s="1"/>
  <c r="M66" i="1"/>
  <c r="L66" i="1"/>
  <c r="O65" i="1" a="1"/>
  <c r="O65" i="1" s="1"/>
  <c r="M65" i="1"/>
  <c r="L65" i="1"/>
  <c r="O64" i="1" a="1"/>
  <c r="O64" i="1" s="1"/>
  <c r="M64" i="1"/>
  <c r="L64" i="1"/>
  <c r="O63" i="1" a="1"/>
  <c r="O63" i="1" s="1"/>
  <c r="M63" i="1"/>
  <c r="L63" i="1"/>
  <c r="O62" i="1" a="1"/>
  <c r="O62" i="1" s="1"/>
  <c r="M62" i="1"/>
  <c r="L62" i="1"/>
  <c r="O61" i="1" a="1"/>
  <c r="O61" i="1" s="1"/>
  <c r="M61" i="1"/>
  <c r="L61" i="1"/>
  <c r="O60" i="1" a="1"/>
  <c r="O60" i="1" s="1"/>
  <c r="M60" i="1"/>
  <c r="L60" i="1"/>
  <c r="O59" i="1" a="1"/>
  <c r="O59" i="1" s="1"/>
  <c r="M59" i="1"/>
  <c r="L59" i="1"/>
  <c r="O58" i="1" a="1"/>
  <c r="O58" i="1" s="1"/>
  <c r="M58" i="1"/>
  <c r="L58" i="1"/>
  <c r="O57" i="1" a="1"/>
  <c r="O57" i="1" s="1"/>
  <c r="M57" i="1"/>
  <c r="L57" i="1"/>
  <c r="O56" i="1" a="1"/>
  <c r="O56" i="1" s="1"/>
  <c r="M56" i="1"/>
  <c r="L56" i="1"/>
  <c r="O55" i="1" a="1"/>
  <c r="O55" i="1" s="1"/>
  <c r="M55" i="1"/>
  <c r="L55" i="1"/>
  <c r="O54" i="1" a="1"/>
  <c r="O54" i="1" s="1"/>
  <c r="M54" i="1"/>
  <c r="L54" i="1"/>
  <c r="O53" i="1" a="1"/>
  <c r="O53" i="1" s="1"/>
  <c r="M53" i="1"/>
  <c r="L53" i="1"/>
  <c r="O52" i="1" a="1"/>
  <c r="O52" i="1" s="1"/>
  <c r="M52" i="1"/>
  <c r="L52" i="1"/>
  <c r="O51" i="1" a="1"/>
  <c r="O51" i="1" s="1"/>
  <c r="M51" i="1"/>
  <c r="L51" i="1"/>
  <c r="O50" i="1" a="1"/>
  <c r="O50" i="1" s="1"/>
  <c r="M50" i="1"/>
  <c r="L50" i="1"/>
  <c r="O49" i="1" a="1"/>
  <c r="O49" i="1" s="1"/>
  <c r="M49" i="1"/>
  <c r="L49" i="1"/>
  <c r="O48" i="1" a="1"/>
  <c r="O48" i="1" s="1"/>
  <c r="M48" i="1"/>
  <c r="L48" i="1"/>
  <c r="O47" i="1" a="1"/>
  <c r="O47" i="1" s="1"/>
  <c r="M47" i="1"/>
  <c r="L47" i="1"/>
  <c r="O46" i="1" a="1"/>
  <c r="O46" i="1" s="1"/>
  <c r="M46" i="1"/>
  <c r="L46" i="1"/>
  <c r="O45" i="1" a="1"/>
  <c r="O45" i="1" s="1"/>
  <c r="M45" i="1"/>
  <c r="L45" i="1"/>
  <c r="O44" i="1" a="1"/>
  <c r="O44" i="1" s="1"/>
  <c r="M44" i="1"/>
  <c r="L44" i="1"/>
  <c r="O43" i="1" a="1"/>
  <c r="O43" i="1" s="1"/>
  <c r="M43" i="1"/>
  <c r="L43" i="1"/>
  <c r="O42" i="1" a="1"/>
  <c r="O42" i="1" s="1"/>
  <c r="M42" i="1"/>
  <c r="L42" i="1"/>
  <c r="O41" i="1" a="1"/>
  <c r="O41" i="1" s="1"/>
  <c r="M41" i="1"/>
  <c r="L41" i="1"/>
  <c r="O40" i="1" a="1"/>
  <c r="O40" i="1" s="1"/>
  <c r="M40" i="1"/>
  <c r="L40" i="1"/>
  <c r="O39" i="1" a="1"/>
  <c r="O39" i="1" s="1"/>
  <c r="M39" i="1"/>
  <c r="L39" i="1"/>
  <c r="O38" i="1" a="1"/>
  <c r="O38" i="1" s="1"/>
  <c r="M38" i="1"/>
  <c r="L38" i="1"/>
  <c r="O37" i="1" a="1"/>
  <c r="O37" i="1" s="1"/>
  <c r="M37" i="1"/>
  <c r="L37" i="1"/>
  <c r="O36" i="1" a="1"/>
  <c r="O36" i="1" s="1"/>
  <c r="M36" i="1"/>
  <c r="L36" i="1"/>
  <c r="O35" i="1" a="1"/>
  <c r="O35" i="1" s="1"/>
  <c r="M35" i="1"/>
  <c r="L35" i="1"/>
  <c r="O34" i="1" a="1"/>
  <c r="O34" i="1" s="1"/>
  <c r="M34" i="1"/>
  <c r="L34" i="1"/>
  <c r="O33" i="1" a="1"/>
  <c r="O33" i="1" s="1"/>
  <c r="M33" i="1"/>
  <c r="L33" i="1"/>
  <c r="O32" i="1" a="1"/>
  <c r="O32" i="1" s="1"/>
  <c r="M32" i="1"/>
  <c r="L32" i="1"/>
  <c r="O31" i="1" a="1"/>
  <c r="O31" i="1" s="1"/>
  <c r="M31" i="1"/>
  <c r="L31" i="1"/>
  <c r="O30" i="1" a="1"/>
  <c r="O30" i="1" s="1"/>
  <c r="M30" i="1"/>
  <c r="L30" i="1"/>
  <c r="O29" i="1" a="1"/>
  <c r="O29" i="1" s="1"/>
  <c r="M29" i="1"/>
  <c r="L29" i="1"/>
  <c r="O28" i="1" a="1"/>
  <c r="O28" i="1" s="1"/>
  <c r="M28" i="1"/>
  <c r="L28" i="1"/>
  <c r="O27" i="1" a="1"/>
  <c r="O27" i="1" s="1"/>
  <c r="M27" i="1"/>
  <c r="L27" i="1"/>
  <c r="O26" i="1" a="1"/>
  <c r="O26" i="1" s="1"/>
  <c r="M26" i="1"/>
  <c r="L26" i="1"/>
  <c r="O25" i="1" a="1"/>
  <c r="O25" i="1" s="1"/>
  <c r="M25" i="1"/>
  <c r="L25" i="1"/>
  <c r="O24" i="1" a="1"/>
  <c r="O24" i="1" s="1"/>
  <c r="M24" i="1"/>
  <c r="L24" i="1"/>
  <c r="O23" i="1" a="1"/>
  <c r="O23" i="1" s="1"/>
  <c r="M23" i="1"/>
  <c r="L23" i="1"/>
  <c r="O22" i="1" a="1"/>
  <c r="O22" i="1" s="1"/>
  <c r="M22" i="1"/>
  <c r="L22" i="1"/>
  <c r="O21" i="1" a="1"/>
  <c r="O21" i="1" s="1"/>
  <c r="M21" i="1"/>
  <c r="L21" i="1"/>
  <c r="O20" i="1" a="1"/>
  <c r="O20" i="1" s="1"/>
  <c r="M20" i="1"/>
  <c r="L20" i="1"/>
  <c r="O19" i="1" a="1"/>
  <c r="O19" i="1" s="1"/>
  <c r="M19" i="1"/>
  <c r="L19" i="1"/>
  <c r="O18" i="1" a="1"/>
  <c r="O18" i="1" s="1"/>
  <c r="M18" i="1"/>
  <c r="L18" i="1"/>
  <c r="O17" i="1" a="1"/>
  <c r="O17" i="1" s="1"/>
  <c r="M17" i="1"/>
  <c r="L17" i="1"/>
  <c r="O16" i="1" a="1"/>
  <c r="O16" i="1" s="1"/>
  <c r="M16" i="1"/>
  <c r="L16" i="1"/>
  <c r="O15" i="1" a="1"/>
  <c r="O15" i="1" s="1"/>
  <c r="M15" i="1"/>
  <c r="L15" i="1"/>
  <c r="O14" i="1" a="1"/>
  <c r="O14" i="1" s="1"/>
  <c r="M14" i="1"/>
  <c r="L14" i="1"/>
  <c r="O13" i="1" a="1"/>
  <c r="O13" i="1" s="1"/>
  <c r="M13" i="1"/>
  <c r="L13" i="1"/>
  <c r="O12" i="1" a="1"/>
  <c r="O12" i="1" s="1"/>
  <c r="M12" i="1"/>
  <c r="L12" i="1"/>
  <c r="O11" i="1" a="1"/>
  <c r="O11" i="1" s="1"/>
  <c r="M11" i="1"/>
  <c r="L11" i="1"/>
  <c r="O10" i="1" a="1"/>
  <c r="O10" i="1" s="1"/>
  <c r="M10" i="1"/>
  <c r="L10" i="1"/>
  <c r="O9" i="1" a="1"/>
  <c r="O9" i="1" s="1"/>
  <c r="M9" i="1"/>
  <c r="L9" i="1"/>
  <c r="O8" i="1" a="1"/>
  <c r="O8" i="1" s="1"/>
  <c r="M8" i="1"/>
  <c r="L8" i="1"/>
  <c r="O7" i="1" a="1"/>
  <c r="O7" i="1" s="1"/>
  <c r="M7" i="1"/>
  <c r="L7" i="1"/>
  <c r="O6" i="1" a="1"/>
  <c r="O6" i="1" s="1"/>
  <c r="M6" i="1"/>
  <c r="L6" i="1"/>
  <c r="O5" i="1" a="1"/>
  <c r="O5" i="1" s="1"/>
  <c r="M5" i="1"/>
  <c r="L5" i="1"/>
  <c r="O4" i="1" a="1"/>
  <c r="O4" i="1" s="1"/>
  <c r="M4" i="1"/>
  <c r="L4" i="1"/>
  <c r="O3" i="1" a="1"/>
  <c r="O3" i="1" s="1"/>
  <c r="M3" i="1"/>
  <c r="L3" i="1"/>
  <c r="O2" i="1" a="1"/>
  <c r="O2" i="1" s="1"/>
  <c r="M2" i="1"/>
  <c r="L2" i="1"/>
  <c r="N1000" i="1" l="1"/>
  <c r="N524" i="1"/>
  <c r="N848" i="1"/>
  <c r="N957" i="1"/>
  <c r="N54" i="1"/>
  <c r="N100" i="1"/>
  <c r="N253" i="1"/>
  <c r="N504" i="1"/>
  <c r="N802" i="1"/>
  <c r="N300" i="1"/>
  <c r="N938" i="1"/>
  <c r="N942" i="1"/>
  <c r="N584" i="1"/>
  <c r="N900" i="1"/>
  <c r="N25" i="1"/>
  <c r="N67" i="1"/>
  <c r="N75" i="1"/>
  <c r="N109" i="1"/>
  <c r="N113" i="1"/>
  <c r="N147" i="1"/>
  <c r="N317" i="1"/>
  <c r="N278" i="1"/>
  <c r="N264" i="1"/>
  <c r="N446" i="1"/>
  <c r="N450" i="1"/>
  <c r="N430" i="1"/>
  <c r="N342" i="1"/>
  <c r="N518" i="1"/>
  <c r="N522" i="1"/>
  <c r="N738" i="1"/>
  <c r="N539" i="1"/>
  <c r="N247" i="1"/>
  <c r="N395" i="1"/>
  <c r="N969" i="1"/>
  <c r="N980" i="1"/>
  <c r="N294" i="1"/>
  <c r="N511" i="1"/>
  <c r="N885" i="1"/>
  <c r="N281" i="1"/>
  <c r="N349" i="1"/>
  <c r="N456" i="1"/>
  <c r="N766" i="1"/>
  <c r="N929" i="1"/>
  <c r="N112" i="1"/>
  <c r="N481" i="1"/>
  <c r="N361" i="1"/>
  <c r="N92" i="1"/>
  <c r="N102" i="1"/>
  <c r="N647" i="1"/>
  <c r="N661" i="1"/>
  <c r="N665" i="1"/>
  <c r="N944" i="1"/>
  <c r="N917" i="1"/>
  <c r="N962" i="1"/>
  <c r="N986" i="1"/>
  <c r="N345" i="1"/>
  <c r="N369" i="1"/>
  <c r="N558" i="1"/>
  <c r="N604" i="1"/>
  <c r="N744" i="1"/>
  <c r="N754" i="1"/>
  <c r="N1001" i="1"/>
  <c r="N635" i="1"/>
  <c r="N839" i="1"/>
  <c r="N850" i="1"/>
  <c r="N332" i="1"/>
  <c r="N435" i="1"/>
  <c r="N786" i="1"/>
  <c r="N48" i="1"/>
  <c r="N566" i="1"/>
  <c r="N101" i="1"/>
  <c r="N316" i="1"/>
  <c r="N926" i="1"/>
  <c r="N480" i="1"/>
  <c r="N691" i="1"/>
  <c r="N721" i="1"/>
  <c r="N755" i="1"/>
  <c r="N773" i="1"/>
  <c r="N32" i="1"/>
  <c r="N729" i="1"/>
  <c r="N767" i="1"/>
  <c r="N823" i="1"/>
  <c r="N965" i="1"/>
  <c r="N769" i="1"/>
  <c r="N825" i="1"/>
  <c r="N829" i="1"/>
  <c r="N65" i="1"/>
  <c r="N246" i="1"/>
  <c r="N652" i="1"/>
  <c r="N776" i="1"/>
  <c r="N836" i="1"/>
  <c r="N20" i="1"/>
  <c r="N104" i="1"/>
  <c r="N257" i="1"/>
  <c r="N309" i="1"/>
  <c r="N422" i="1"/>
  <c r="N453" i="1"/>
  <c r="N789" i="1"/>
  <c r="N833" i="1"/>
  <c r="N11" i="1"/>
  <c r="N99" i="1"/>
  <c r="N630" i="1"/>
  <c r="N871" i="1"/>
  <c r="N909" i="1"/>
  <c r="N960" i="1"/>
  <c r="N977" i="1"/>
  <c r="N995" i="1"/>
  <c r="N277" i="1"/>
  <c r="N351" i="1"/>
  <c r="N365" i="1"/>
  <c r="N375" i="1"/>
  <c r="N567" i="1"/>
  <c r="N763" i="1"/>
  <c r="N906" i="1"/>
  <c r="N953" i="1"/>
  <c r="N57" i="1"/>
  <c r="N83" i="1"/>
  <c r="N709" i="1"/>
  <c r="N722" i="1"/>
  <c r="N964" i="1"/>
  <c r="N999" i="1"/>
  <c r="N510" i="1"/>
  <c r="N537" i="1"/>
  <c r="N726" i="1"/>
  <c r="N497" i="1"/>
  <c r="N144" i="1"/>
  <c r="N184" i="1"/>
  <c r="N204" i="1"/>
  <c r="N702" i="1"/>
  <c r="N725" i="1"/>
  <c r="N783" i="1"/>
  <c r="N288" i="1"/>
  <c r="N359" i="1"/>
  <c r="N468" i="1"/>
  <c r="N471" i="1"/>
  <c r="N533" i="1"/>
  <c r="N546" i="1"/>
  <c r="N687" i="1"/>
  <c r="N697" i="1"/>
  <c r="N853" i="1"/>
  <c r="N859" i="1"/>
  <c r="N877" i="1"/>
  <c r="N596" i="1"/>
  <c r="N3" i="1"/>
  <c r="N21" i="1"/>
  <c r="N42" i="1"/>
  <c r="N52" i="1"/>
  <c r="N62" i="1"/>
  <c r="N85" i="1"/>
  <c r="N206" i="1"/>
  <c r="N210" i="1"/>
  <c r="N254" i="1"/>
  <c r="N279" i="1"/>
  <c r="N295" i="1"/>
  <c r="N506" i="1"/>
  <c r="N799" i="1"/>
  <c r="N920" i="1"/>
  <c r="N927" i="1"/>
  <c r="N474" i="1"/>
  <c r="N892" i="1"/>
  <c r="N905" i="1"/>
  <c r="N18" i="1"/>
  <c r="N43" i="1"/>
  <c r="N53" i="1"/>
  <c r="N116" i="1"/>
  <c r="N136" i="1"/>
  <c r="N154" i="1"/>
  <c r="N207" i="1"/>
  <c r="N445" i="1"/>
  <c r="N449" i="1"/>
  <c r="N463" i="1"/>
  <c r="N541" i="1"/>
  <c r="N715" i="1"/>
  <c r="N934" i="1"/>
  <c r="N700" i="1"/>
  <c r="N988" i="1"/>
  <c r="N895" i="1"/>
  <c r="N8" i="1"/>
  <c r="N12" i="1"/>
  <c r="N76" i="1"/>
  <c r="N188" i="1"/>
  <c r="N410" i="1"/>
  <c r="N427" i="1"/>
  <c r="N591" i="1"/>
  <c r="N628" i="1"/>
  <c r="N784" i="1"/>
  <c r="N131" i="1"/>
  <c r="N141" i="1"/>
  <c r="N236" i="1"/>
  <c r="N399" i="1"/>
  <c r="N420" i="1"/>
  <c r="N467" i="1"/>
  <c r="N529" i="1"/>
  <c r="N532" i="1"/>
  <c r="N598" i="1"/>
  <c r="N809" i="1"/>
  <c r="N816" i="1"/>
  <c r="N237" i="1"/>
  <c r="N392" i="1"/>
  <c r="N169" i="1"/>
  <c r="N185" i="1"/>
  <c r="N266" i="1"/>
  <c r="N283" i="1"/>
  <c r="N454" i="1"/>
  <c r="N680" i="1"/>
  <c r="N740" i="1"/>
  <c r="N753" i="1"/>
  <c r="N808" i="1"/>
  <c r="N847" i="1"/>
  <c r="N13" i="1"/>
  <c r="N38" i="1"/>
  <c r="N77" i="1"/>
  <c r="N128" i="1"/>
  <c r="N280" i="1"/>
  <c r="N340" i="1"/>
  <c r="N379" i="1"/>
  <c r="N383" i="1"/>
  <c r="N400" i="1"/>
  <c r="N424" i="1"/>
  <c r="N447" i="1"/>
  <c r="N484" i="1"/>
  <c r="N487" i="1"/>
  <c r="N512" i="1"/>
  <c r="N589" i="1"/>
  <c r="N670" i="1"/>
  <c r="N760" i="1"/>
  <c r="N834" i="1"/>
  <c r="N947" i="1"/>
  <c r="N925" i="1"/>
  <c r="N928" i="1"/>
  <c r="N6" i="1"/>
  <c r="N24" i="1"/>
  <c r="N107" i="1"/>
  <c r="N111" i="1"/>
  <c r="N212" i="1"/>
  <c r="N370" i="1"/>
  <c r="N535" i="1"/>
  <c r="N643" i="1"/>
  <c r="N764" i="1"/>
  <c r="N954" i="1"/>
  <c r="N996" i="1"/>
  <c r="N641" i="1"/>
  <c r="N311" i="1"/>
  <c r="N398" i="1"/>
  <c r="N610" i="1"/>
  <c r="N737" i="1"/>
  <c r="N794" i="1"/>
  <c r="N812" i="1"/>
  <c r="N824" i="1"/>
  <c r="N177" i="1"/>
  <c r="N335" i="1"/>
  <c r="N405" i="1"/>
  <c r="N552" i="1"/>
  <c r="N130" i="1"/>
  <c r="N249" i="1"/>
  <c r="N14" i="1"/>
  <c r="N66" i="1"/>
  <c r="N70" i="1"/>
  <c r="N226" i="1"/>
  <c r="N274" i="1"/>
  <c r="N320" i="1"/>
  <c r="N488" i="1"/>
  <c r="N516" i="1"/>
  <c r="N520" i="1"/>
  <c r="N579" i="1"/>
  <c r="N620" i="1"/>
  <c r="N660" i="1"/>
  <c r="N671" i="1"/>
  <c r="N734" i="1"/>
  <c r="N761" i="1"/>
  <c r="N775" i="1"/>
  <c r="N791" i="1"/>
  <c r="N852" i="1"/>
  <c r="N879" i="1"/>
  <c r="N334" i="1"/>
  <c r="N364" i="1"/>
  <c r="N391" i="1"/>
  <c r="N572" i="1"/>
  <c r="N765" i="1"/>
  <c r="N739" i="1"/>
  <c r="N68" i="1"/>
  <c r="N218" i="1"/>
  <c r="N588" i="1"/>
  <c r="N658" i="1"/>
  <c r="N412" i="1"/>
  <c r="N527" i="1"/>
  <c r="N549" i="1"/>
  <c r="N556" i="1"/>
  <c r="N749" i="1"/>
  <c r="N752" i="1"/>
  <c r="N998" i="1"/>
  <c r="N2" i="1"/>
  <c r="N155" i="1"/>
  <c r="N159" i="1"/>
  <c r="N248" i="1"/>
  <c r="N319" i="1"/>
  <c r="N443" i="1"/>
  <c r="N609" i="1"/>
  <c r="N612" i="1"/>
  <c r="N736" i="1"/>
  <c r="N811" i="1"/>
  <c r="N981" i="1"/>
  <c r="N458" i="1"/>
  <c r="N890" i="1"/>
  <c r="N120" i="1"/>
  <c r="N162" i="1"/>
  <c r="N151" i="1"/>
  <c r="N328" i="1"/>
  <c r="N425" i="1"/>
  <c r="N673" i="1"/>
  <c r="N828" i="1"/>
  <c r="N344" i="1"/>
  <c r="N902" i="1"/>
  <c r="N110" i="1"/>
  <c r="N432" i="1"/>
  <c r="N526" i="1"/>
  <c r="N602" i="1"/>
  <c r="N817" i="1"/>
  <c r="N883" i="1"/>
  <c r="N972" i="1"/>
  <c r="N989" i="1"/>
  <c r="N475" i="1"/>
  <c r="N575" i="1"/>
  <c r="N663" i="1"/>
  <c r="N667" i="1"/>
  <c r="N91" i="1"/>
  <c r="N302" i="1"/>
  <c r="N382" i="1"/>
  <c r="N568" i="1"/>
  <c r="N727" i="1"/>
  <c r="N870" i="1"/>
  <c r="N874" i="1"/>
  <c r="N864" i="1"/>
  <c r="N192" i="1"/>
  <c r="N228" i="1"/>
  <c r="N59" i="1"/>
  <c r="N186" i="1"/>
  <c r="N29" i="1"/>
  <c r="N167" i="1"/>
  <c r="N363" i="1"/>
  <c r="N543" i="1"/>
  <c r="N644" i="1"/>
  <c r="N720" i="1"/>
  <c r="N787" i="1"/>
  <c r="N634" i="1"/>
  <c r="N861" i="1"/>
  <c r="N402" i="1"/>
  <c r="N153" i="1"/>
  <c r="N287" i="1"/>
  <c r="N305" i="1"/>
  <c r="N39" i="1"/>
  <c r="N78" i="1"/>
  <c r="N22" i="1"/>
  <c r="N19" i="1"/>
  <c r="N263" i="1"/>
  <c r="N360" i="1"/>
  <c r="N548" i="1"/>
  <c r="N704" i="1"/>
  <c r="N837" i="1"/>
  <c r="N916" i="1"/>
  <c r="N90" i="1"/>
  <c r="N371" i="1"/>
  <c r="N374" i="1"/>
  <c r="N327" i="1"/>
  <c r="N28" i="1"/>
  <c r="N173" i="1"/>
  <c r="N176" i="1"/>
  <c r="N195" i="1"/>
  <c r="N198" i="1"/>
  <c r="N201" i="1"/>
  <c r="N324" i="1"/>
  <c r="N331" i="1"/>
  <c r="N338" i="1"/>
  <c r="N466" i="1"/>
  <c r="N555" i="1"/>
  <c r="N578" i="1"/>
  <c r="N595" i="1"/>
  <c r="N608" i="1"/>
  <c r="N701" i="1"/>
  <c r="N777" i="1"/>
  <c r="N803" i="1"/>
  <c r="N820" i="1"/>
  <c r="N851" i="1"/>
  <c r="N935" i="1"/>
  <c r="N992" i="1"/>
  <c r="N150" i="1"/>
  <c r="N161" i="1"/>
  <c r="N256" i="1"/>
  <c r="N292" i="1"/>
  <c r="N418" i="1"/>
  <c r="N457" i="1"/>
  <c r="N478" i="1"/>
  <c r="N501" i="1"/>
  <c r="N653" i="1"/>
  <c r="N659" i="1"/>
  <c r="N768" i="1"/>
  <c r="N857" i="1"/>
  <c r="N880" i="1"/>
  <c r="N202" i="1"/>
  <c r="N296" i="1"/>
  <c r="N275" i="1"/>
  <c r="N354" i="1"/>
  <c r="N47" i="1"/>
  <c r="N50" i="1"/>
  <c r="N145" i="1"/>
  <c r="N459" i="1"/>
  <c r="N499" i="1"/>
  <c r="N563" i="1"/>
  <c r="N573" i="1"/>
  <c r="N636" i="1"/>
  <c r="N728" i="1"/>
  <c r="N843" i="1"/>
  <c r="N134" i="1"/>
  <c r="N137" i="1"/>
  <c r="N219" i="1"/>
  <c r="N403" i="1"/>
  <c r="N878" i="1"/>
  <c r="N664" i="1"/>
  <c r="N915" i="1"/>
  <c r="N486" i="1"/>
  <c r="N648" i="1"/>
  <c r="N594" i="1"/>
  <c r="N34" i="1"/>
  <c r="N95" i="1"/>
  <c r="N163" i="1"/>
  <c r="N261" i="1"/>
  <c r="N521" i="1"/>
  <c r="N439" i="1"/>
  <c r="N554" i="1"/>
  <c r="N580" i="1"/>
  <c r="N830" i="1"/>
  <c r="N931" i="1"/>
  <c r="N971" i="1"/>
  <c r="N513" i="1"/>
  <c r="N936" i="1"/>
  <c r="N706" i="1"/>
  <c r="N891" i="1"/>
  <c r="N696" i="1"/>
  <c r="N703" i="1"/>
  <c r="N394" i="1"/>
  <c r="N108" i="1"/>
  <c r="N132" i="1"/>
  <c r="N31" i="1"/>
  <c r="N156" i="1"/>
  <c r="N160" i="1"/>
  <c r="N223" i="1"/>
  <c r="N227" i="1"/>
  <c r="N233" i="1"/>
  <c r="N272" i="1"/>
  <c r="N330" i="1"/>
  <c r="N343" i="1"/>
  <c r="N355" i="1"/>
  <c r="N380" i="1"/>
  <c r="N411" i="1"/>
  <c r="N496" i="1"/>
  <c r="N577" i="1"/>
  <c r="N655" i="1"/>
  <c r="N678" i="1"/>
  <c r="N748" i="1"/>
  <c r="N751" i="1"/>
  <c r="N805" i="1"/>
  <c r="N872" i="1"/>
  <c r="N882" i="1"/>
  <c r="N991" i="1"/>
  <c r="N662" i="1"/>
  <c r="N669" i="1"/>
  <c r="N694" i="1"/>
  <c r="N869" i="1"/>
  <c r="N955" i="1"/>
  <c r="N968" i="1"/>
  <c r="N978" i="1"/>
  <c r="N46" i="1"/>
  <c r="N61" i="1"/>
  <c r="N69" i="1"/>
  <c r="N73" i="1"/>
  <c r="N80" i="1"/>
  <c r="N152" i="1"/>
  <c r="N352" i="1"/>
  <c r="N385" i="1"/>
  <c r="N534" i="1"/>
  <c r="N93" i="1"/>
  <c r="N96" i="1"/>
  <c r="N129" i="1"/>
  <c r="N494" i="1"/>
  <c r="N321" i="1"/>
  <c r="N213" i="1"/>
  <c r="N142" i="1"/>
  <c r="N49" i="1"/>
  <c r="N139" i="1"/>
  <c r="N372" i="1"/>
  <c r="N923" i="1"/>
  <c r="N40" i="1"/>
  <c r="N126" i="1"/>
  <c r="N37" i="1"/>
  <c r="N56" i="1"/>
  <c r="N74" i="1"/>
  <c r="N166" i="1"/>
  <c r="N406" i="1"/>
  <c r="N438" i="1"/>
  <c r="N376" i="1"/>
  <c r="N632" i="1"/>
  <c r="N114" i="1"/>
  <c r="N140" i="1"/>
  <c r="N297" i="1"/>
  <c r="N234" i="1"/>
  <c r="N387" i="1"/>
  <c r="N514" i="1"/>
  <c r="N668" i="1"/>
  <c r="N5" i="1"/>
  <c r="N86" i="1"/>
  <c r="N89" i="1"/>
  <c r="N121" i="1"/>
  <c r="N436" i="1"/>
  <c r="N626" i="1"/>
  <c r="N72" i="1"/>
  <c r="N79" i="1"/>
  <c r="N262" i="1"/>
  <c r="N384" i="1"/>
  <c r="N174" i="1"/>
  <c r="N231" i="1"/>
  <c r="N362" i="1"/>
  <c r="N780" i="1"/>
  <c r="N41" i="1"/>
  <c r="N165" i="1"/>
  <c r="N180" i="1"/>
  <c r="N15" i="1"/>
  <c r="N16" i="1"/>
  <c r="N51" i="1"/>
  <c r="N168" i="1"/>
  <c r="N270" i="1"/>
  <c r="N203" i="1"/>
  <c r="N225" i="1"/>
  <c r="N448" i="1"/>
  <c r="N565" i="1"/>
  <c r="N689" i="1"/>
  <c r="N724" i="1"/>
  <c r="N801" i="1"/>
  <c r="N990" i="1"/>
  <c r="N941" i="1"/>
  <c r="N950" i="1"/>
  <c r="N984" i="1"/>
  <c r="N9" i="1"/>
  <c r="N26" i="1"/>
  <c r="N35" i="1"/>
  <c r="N63" i="1"/>
  <c r="N81" i="1"/>
  <c r="N84" i="1"/>
  <c r="N105" i="1"/>
  <c r="N183" i="1"/>
  <c r="N222" i="1"/>
  <c r="N235" i="1"/>
  <c r="N298" i="1"/>
  <c r="N310" i="1"/>
  <c r="N388" i="1"/>
  <c r="N416" i="1"/>
  <c r="N428" i="1"/>
  <c r="N431" i="1"/>
  <c r="N455" i="1"/>
  <c r="N477" i="1"/>
  <c r="N551" i="1"/>
  <c r="N582" i="1"/>
  <c r="N606" i="1"/>
  <c r="N615" i="1"/>
  <c r="N650" i="1"/>
  <c r="N672" i="1"/>
  <c r="N730" i="1"/>
  <c r="N842" i="1"/>
  <c r="N854" i="1"/>
  <c r="N875" i="1"/>
  <c r="N881" i="1"/>
  <c r="N932" i="1"/>
  <c r="N987" i="1"/>
  <c r="N337" i="1"/>
  <c r="N353" i="1"/>
  <c r="N368" i="1"/>
  <c r="N373" i="1"/>
  <c r="N502" i="1"/>
  <c r="N515" i="1"/>
  <c r="N540" i="1"/>
  <c r="N592" i="1"/>
  <c r="N621" i="1"/>
  <c r="N624" i="1"/>
  <c r="N684" i="1"/>
  <c r="N707" i="1"/>
  <c r="N778" i="1"/>
  <c r="N792" i="1"/>
  <c r="N827" i="1"/>
  <c r="N884" i="1"/>
  <c r="N896" i="1"/>
  <c r="N898" i="1"/>
  <c r="N910" i="1"/>
  <c r="N918" i="1"/>
  <c r="N963" i="1"/>
  <c r="N997" i="1"/>
  <c r="N217" i="1"/>
  <c r="N419" i="1"/>
  <c r="N88" i="1"/>
  <c r="N241" i="1"/>
  <c r="N452" i="1"/>
  <c r="N464" i="1"/>
  <c r="N560" i="1"/>
  <c r="N603" i="1"/>
  <c r="N627" i="1"/>
  <c r="N640" i="1"/>
  <c r="N693" i="1"/>
  <c r="N705" i="1"/>
  <c r="N757" i="1"/>
  <c r="N157" i="1"/>
  <c r="N172" i="1"/>
  <c r="N175" i="1"/>
  <c r="N189" i="1"/>
  <c r="N71" i="1"/>
  <c r="N289" i="1"/>
  <c r="N307" i="1"/>
  <c r="N30" i="1"/>
  <c r="N60" i="1"/>
  <c r="N178" i="1"/>
  <c r="N181" i="1"/>
  <c r="N214" i="1"/>
  <c r="N232" i="1"/>
  <c r="N244" i="1"/>
  <c r="N301" i="1"/>
  <c r="N401" i="1"/>
  <c r="N404" i="1"/>
  <c r="N407" i="1"/>
  <c r="N434" i="1"/>
  <c r="N461" i="1"/>
  <c r="N569" i="1"/>
  <c r="N583" i="1"/>
  <c r="N654" i="1"/>
  <c r="N690" i="1"/>
  <c r="N746" i="1"/>
  <c r="N770" i="1"/>
  <c r="N815" i="1"/>
  <c r="N821" i="1"/>
  <c r="N840" i="1"/>
  <c r="N860" i="1"/>
  <c r="N866" i="1"/>
  <c r="N913" i="1"/>
  <c r="N921" i="1"/>
  <c r="N924" i="1"/>
  <c r="N948" i="1"/>
  <c r="N951" i="1"/>
  <c r="N970" i="1"/>
  <c r="N973" i="1"/>
  <c r="N122" i="1"/>
  <c r="N125" i="1"/>
  <c r="N250" i="1"/>
  <c r="N259" i="1"/>
  <c r="N348" i="1"/>
  <c r="N10" i="1"/>
  <c r="N17" i="1"/>
  <c r="N33" i="1"/>
  <c r="N36" i="1"/>
  <c r="N64" i="1"/>
  <c r="N94" i="1"/>
  <c r="N103" i="1"/>
  <c r="N119" i="1"/>
  <c r="N138" i="1"/>
  <c r="N417" i="1"/>
  <c r="N426" i="1"/>
  <c r="N490" i="1"/>
  <c r="N538" i="1"/>
  <c r="N576" i="1"/>
  <c r="N586" i="1"/>
  <c r="N601" i="1"/>
  <c r="N607" i="1"/>
  <c r="N679" i="1"/>
  <c r="N699" i="1"/>
  <c r="N713" i="1"/>
  <c r="N719" i="1"/>
  <c r="N818" i="1"/>
  <c r="N831" i="1"/>
  <c r="N849" i="1"/>
  <c r="N876" i="1"/>
  <c r="N888" i="1"/>
  <c r="N945" i="1"/>
  <c r="N976" i="1"/>
  <c r="N982" i="1"/>
  <c r="N158" i="1"/>
  <c r="N170" i="1"/>
  <c r="N190" i="1"/>
  <c r="N193" i="1"/>
  <c r="N322" i="1"/>
  <c r="N437" i="1"/>
  <c r="N519" i="1"/>
  <c r="N622" i="1"/>
  <c r="N625" i="1"/>
  <c r="N651" i="1"/>
  <c r="N148" i="1"/>
  <c r="N208" i="1"/>
  <c r="N239" i="1"/>
  <c r="N308" i="1"/>
  <c r="N314" i="1"/>
  <c r="N366" i="1"/>
  <c r="N386" i="1"/>
  <c r="N389" i="1"/>
  <c r="N613" i="1"/>
  <c r="N619" i="1"/>
  <c r="N631" i="1"/>
  <c r="N685" i="1"/>
  <c r="N743" i="1"/>
  <c r="N779" i="1"/>
  <c r="N790" i="1"/>
  <c r="N899" i="1"/>
  <c r="N911" i="1"/>
  <c r="N290" i="1"/>
  <c r="N408" i="1"/>
  <c r="N423" i="1"/>
  <c r="N440" i="1"/>
  <c r="N482" i="1"/>
  <c r="N500" i="1"/>
  <c r="N507" i="1"/>
  <c r="N561" i="1"/>
  <c r="N564" i="1"/>
  <c r="N570" i="1"/>
  <c r="N682" i="1"/>
  <c r="N688" i="1"/>
  <c r="N711" i="1"/>
  <c r="N806" i="1"/>
  <c r="N908" i="1"/>
  <c r="N919" i="1"/>
  <c r="N933" i="1"/>
  <c r="N939" i="1"/>
  <c r="N943" i="1"/>
  <c r="N958" i="1"/>
  <c r="N179" i="1"/>
  <c r="N269" i="1"/>
  <c r="N326" i="1"/>
  <c r="N393" i="1"/>
  <c r="N747" i="1"/>
  <c r="N835" i="1"/>
  <c r="N841" i="1"/>
  <c r="N889" i="1"/>
  <c r="N897" i="1"/>
  <c r="N903" i="1"/>
  <c r="N922" i="1"/>
  <c r="N974" i="1"/>
  <c r="N205" i="1"/>
  <c r="N276" i="1"/>
  <c r="N282" i="1"/>
  <c r="N285" i="1"/>
  <c r="N341" i="1"/>
  <c r="N491" i="1"/>
  <c r="N587" i="1"/>
  <c r="N599" i="1"/>
  <c r="N674" i="1"/>
  <c r="N758" i="1"/>
  <c r="N796" i="1"/>
  <c r="N819" i="1"/>
  <c r="N832" i="1"/>
  <c r="N838" i="1"/>
  <c r="N858" i="1"/>
  <c r="N867" i="1"/>
  <c r="N886" i="1"/>
  <c r="N949" i="1"/>
  <c r="N98" i="1"/>
  <c r="N323" i="1"/>
  <c r="N470" i="1"/>
  <c r="N479" i="1"/>
  <c r="N536" i="1"/>
  <c r="N649" i="1"/>
  <c r="N800" i="1"/>
  <c r="N44" i="1"/>
  <c r="N124" i="1"/>
  <c r="N146" i="1"/>
  <c r="N149" i="1"/>
  <c r="N182" i="1"/>
  <c r="N197" i="1"/>
  <c r="N209" i="1"/>
  <c r="N230" i="1"/>
  <c r="N273" i="1"/>
  <c r="N303" i="1"/>
  <c r="N358" i="1"/>
  <c r="N367" i="1"/>
  <c r="N381" i="1"/>
  <c r="N390" i="1"/>
  <c r="N409" i="1"/>
  <c r="N415" i="1"/>
  <c r="N444" i="1"/>
  <c r="N451" i="1"/>
  <c r="N483" i="1"/>
  <c r="N523" i="1"/>
  <c r="N528" i="1"/>
  <c r="N531" i="1"/>
  <c r="N542" i="1"/>
  <c r="N559" i="1"/>
  <c r="N571" i="1"/>
  <c r="N581" i="1"/>
  <c r="N605" i="1"/>
  <c r="N611" i="1"/>
  <c r="N686" i="1"/>
  <c r="N735" i="1"/>
  <c r="N762" i="1"/>
  <c r="N785" i="1"/>
  <c r="N804" i="1"/>
  <c r="N813" i="1"/>
  <c r="N844" i="1"/>
  <c r="N940" i="1"/>
  <c r="N240" i="1"/>
  <c r="N243" i="1"/>
  <c r="N258" i="1"/>
  <c r="N291" i="1"/>
  <c r="N306" i="1"/>
  <c r="N312" i="1"/>
  <c r="N315" i="1"/>
  <c r="N336" i="1"/>
  <c r="N347" i="1"/>
  <c r="N378" i="1"/>
  <c r="N492" i="1"/>
  <c r="N562" i="1"/>
  <c r="N600" i="1"/>
  <c r="N623" i="1"/>
  <c r="N629" i="1"/>
  <c r="N639" i="1"/>
  <c r="N683" i="1"/>
  <c r="N692" i="1"/>
  <c r="N695" i="1"/>
  <c r="N732" i="1"/>
  <c r="N759" i="1"/>
  <c r="N797" i="1"/>
  <c r="N807" i="1"/>
  <c r="N810" i="1"/>
  <c r="N826" i="1"/>
  <c r="N856" i="1"/>
  <c r="N893" i="1"/>
  <c r="N956" i="1"/>
  <c r="N959" i="1"/>
  <c r="N993" i="1"/>
  <c r="N723" i="1"/>
  <c r="N795" i="1"/>
  <c r="N164" i="1"/>
  <c r="N304" i="1"/>
  <c r="N771" i="1"/>
  <c r="N339" i="1"/>
  <c r="N87" i="1"/>
  <c r="N106" i="1"/>
  <c r="N268" i="1"/>
  <c r="N200" i="1"/>
  <c r="N221" i="1"/>
  <c r="N656" i="1"/>
  <c r="N117" i="1"/>
  <c r="N135" i="1"/>
  <c r="N4" i="1"/>
  <c r="N45" i="1"/>
  <c r="N476" i="1"/>
  <c r="N645" i="1"/>
  <c r="N593" i="1"/>
  <c r="N745" i="1"/>
  <c r="N293" i="1"/>
  <c r="N260" i="1"/>
  <c r="N590" i="1"/>
  <c r="N517" i="1"/>
  <c r="N55" i="1"/>
  <c r="N211" i="1"/>
  <c r="N255" i="1"/>
  <c r="N508" i="1"/>
  <c r="N252" i="1"/>
  <c r="N346" i="1"/>
  <c r="N617" i="1"/>
  <c r="N187" i="1"/>
  <c r="N505" i="1"/>
  <c r="N937" i="1"/>
  <c r="N58" i="1"/>
  <c r="N357" i="1"/>
  <c r="N547" i="1"/>
  <c r="N666" i="1"/>
  <c r="N133" i="1"/>
  <c r="N82" i="1"/>
  <c r="N433" i="1"/>
  <c r="N618" i="1"/>
  <c r="N712" i="1"/>
  <c r="N914" i="1"/>
  <c r="N229" i="1"/>
  <c r="N123" i="1"/>
  <c r="N171" i="1"/>
  <c r="N7" i="1"/>
  <c r="N503" i="1"/>
  <c r="N27" i="1"/>
  <c r="N313" i="1"/>
  <c r="N97" i="1"/>
  <c r="N194" i="1"/>
  <c r="N199" i="1"/>
  <c r="N215" i="1"/>
  <c r="N220" i="1"/>
  <c r="N238" i="1"/>
  <c r="N245" i="1"/>
  <c r="N318" i="1"/>
  <c r="N413" i="1"/>
  <c r="N788" i="1"/>
  <c r="N299" i="1"/>
  <c r="N251" i="1"/>
  <c r="N553" i="1"/>
  <c r="N657" i="1"/>
  <c r="N710" i="1"/>
  <c r="N983" i="1"/>
  <c r="N350" i="1"/>
  <c r="N633" i="1"/>
  <c r="N912" i="1"/>
  <c r="N756" i="1"/>
  <c r="N774" i="1"/>
  <c r="N196" i="1"/>
  <c r="N284" i="1"/>
  <c r="N530" i="1"/>
  <c r="N616" i="1"/>
  <c r="N901" i="1"/>
  <c r="N396" i="1"/>
  <c r="N191" i="1"/>
  <c r="N489" i="1"/>
  <c r="N822" i="1"/>
  <c r="N907" i="1"/>
  <c r="N793" i="1"/>
  <c r="N741" i="1"/>
  <c r="N781" i="1"/>
  <c r="N865" i="1"/>
  <c r="N585" i="1"/>
  <c r="N377" i="1"/>
  <c r="N442" i="1"/>
  <c r="N716" i="1"/>
  <c r="N115" i="1"/>
  <c r="N118" i="1"/>
  <c r="N23" i="1"/>
  <c r="N544" i="1"/>
  <c r="N731" i="1"/>
  <c r="N698" i="1"/>
  <c r="N127" i="1"/>
  <c r="N143" i="1"/>
  <c r="N473" i="1"/>
  <c r="N525" i="1"/>
  <c r="N614" i="1"/>
  <c r="N750" i="1"/>
  <c r="N868" i="1"/>
  <c r="N975" i="1"/>
  <c r="N286" i="1"/>
  <c r="N733" i="1"/>
  <c r="N873" i="1"/>
  <c r="N887" i="1"/>
  <c r="N224" i="1"/>
  <c r="N333" i="1"/>
  <c r="N574" i="1"/>
  <c r="N638" i="1"/>
  <c r="N675" i="1"/>
  <c r="N718" i="1"/>
  <c r="N814" i="1"/>
  <c r="N845" i="1"/>
  <c r="N863" i="1"/>
  <c r="N462" i="1"/>
  <c r="N485" i="1"/>
  <c r="N550" i="1"/>
  <c r="N952" i="1"/>
  <c r="N979" i="1"/>
  <c r="N242" i="1"/>
  <c r="N271" i="1"/>
  <c r="N356" i="1"/>
  <c r="N472" i="1"/>
  <c r="N495" i="1"/>
  <c r="N498" i="1"/>
  <c r="N772" i="1"/>
  <c r="N465" i="1"/>
  <c r="N597" i="1"/>
  <c r="N460" i="1"/>
  <c r="N493" i="1"/>
  <c r="N681" i="1"/>
  <c r="N714" i="1"/>
  <c r="N329" i="1"/>
  <c r="N961" i="1"/>
  <c r="N267" i="1"/>
  <c r="N421" i="1"/>
  <c r="N429" i="1"/>
  <c r="N642" i="1"/>
  <c r="N846" i="1"/>
  <c r="N894" i="1"/>
  <c r="N904" i="1"/>
  <c r="N967" i="1"/>
  <c r="N985" i="1"/>
  <c r="N325" i="1"/>
  <c r="N469" i="1"/>
  <c r="N946" i="1"/>
  <c r="N265" i="1"/>
  <c r="N414" i="1"/>
  <c r="N717" i="1"/>
  <c r="N397" i="1"/>
  <c r="N798" i="1"/>
  <c r="N966" i="1"/>
  <c r="N994" i="1"/>
  <c r="N677" i="1"/>
  <c r="N708" i="1"/>
  <c r="N441" i="1"/>
  <c r="N545" i="1"/>
  <c r="N557" i="1"/>
  <c r="N637" i="1"/>
  <c r="N742" i="1"/>
  <c r="N855" i="1"/>
  <c r="N646" i="1"/>
  <c r="N782" i="1"/>
  <c r="N862" i="1"/>
  <c r="N50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<sst xmlns="http://schemas.openxmlformats.org/spreadsheetml/2006/main" count="14373" uniqueCount="2635">
  <si>
    <t>Order ID</t>
  </si>
  <si>
    <t>Order Date</t>
  </si>
  <si>
    <t>Product Name</t>
  </si>
  <si>
    <t>Product Category</t>
  </si>
  <si>
    <t>Quantity Sold</t>
  </si>
  <si>
    <t>Unit Price</t>
  </si>
  <si>
    <t>Unit Cost</t>
  </si>
  <si>
    <t>Customer ID</t>
  </si>
  <si>
    <t>Customer Name</t>
  </si>
  <si>
    <t>Shipment Status</t>
  </si>
  <si>
    <t>State</t>
  </si>
  <si>
    <t>Total Revenue</t>
  </si>
  <si>
    <t>Total Cost</t>
  </si>
  <si>
    <t>Total Profit</t>
  </si>
  <si>
    <t>IsImputation</t>
  </si>
  <si>
    <t>OR0001</t>
  </si>
  <si>
    <t>Biodegradable Cleaning Cloth</t>
  </si>
  <si>
    <t>Cleaning</t>
  </si>
  <si>
    <t>C0039</t>
  </si>
  <si>
    <t>Mason Johnson</t>
  </si>
  <si>
    <t>Shipped</t>
  </si>
  <si>
    <t>Michigan</t>
  </si>
  <si>
    <t>OR0002</t>
  </si>
  <si>
    <t>Eco Canvas Tote Bag</t>
  </si>
  <si>
    <t>Bags</t>
  </si>
  <si>
    <t>C0122</t>
  </si>
  <si>
    <t>Aiden Davis</t>
  </si>
  <si>
    <t>Delivered</t>
  </si>
  <si>
    <t>North Carolina</t>
  </si>
  <si>
    <t>OR0003</t>
  </si>
  <si>
    <t>Solar Led Lantern</t>
  </si>
  <si>
    <t>Lighting</t>
  </si>
  <si>
    <t>C0076</t>
  </si>
  <si>
    <t>Mia Jones</t>
  </si>
  <si>
    <t>New York</t>
  </si>
  <si>
    <t>OR0004</t>
  </si>
  <si>
    <t>C0103</t>
  </si>
  <si>
    <t>Liam Garcia</t>
  </si>
  <si>
    <t>Florida</t>
  </si>
  <si>
    <t>OR0005</t>
  </si>
  <si>
    <t>C0162</t>
  </si>
  <si>
    <t>Ethan Miller</t>
  </si>
  <si>
    <t>Returned</t>
  </si>
  <si>
    <t>Ohio</t>
  </si>
  <si>
    <t>OR0006</t>
  </si>
  <si>
    <t>C0114</t>
  </si>
  <si>
    <t>Charlotte Jones</t>
  </si>
  <si>
    <t>Pending</t>
  </si>
  <si>
    <t>OR0007</t>
  </si>
  <si>
    <t>Reusable Bamboo Utensil Set</t>
  </si>
  <si>
    <t>Kitchenware</t>
  </si>
  <si>
    <t>C0052</t>
  </si>
  <si>
    <t>Mia Johnson</t>
  </si>
  <si>
    <t>OR0008</t>
  </si>
  <si>
    <t>C0071</t>
  </si>
  <si>
    <t>Ava Martinez</t>
  </si>
  <si>
    <t>Texas</t>
  </si>
  <si>
    <t>OR0009</t>
  </si>
  <si>
    <t>C0088</t>
  </si>
  <si>
    <t>Illinois</t>
  </si>
  <si>
    <t>OR0010</t>
  </si>
  <si>
    <t>C0165</t>
  </si>
  <si>
    <t>Harper Davis</t>
  </si>
  <si>
    <t>OR0011</t>
  </si>
  <si>
    <t>C0174</t>
  </si>
  <si>
    <t>OR0012</t>
  </si>
  <si>
    <t>Compostable Plant Pots</t>
  </si>
  <si>
    <t>Gardening</t>
  </si>
  <si>
    <t>C0176</t>
  </si>
  <si>
    <t>Oliver Miller</t>
  </si>
  <si>
    <t>Pennsylvania</t>
  </si>
  <si>
    <t>OR0013</t>
  </si>
  <si>
    <t>C0149</t>
  </si>
  <si>
    <t>Sophia Rodriguez</t>
  </si>
  <si>
    <t>Georgia</t>
  </si>
  <si>
    <t>OR0014</t>
  </si>
  <si>
    <t>C0184</t>
  </si>
  <si>
    <t>Isabella Johnson</t>
  </si>
  <si>
    <t>OR0015</t>
  </si>
  <si>
    <t>C0113</t>
  </si>
  <si>
    <t>Evelyn Smith</t>
  </si>
  <si>
    <t>OR0016</t>
  </si>
  <si>
    <t>C0012</t>
  </si>
  <si>
    <t>Olivia Martinez</t>
  </si>
  <si>
    <t>OR0017</t>
  </si>
  <si>
    <t>OR0018</t>
  </si>
  <si>
    <t>C0082</t>
  </si>
  <si>
    <t>Ava Jones</t>
  </si>
  <si>
    <t>OR0019</t>
  </si>
  <si>
    <t>C0108</t>
  </si>
  <si>
    <t>Harper Miller</t>
  </si>
  <si>
    <t>OR0020</t>
  </si>
  <si>
    <t>C0013</t>
  </si>
  <si>
    <t>Evelyn Martinez</t>
  </si>
  <si>
    <t>OR0021</t>
  </si>
  <si>
    <t>OR0022</t>
  </si>
  <si>
    <t>C0191</t>
  </si>
  <si>
    <t>Liam Rodriguez</t>
  </si>
  <si>
    <t>OR0023</t>
  </si>
  <si>
    <t>C0014</t>
  </si>
  <si>
    <t>Charlotte Garcia</t>
  </si>
  <si>
    <t>OR0024</t>
  </si>
  <si>
    <t>C0017</t>
  </si>
  <si>
    <t>OR0025</t>
  </si>
  <si>
    <t>C0160</t>
  </si>
  <si>
    <t>Lucas Garcia</t>
  </si>
  <si>
    <t>OR0026</t>
  </si>
  <si>
    <t>OR0027</t>
  </si>
  <si>
    <t>C0199</t>
  </si>
  <si>
    <t>Olivia Miller</t>
  </si>
  <si>
    <t>OR0028</t>
  </si>
  <si>
    <t>C0104</t>
  </si>
  <si>
    <t>Mason Rodriguez</t>
  </si>
  <si>
    <t>OR0029</t>
  </si>
  <si>
    <t>C0038</t>
  </si>
  <si>
    <t>Noah Martinez</t>
  </si>
  <si>
    <t>OR0030</t>
  </si>
  <si>
    <t>OR0031</t>
  </si>
  <si>
    <t>C0167</t>
  </si>
  <si>
    <t>Aiden Brown</t>
  </si>
  <si>
    <t>OR0032</t>
  </si>
  <si>
    <t>C0151</t>
  </si>
  <si>
    <t>Emma Smith</t>
  </si>
  <si>
    <t>OR0033</t>
  </si>
  <si>
    <t>C0033</t>
  </si>
  <si>
    <t>Mia Rodriguez</t>
  </si>
  <si>
    <t>OR0034</t>
  </si>
  <si>
    <t>C0181</t>
  </si>
  <si>
    <t>Olivia Garcia</t>
  </si>
  <si>
    <t>OR0035</t>
  </si>
  <si>
    <t>OR0036</t>
  </si>
  <si>
    <t>OR0037</t>
  </si>
  <si>
    <t>C0157</t>
  </si>
  <si>
    <t>Olivia Johnson</t>
  </si>
  <si>
    <t>California</t>
  </si>
  <si>
    <t>OR0038</t>
  </si>
  <si>
    <t>C0084</t>
  </si>
  <si>
    <t>Ethan Jones</t>
  </si>
  <si>
    <t>OR0039</t>
  </si>
  <si>
    <t>C0085</t>
  </si>
  <si>
    <t>Ethan Martinez</t>
  </si>
  <si>
    <t>OR0040</t>
  </si>
  <si>
    <t>C0188</t>
  </si>
  <si>
    <t>Lucas Williams</t>
  </si>
  <si>
    <t>OR0041</t>
  </si>
  <si>
    <t>C0043</t>
  </si>
  <si>
    <t>Logan Rodriguez</t>
  </si>
  <si>
    <t>OR0042</t>
  </si>
  <si>
    <t>C0053</t>
  </si>
  <si>
    <t>OR0043</t>
  </si>
  <si>
    <t>C0022</t>
  </si>
  <si>
    <t>James Smith</t>
  </si>
  <si>
    <t>OR0044</t>
  </si>
  <si>
    <t>C0081</t>
  </si>
  <si>
    <t>Mason Miller</t>
  </si>
  <si>
    <t>OR0045</t>
  </si>
  <si>
    <t>C0106</t>
  </si>
  <si>
    <t>OR0046</t>
  </si>
  <si>
    <t>C0069</t>
  </si>
  <si>
    <t>OR0047</t>
  </si>
  <si>
    <t>C0164</t>
  </si>
  <si>
    <t>Charlotte Davis</t>
  </si>
  <si>
    <t>OR0048</t>
  </si>
  <si>
    <t>OR0049</t>
  </si>
  <si>
    <t>C0161</t>
  </si>
  <si>
    <t>OR0050</t>
  </si>
  <si>
    <t>C0086</t>
  </si>
  <si>
    <t>Oliver Johnson</t>
  </si>
  <si>
    <t>OR0051</t>
  </si>
  <si>
    <t>C0059</t>
  </si>
  <si>
    <t>OR0052</t>
  </si>
  <si>
    <t>C0158</t>
  </si>
  <si>
    <t>Isabella Jones</t>
  </si>
  <si>
    <t>OR0053</t>
  </si>
  <si>
    <t>C0119</t>
  </si>
  <si>
    <t>OR0054</t>
  </si>
  <si>
    <t>C0054</t>
  </si>
  <si>
    <t>Isabella Rodriguez</t>
  </si>
  <si>
    <t>OR0055</t>
  </si>
  <si>
    <t>C0073</t>
  </si>
  <si>
    <t>Harper Brown</t>
  </si>
  <si>
    <t>OR0056</t>
  </si>
  <si>
    <t>C0077</t>
  </si>
  <si>
    <t>Mason Williams</t>
  </si>
  <si>
    <t>OR0057</t>
  </si>
  <si>
    <t>C0034</t>
  </si>
  <si>
    <t>Ethan Rodriguez</t>
  </si>
  <si>
    <t>OR0058</t>
  </si>
  <si>
    <t>C0066</t>
  </si>
  <si>
    <t>James Garcia</t>
  </si>
  <si>
    <t>OR0059</t>
  </si>
  <si>
    <t>C0196</t>
  </si>
  <si>
    <t>Mia Miller</t>
  </si>
  <si>
    <t>OR0060</t>
  </si>
  <si>
    <t>C0145</t>
  </si>
  <si>
    <t>Sophia Brown</t>
  </si>
  <si>
    <t>OR0061</t>
  </si>
  <si>
    <t>C0094</t>
  </si>
  <si>
    <t>Aiden Jones</t>
  </si>
  <si>
    <t>OR0062</t>
  </si>
  <si>
    <t>C0105</t>
  </si>
  <si>
    <t>Elijah Davis</t>
  </si>
  <si>
    <t>OR0063</t>
  </si>
  <si>
    <t>C0064</t>
  </si>
  <si>
    <t>Sophia Martinez</t>
  </si>
  <si>
    <t>OR0064</t>
  </si>
  <si>
    <t>C0139</t>
  </si>
  <si>
    <t>Amelia Garcia</t>
  </si>
  <si>
    <t>OR0065</t>
  </si>
  <si>
    <t>C0065</t>
  </si>
  <si>
    <t>Ava Rodriguez</t>
  </si>
  <si>
    <t>OR0066</t>
  </si>
  <si>
    <t>OR0067</t>
  </si>
  <si>
    <t>C0062</t>
  </si>
  <si>
    <t>Emma Davis</t>
  </si>
  <si>
    <t>OR0068</t>
  </si>
  <si>
    <t>C0128</t>
  </si>
  <si>
    <t>James Williams</t>
  </si>
  <si>
    <t>OR0069</t>
  </si>
  <si>
    <t>OR0070</t>
  </si>
  <si>
    <t>OR0071</t>
  </si>
  <si>
    <t>C0045</t>
  </si>
  <si>
    <t>Liam Smith</t>
  </si>
  <si>
    <t>OR0072</t>
  </si>
  <si>
    <t>C0067</t>
  </si>
  <si>
    <t>Logan Smith</t>
  </si>
  <si>
    <t>OR0073</t>
  </si>
  <si>
    <t>OR0074</t>
  </si>
  <si>
    <t>C0101</t>
  </si>
  <si>
    <t>OR0075</t>
  </si>
  <si>
    <t>C0100</t>
  </si>
  <si>
    <t>OR0076</t>
  </si>
  <si>
    <t>C0141</t>
  </si>
  <si>
    <t>OR0077</t>
  </si>
  <si>
    <t>OR0078</t>
  </si>
  <si>
    <t>C0009</t>
  </si>
  <si>
    <t>Ethan Williams</t>
  </si>
  <si>
    <t>OR0079</t>
  </si>
  <si>
    <t>C0057</t>
  </si>
  <si>
    <t>Evelyn Miller</t>
  </si>
  <si>
    <t>OR0080</t>
  </si>
  <si>
    <t>C0120</t>
  </si>
  <si>
    <t>Harper Smith</t>
  </si>
  <si>
    <t>OR0081</t>
  </si>
  <si>
    <t>OR0082</t>
  </si>
  <si>
    <t>C0156</t>
  </si>
  <si>
    <t>OR0083</t>
  </si>
  <si>
    <t>OR0084</t>
  </si>
  <si>
    <t>C0195</t>
  </si>
  <si>
    <t>Mason Davis</t>
  </si>
  <si>
    <t>OR0085</t>
  </si>
  <si>
    <t>C0182</t>
  </si>
  <si>
    <t>Ava Miller</t>
  </si>
  <si>
    <t>OR0086</t>
  </si>
  <si>
    <t>C0021</t>
  </si>
  <si>
    <t>OR0087</t>
  </si>
  <si>
    <t>C0146</t>
  </si>
  <si>
    <t>Isabella Garcia</t>
  </si>
  <si>
    <t>OR0088</t>
  </si>
  <si>
    <t>C0171</t>
  </si>
  <si>
    <t>Mia Davis</t>
  </si>
  <si>
    <t>OR0089</t>
  </si>
  <si>
    <t>OR0090</t>
  </si>
  <si>
    <t>C0110</t>
  </si>
  <si>
    <t>OR0091</t>
  </si>
  <si>
    <t>OR0092</t>
  </si>
  <si>
    <t>C0016</t>
  </si>
  <si>
    <t>OR0093</t>
  </si>
  <si>
    <t>OR0094</t>
  </si>
  <si>
    <t>OR0095</t>
  </si>
  <si>
    <t>OR0096</t>
  </si>
  <si>
    <t>OR0097</t>
  </si>
  <si>
    <t>C0194</t>
  </si>
  <si>
    <t>Noah Brown</t>
  </si>
  <si>
    <t>OR0098</t>
  </si>
  <si>
    <t>OR0099</t>
  </si>
  <si>
    <t>C0095</t>
  </si>
  <si>
    <t>Harper Rodriguez</t>
  </si>
  <si>
    <t>OR0100</t>
  </si>
  <si>
    <t>C0018</t>
  </si>
  <si>
    <t>Mia Brown</t>
  </si>
  <si>
    <t>OR0101</t>
  </si>
  <si>
    <t>C0023</t>
  </si>
  <si>
    <t>Noah Garcia</t>
  </si>
  <si>
    <t>OR0102</t>
  </si>
  <si>
    <t>OR0103</t>
  </si>
  <si>
    <t>C0037</t>
  </si>
  <si>
    <t>Ava Davis</t>
  </si>
  <si>
    <t>OR0104</t>
  </si>
  <si>
    <t>C0007</t>
  </si>
  <si>
    <t>Ava Brown</t>
  </si>
  <si>
    <t>OR0105</t>
  </si>
  <si>
    <t>C0124</t>
  </si>
  <si>
    <t>OR0106</t>
  </si>
  <si>
    <t>OR0107</t>
  </si>
  <si>
    <t>OR0108</t>
  </si>
  <si>
    <t>C0035</t>
  </si>
  <si>
    <t>OR0109</t>
  </si>
  <si>
    <t>OR0110</t>
  </si>
  <si>
    <t>OR0111</t>
  </si>
  <si>
    <t>C0078</t>
  </si>
  <si>
    <t>OR0112</t>
  </si>
  <si>
    <t>OR0113</t>
  </si>
  <si>
    <t>C0111</t>
  </si>
  <si>
    <t>OR0114</t>
  </si>
  <si>
    <t>C0187</t>
  </si>
  <si>
    <t>OR0115</t>
  </si>
  <si>
    <t>OR0116</t>
  </si>
  <si>
    <t>OR0117</t>
  </si>
  <si>
    <t>OR0118</t>
  </si>
  <si>
    <t>C0192</t>
  </si>
  <si>
    <t>Charlotte Johnson</t>
  </si>
  <si>
    <t>OR0119</t>
  </si>
  <si>
    <t>C0193</t>
  </si>
  <si>
    <t>Ava Smith</t>
  </si>
  <si>
    <t>OR0120</t>
  </si>
  <si>
    <t>OR0121</t>
  </si>
  <si>
    <t>OR0122</t>
  </si>
  <si>
    <t>C0166</t>
  </si>
  <si>
    <t>Noah Williams</t>
  </si>
  <si>
    <t>OR0123</t>
  </si>
  <si>
    <t>C0131</t>
  </si>
  <si>
    <t>Elijah Martinez</t>
  </si>
  <si>
    <t>OR0124</t>
  </si>
  <si>
    <t>C0135</t>
  </si>
  <si>
    <t>OR0125</t>
  </si>
  <si>
    <t>C0112</t>
  </si>
  <si>
    <t>Elijah Williams</t>
  </si>
  <si>
    <t>OR0126</t>
  </si>
  <si>
    <t>C0002</t>
  </si>
  <si>
    <t>OR0127</t>
  </si>
  <si>
    <t>OR0128</t>
  </si>
  <si>
    <t>C0075</t>
  </si>
  <si>
    <t>James Brown</t>
  </si>
  <si>
    <t>OR0129</t>
  </si>
  <si>
    <t>C0042</t>
  </si>
  <si>
    <t>OR0130</t>
  </si>
  <si>
    <t>C0190</t>
  </si>
  <si>
    <t>OR0131</t>
  </si>
  <si>
    <t>OR0132</t>
  </si>
  <si>
    <t>OR0133</t>
  </si>
  <si>
    <t>OR0134</t>
  </si>
  <si>
    <t>OR0135</t>
  </si>
  <si>
    <t>OR0136</t>
  </si>
  <si>
    <t>C0031</t>
  </si>
  <si>
    <t>OR0137</t>
  </si>
  <si>
    <t>OR0138</t>
  </si>
  <si>
    <t>OR0139</t>
  </si>
  <si>
    <t>C0091</t>
  </si>
  <si>
    <t>Aiden Williams</t>
  </si>
  <si>
    <t>OR0140</t>
  </si>
  <si>
    <t>OR0141</t>
  </si>
  <si>
    <t>C0133</t>
  </si>
  <si>
    <t>Harper Jones</t>
  </si>
  <si>
    <t>OR0142</t>
  </si>
  <si>
    <t>OR0143</t>
  </si>
  <si>
    <t>C0109</t>
  </si>
  <si>
    <t>Amelia Johnson</t>
  </si>
  <si>
    <t>OR0144</t>
  </si>
  <si>
    <t>OR0145</t>
  </si>
  <si>
    <t>OR0146</t>
  </si>
  <si>
    <t>C0058</t>
  </si>
  <si>
    <t>OR0147</t>
  </si>
  <si>
    <t>C0148</t>
  </si>
  <si>
    <t>OR0148</t>
  </si>
  <si>
    <t>C0127</t>
  </si>
  <si>
    <t>OR0149</t>
  </si>
  <si>
    <t>OR0150</t>
  </si>
  <si>
    <t>C0006</t>
  </si>
  <si>
    <t>Oliver Smith</t>
  </si>
  <si>
    <t>OR0151</t>
  </si>
  <si>
    <t>C0183</t>
  </si>
  <si>
    <t>OR0152</t>
  </si>
  <si>
    <t>C0150</t>
  </si>
  <si>
    <t>Noah Rodriguez</t>
  </si>
  <si>
    <t>OR0153</t>
  </si>
  <si>
    <t>OR0154</t>
  </si>
  <si>
    <t>OR0155</t>
  </si>
  <si>
    <t>C0015</t>
  </si>
  <si>
    <t>Emma Brown</t>
  </si>
  <si>
    <t>OR0156</t>
  </si>
  <si>
    <t>OR0157</t>
  </si>
  <si>
    <t>C0044</t>
  </si>
  <si>
    <t>Sophia Davis</t>
  </si>
  <si>
    <t>OR0158</t>
  </si>
  <si>
    <t>OR0159</t>
  </si>
  <si>
    <t>OR0160</t>
  </si>
  <si>
    <t>C0030</t>
  </si>
  <si>
    <t>OR0161</t>
  </si>
  <si>
    <t>C0175</t>
  </si>
  <si>
    <t>Aiden Rodriguez</t>
  </si>
  <si>
    <t>OR0162</t>
  </si>
  <si>
    <t>OR0163</t>
  </si>
  <si>
    <t>OR0164</t>
  </si>
  <si>
    <t>OR0165</t>
  </si>
  <si>
    <t>OR0166</t>
  </si>
  <si>
    <t>OR0167</t>
  </si>
  <si>
    <t>C0097</t>
  </si>
  <si>
    <t>OR0168</t>
  </si>
  <si>
    <t>OR0169</t>
  </si>
  <si>
    <t>OR0170</t>
  </si>
  <si>
    <t>OR0171</t>
  </si>
  <si>
    <t>C0144</t>
  </si>
  <si>
    <t>Liam Jones</t>
  </si>
  <si>
    <t>OR0172</t>
  </si>
  <si>
    <t>C0087</t>
  </si>
  <si>
    <t>OR0173</t>
  </si>
  <si>
    <t>OR0174</t>
  </si>
  <si>
    <t>OR0175</t>
  </si>
  <si>
    <t>C0200</t>
  </si>
  <si>
    <t>OR0176</t>
  </si>
  <si>
    <t>C0041</t>
  </si>
  <si>
    <t>OR0177</t>
  </si>
  <si>
    <t>OR0178</t>
  </si>
  <si>
    <t>C0050</t>
  </si>
  <si>
    <t>OR0179</t>
  </si>
  <si>
    <t>C0060</t>
  </si>
  <si>
    <t>OR0180</t>
  </si>
  <si>
    <t>C0178</t>
  </si>
  <si>
    <t>OR0181</t>
  </si>
  <si>
    <t>C0185</t>
  </si>
  <si>
    <t>OR0182</t>
  </si>
  <si>
    <t>OR0183</t>
  </si>
  <si>
    <t>OR0184</t>
  </si>
  <si>
    <t>C0189</t>
  </si>
  <si>
    <t>OR0185</t>
  </si>
  <si>
    <t>OR0186</t>
  </si>
  <si>
    <t>OR0187</t>
  </si>
  <si>
    <t>C0154</t>
  </si>
  <si>
    <t>Liam Johnson</t>
  </si>
  <si>
    <t>OR0188</t>
  </si>
  <si>
    <t>OR0189</t>
  </si>
  <si>
    <t>OR0190</t>
  </si>
  <si>
    <t>OR0191</t>
  </si>
  <si>
    <t>C0025</t>
  </si>
  <si>
    <t>OR0192</t>
  </si>
  <si>
    <t>C0096</t>
  </si>
  <si>
    <t>Ethan Johnson</t>
  </si>
  <si>
    <t>OR0193</t>
  </si>
  <si>
    <t>C0125</t>
  </si>
  <si>
    <t>Lucas Brown</t>
  </si>
  <si>
    <t>OR0194</t>
  </si>
  <si>
    <t>OR0195</t>
  </si>
  <si>
    <t>C0040</t>
  </si>
  <si>
    <t>Amelia Miller</t>
  </si>
  <si>
    <t>OR0196</t>
  </si>
  <si>
    <t>OR0197</t>
  </si>
  <si>
    <t>OR0198</t>
  </si>
  <si>
    <t>OR0199</t>
  </si>
  <si>
    <t>C0102</t>
  </si>
  <si>
    <t>Liam Brown</t>
  </si>
  <si>
    <t>OR0200</t>
  </si>
  <si>
    <t>OR0201</t>
  </si>
  <si>
    <t>C0003</t>
  </si>
  <si>
    <t>Sophia Garcia</t>
  </si>
  <si>
    <t>OR0202</t>
  </si>
  <si>
    <t>OR0203</t>
  </si>
  <si>
    <t>C0048</t>
  </si>
  <si>
    <t>Elijah Brown</t>
  </si>
  <si>
    <t>OR0204</t>
  </si>
  <si>
    <t>OR0205</t>
  </si>
  <si>
    <t>OR0206</t>
  </si>
  <si>
    <t>OR0207</t>
  </si>
  <si>
    <t>OR0208</t>
  </si>
  <si>
    <t>OR0209</t>
  </si>
  <si>
    <t>OR0210</t>
  </si>
  <si>
    <t>OR0211</t>
  </si>
  <si>
    <t>OR0212</t>
  </si>
  <si>
    <t>OR0213</t>
  </si>
  <si>
    <t>C0072</t>
  </si>
  <si>
    <t>Evelyn Garcia</t>
  </si>
  <si>
    <t>OR0214</t>
  </si>
  <si>
    <t>OR0215</t>
  </si>
  <si>
    <t>C0143</t>
  </si>
  <si>
    <t>James Miller</t>
  </si>
  <si>
    <t>OR0216</t>
  </si>
  <si>
    <t>C0126</t>
  </si>
  <si>
    <t>Lucas Smith</t>
  </si>
  <si>
    <t>OR0217</t>
  </si>
  <si>
    <t>C0055</t>
  </si>
  <si>
    <t>Lucas Rodriguez</t>
  </si>
  <si>
    <t>OR0218</t>
  </si>
  <si>
    <t>C0147</t>
  </si>
  <si>
    <t>OR0219</t>
  </si>
  <si>
    <t>OR0220</t>
  </si>
  <si>
    <t>OR0221</t>
  </si>
  <si>
    <t>OR0222</t>
  </si>
  <si>
    <t>OR0223</t>
  </si>
  <si>
    <t>OR0224</t>
  </si>
  <si>
    <t>C0001</t>
  </si>
  <si>
    <t>Noah Smith</t>
  </si>
  <si>
    <t>OR0225</t>
  </si>
  <si>
    <t>OR0226</t>
  </si>
  <si>
    <t>OR0227</t>
  </si>
  <si>
    <t>C0036</t>
  </si>
  <si>
    <t>Isabella Miller</t>
  </si>
  <si>
    <t>OR0228</t>
  </si>
  <si>
    <t>OR0229</t>
  </si>
  <si>
    <t>OR0230</t>
  </si>
  <si>
    <t>OR0231</t>
  </si>
  <si>
    <t>OR0232</t>
  </si>
  <si>
    <t>OR0233</t>
  </si>
  <si>
    <t>C0168</t>
  </si>
  <si>
    <t>OR0234</t>
  </si>
  <si>
    <t>OR0235</t>
  </si>
  <si>
    <t>OR0236</t>
  </si>
  <si>
    <t>C0137</t>
  </si>
  <si>
    <t>OR0237</t>
  </si>
  <si>
    <t>OR0238</t>
  </si>
  <si>
    <t>OR0239</t>
  </si>
  <si>
    <t>C0004</t>
  </si>
  <si>
    <t>Aiden Garcia</t>
  </si>
  <si>
    <t>OR0240</t>
  </si>
  <si>
    <t>OR0241</t>
  </si>
  <si>
    <t>OR0242</t>
  </si>
  <si>
    <t>OR0243</t>
  </si>
  <si>
    <t>OR0244</t>
  </si>
  <si>
    <t>C0140</t>
  </si>
  <si>
    <t>Aiden Smith</t>
  </si>
  <si>
    <t>OR0245</t>
  </si>
  <si>
    <t>OR0246</t>
  </si>
  <si>
    <t>OR0247</t>
  </si>
  <si>
    <t>OR0248</t>
  </si>
  <si>
    <t>OR0249</t>
  </si>
  <si>
    <t>C0068</t>
  </si>
  <si>
    <t>Logan Johnson</t>
  </si>
  <si>
    <t>OR0250</t>
  </si>
  <si>
    <t>OR0251</t>
  </si>
  <si>
    <t>OR0252</t>
  </si>
  <si>
    <t>OR0253</t>
  </si>
  <si>
    <t>C0132</t>
  </si>
  <si>
    <t>Amelia Jones</t>
  </si>
  <si>
    <t>OR0254</t>
  </si>
  <si>
    <t>OR0255</t>
  </si>
  <si>
    <t>OR0256</t>
  </si>
  <si>
    <t>OR0257</t>
  </si>
  <si>
    <t>OR0258</t>
  </si>
  <si>
    <t>OR0259</t>
  </si>
  <si>
    <t>OR0260</t>
  </si>
  <si>
    <t>OR0261</t>
  </si>
  <si>
    <t>OR0262</t>
  </si>
  <si>
    <t>OR0263</t>
  </si>
  <si>
    <t>OR0264</t>
  </si>
  <si>
    <t>OR0265</t>
  </si>
  <si>
    <t>OR0266</t>
  </si>
  <si>
    <t>OR0267</t>
  </si>
  <si>
    <t>OR0268</t>
  </si>
  <si>
    <t>OR0269</t>
  </si>
  <si>
    <t>OR0270</t>
  </si>
  <si>
    <t>OR0271</t>
  </si>
  <si>
    <t>C0197</t>
  </si>
  <si>
    <t>OR0272</t>
  </si>
  <si>
    <t>C0186</t>
  </si>
  <si>
    <t>Isabella Brown</t>
  </si>
  <si>
    <t>OR0273</t>
  </si>
  <si>
    <t>OR0274</t>
  </si>
  <si>
    <t>OR0275</t>
  </si>
  <si>
    <t>OR0276</t>
  </si>
  <si>
    <t>C0005</t>
  </si>
  <si>
    <t>Elijah Garcia</t>
  </si>
  <si>
    <t>OR0277</t>
  </si>
  <si>
    <t>C0079</t>
  </si>
  <si>
    <t>Olivia Williams</t>
  </si>
  <si>
    <t>OR0278</t>
  </si>
  <si>
    <t>OR0279</t>
  </si>
  <si>
    <t>C0152</t>
  </si>
  <si>
    <t>Ethan Garcia</t>
  </si>
  <si>
    <t>OR0280</t>
  </si>
  <si>
    <t>OR0281</t>
  </si>
  <si>
    <t>OR0282</t>
  </si>
  <si>
    <t>OR0283</t>
  </si>
  <si>
    <t>C0047</t>
  </si>
  <si>
    <t>OR0284</t>
  </si>
  <si>
    <t>C0142</t>
  </si>
  <si>
    <t>Harper Garcia</t>
  </si>
  <si>
    <t>OR0285</t>
  </si>
  <si>
    <t>C0098</t>
  </si>
  <si>
    <t>OR0286</t>
  </si>
  <si>
    <t>C0051</t>
  </si>
  <si>
    <t>OR0287</t>
  </si>
  <si>
    <t>OR0288</t>
  </si>
  <si>
    <t>OR0289</t>
  </si>
  <si>
    <t>C0138</t>
  </si>
  <si>
    <t>OR0290</t>
  </si>
  <si>
    <t>OR0291</t>
  </si>
  <si>
    <t>OR0292</t>
  </si>
  <si>
    <t>OR0293</t>
  </si>
  <si>
    <t>OR0294</t>
  </si>
  <si>
    <t>OR0295</t>
  </si>
  <si>
    <t>OR0296</t>
  </si>
  <si>
    <t>OR0297</t>
  </si>
  <si>
    <t>C0116</t>
  </si>
  <si>
    <t>OR0298</t>
  </si>
  <si>
    <t>OR0299</t>
  </si>
  <si>
    <t>C0011</t>
  </si>
  <si>
    <t>OR0300</t>
  </si>
  <si>
    <t>OR0301</t>
  </si>
  <si>
    <t>OR0302</t>
  </si>
  <si>
    <t>C0155</t>
  </si>
  <si>
    <t>OR0303</t>
  </si>
  <si>
    <t>OR0304</t>
  </si>
  <si>
    <t>OR0305</t>
  </si>
  <si>
    <t>OR0306</t>
  </si>
  <si>
    <t>OR0307</t>
  </si>
  <si>
    <t>OR0308</t>
  </si>
  <si>
    <t>OR0309</t>
  </si>
  <si>
    <t>OR0310</t>
  </si>
  <si>
    <t>OR0311</t>
  </si>
  <si>
    <t>OR0312</t>
  </si>
  <si>
    <t>OR0313</t>
  </si>
  <si>
    <t>OR0314</t>
  </si>
  <si>
    <t>OR0315</t>
  </si>
  <si>
    <t>C0130</t>
  </si>
  <si>
    <t>OR0316</t>
  </si>
  <si>
    <t>OR0317</t>
  </si>
  <si>
    <t>OR0318</t>
  </si>
  <si>
    <t>OR0319</t>
  </si>
  <si>
    <t>OR0320</t>
  </si>
  <si>
    <t>OR0321</t>
  </si>
  <si>
    <t>OR0322</t>
  </si>
  <si>
    <t>OR0323</t>
  </si>
  <si>
    <t>OR0324</t>
  </si>
  <si>
    <t>OR0325</t>
  </si>
  <si>
    <t>OR0326</t>
  </si>
  <si>
    <t>OR0327</t>
  </si>
  <si>
    <t>C0093</t>
  </si>
  <si>
    <t>OR0328</t>
  </si>
  <si>
    <t>OR0329</t>
  </si>
  <si>
    <t>OR0330</t>
  </si>
  <si>
    <t>OR0331</t>
  </si>
  <si>
    <t>OR0332</t>
  </si>
  <si>
    <t>OR0333</t>
  </si>
  <si>
    <t>OR0334</t>
  </si>
  <si>
    <t>C0172</t>
  </si>
  <si>
    <t>Logan Miller</t>
  </si>
  <si>
    <t>OR0335</t>
  </si>
  <si>
    <t>OR0336</t>
  </si>
  <si>
    <t>OR0337</t>
  </si>
  <si>
    <t>OR0338</t>
  </si>
  <si>
    <t>OR0339</t>
  </si>
  <si>
    <t>OR0340</t>
  </si>
  <si>
    <t>C0008</t>
  </si>
  <si>
    <t>OR0341</t>
  </si>
  <si>
    <t>OR0342</t>
  </si>
  <si>
    <t>OR0343</t>
  </si>
  <si>
    <t>OR0344</t>
  </si>
  <si>
    <t>OR0345</t>
  </si>
  <si>
    <t>C0024</t>
  </si>
  <si>
    <t>Isabella Williams</t>
  </si>
  <si>
    <t>OR0346</t>
  </si>
  <si>
    <t>OR0347</t>
  </si>
  <si>
    <t>OR0348</t>
  </si>
  <si>
    <t>OR0349</t>
  </si>
  <si>
    <t>OR0350</t>
  </si>
  <si>
    <t>OR0351</t>
  </si>
  <si>
    <t>OR0352</t>
  </si>
  <si>
    <t>OR0353</t>
  </si>
  <si>
    <t>OR0354</t>
  </si>
  <si>
    <t>OR0355</t>
  </si>
  <si>
    <t>OR0356</t>
  </si>
  <si>
    <t>OR0357</t>
  </si>
  <si>
    <t>OR0358</t>
  </si>
  <si>
    <t>C0118</t>
  </si>
  <si>
    <t>Logan Martinez</t>
  </si>
  <si>
    <t>OR0359</t>
  </si>
  <si>
    <t>C0046</t>
  </si>
  <si>
    <t>Elijah Smith</t>
  </si>
  <si>
    <t>OR0360</t>
  </si>
  <si>
    <t>C0129</t>
  </si>
  <si>
    <t>Liam Miller</t>
  </si>
  <si>
    <t>OR0361</t>
  </si>
  <si>
    <t>C0026</t>
  </si>
  <si>
    <t>Evelyn Brown</t>
  </si>
  <si>
    <t>OR0362</t>
  </si>
  <si>
    <t>C0027</t>
  </si>
  <si>
    <t>OR0363</t>
  </si>
  <si>
    <t>OR0364</t>
  </si>
  <si>
    <t>OR0365</t>
  </si>
  <si>
    <t>OR0366</t>
  </si>
  <si>
    <t>OR0367</t>
  </si>
  <si>
    <t>OR0368</t>
  </si>
  <si>
    <t>OR0369</t>
  </si>
  <si>
    <t>OR0370</t>
  </si>
  <si>
    <t>OR0371</t>
  </si>
  <si>
    <t>C0049</t>
  </si>
  <si>
    <t>OR0372</t>
  </si>
  <si>
    <t>OR0373</t>
  </si>
  <si>
    <t>OR0374</t>
  </si>
  <si>
    <t>OR0375</t>
  </si>
  <si>
    <t>OR0376</t>
  </si>
  <si>
    <t>OR0377</t>
  </si>
  <si>
    <t>C0198</t>
  </si>
  <si>
    <t>Elijah Jones</t>
  </si>
  <si>
    <t>OR0378</t>
  </si>
  <si>
    <t>OR0379</t>
  </si>
  <si>
    <t>OR0380</t>
  </si>
  <si>
    <t>OR0381</t>
  </si>
  <si>
    <t>OR0382</t>
  </si>
  <si>
    <t>OR0383</t>
  </si>
  <si>
    <t>OR0384</t>
  </si>
  <si>
    <t>OR0385</t>
  </si>
  <si>
    <t>OR0386</t>
  </si>
  <si>
    <t>OR0387</t>
  </si>
  <si>
    <t>C0121</t>
  </si>
  <si>
    <t>OR0388</t>
  </si>
  <si>
    <t>OR0389</t>
  </si>
  <si>
    <t>OR0390</t>
  </si>
  <si>
    <t>OR0391</t>
  </si>
  <si>
    <t>OR0392</t>
  </si>
  <si>
    <t>OR0393</t>
  </si>
  <si>
    <t>OR0394</t>
  </si>
  <si>
    <t>OR0395</t>
  </si>
  <si>
    <t>OR0396</t>
  </si>
  <si>
    <t>OR0397</t>
  </si>
  <si>
    <t>OR0398</t>
  </si>
  <si>
    <t>OR0399</t>
  </si>
  <si>
    <t>OR0400</t>
  </si>
  <si>
    <t>OR0401</t>
  </si>
  <si>
    <t>OR0402</t>
  </si>
  <si>
    <t>OR0403</t>
  </si>
  <si>
    <t>OR0404</t>
  </si>
  <si>
    <t>OR0405</t>
  </si>
  <si>
    <t>OR0406</t>
  </si>
  <si>
    <t>OR0407</t>
  </si>
  <si>
    <t>OR0408</t>
  </si>
  <si>
    <t>OR0409</t>
  </si>
  <si>
    <t>OR0410</t>
  </si>
  <si>
    <t>OR0411</t>
  </si>
  <si>
    <t>OR0412</t>
  </si>
  <si>
    <t>OR0413</t>
  </si>
  <si>
    <t>OR0414</t>
  </si>
  <si>
    <t>C0177</t>
  </si>
  <si>
    <t>Mia Martinez</t>
  </si>
  <si>
    <t>OR0415</t>
  </si>
  <si>
    <t>C0159</t>
  </si>
  <si>
    <t>OR0416</t>
  </si>
  <si>
    <t>OR0417</t>
  </si>
  <si>
    <t>OR0418</t>
  </si>
  <si>
    <t>OR0419</t>
  </si>
  <si>
    <t>OR0420</t>
  </si>
  <si>
    <t>OR0421</t>
  </si>
  <si>
    <t>OR0422</t>
  </si>
  <si>
    <t>OR0423</t>
  </si>
  <si>
    <t>C0063</t>
  </si>
  <si>
    <t>OR0424</t>
  </si>
  <si>
    <t>OR0425</t>
  </si>
  <si>
    <t>OR0426</t>
  </si>
  <si>
    <t>OR0427</t>
  </si>
  <si>
    <t>C0020</t>
  </si>
  <si>
    <t>James Jones</t>
  </si>
  <si>
    <t>OR0428</t>
  </si>
  <si>
    <t>OR0429</t>
  </si>
  <si>
    <t>OR0430</t>
  </si>
  <si>
    <t>OR0431</t>
  </si>
  <si>
    <t>OR0432</t>
  </si>
  <si>
    <t>OR0433</t>
  </si>
  <si>
    <t>OR0434</t>
  </si>
  <si>
    <t>OR0435</t>
  </si>
  <si>
    <t>OR0436</t>
  </si>
  <si>
    <t>OR0437</t>
  </si>
  <si>
    <t>OR0438</t>
  </si>
  <si>
    <t>OR0439</t>
  </si>
  <si>
    <t>OR0440</t>
  </si>
  <si>
    <t>C0170</t>
  </si>
  <si>
    <t>OR0441</t>
  </si>
  <si>
    <t>OR0442</t>
  </si>
  <si>
    <t>C0061</t>
  </si>
  <si>
    <t>Aiden Miller</t>
  </si>
  <si>
    <t>OR0443</t>
  </si>
  <si>
    <t>OR0444</t>
  </si>
  <si>
    <t>OR0445</t>
  </si>
  <si>
    <t>OR0446</t>
  </si>
  <si>
    <t>OR0447</t>
  </si>
  <si>
    <t>C0107</t>
  </si>
  <si>
    <t>OR0448</t>
  </si>
  <si>
    <t>OR0449</t>
  </si>
  <si>
    <t>OR0450</t>
  </si>
  <si>
    <t>OR0451</t>
  </si>
  <si>
    <t>OR0452</t>
  </si>
  <si>
    <t>OR0453</t>
  </si>
  <si>
    <t>OR0454</t>
  </si>
  <si>
    <t>OR0455</t>
  </si>
  <si>
    <t>OR0456</t>
  </si>
  <si>
    <t>C0032</t>
  </si>
  <si>
    <t>Oliver Jones</t>
  </si>
  <si>
    <t>OR0457</t>
  </si>
  <si>
    <t>OR0458</t>
  </si>
  <si>
    <t>OR0459</t>
  </si>
  <si>
    <t>OR0460</t>
  </si>
  <si>
    <t>OR0461</t>
  </si>
  <si>
    <t>OR0462</t>
  </si>
  <si>
    <t>OR0463</t>
  </si>
  <si>
    <t>OR0464</t>
  </si>
  <si>
    <t>OR0465</t>
  </si>
  <si>
    <t>OR0466</t>
  </si>
  <si>
    <t>C0180</t>
  </si>
  <si>
    <t>OR0467</t>
  </si>
  <si>
    <t>OR0468</t>
  </si>
  <si>
    <t>OR0469</t>
  </si>
  <si>
    <t>OR0470</t>
  </si>
  <si>
    <t>OR0471</t>
  </si>
  <si>
    <t>OR0472</t>
  </si>
  <si>
    <t>C0083</t>
  </si>
  <si>
    <t>OR0473</t>
  </si>
  <si>
    <t>OR0474</t>
  </si>
  <si>
    <t>OR0475</t>
  </si>
  <si>
    <t>OR0476</t>
  </si>
  <si>
    <t>OR0477</t>
  </si>
  <si>
    <t>OR0478</t>
  </si>
  <si>
    <t>OR0479</t>
  </si>
  <si>
    <t>OR0480</t>
  </si>
  <si>
    <t>OR0481</t>
  </si>
  <si>
    <t>OR0482</t>
  </si>
  <si>
    <t>OR0483</t>
  </si>
  <si>
    <t>C0115</t>
  </si>
  <si>
    <t>Ava Garcia</t>
  </si>
  <si>
    <t>OR0484</t>
  </si>
  <si>
    <t>OR0485</t>
  </si>
  <si>
    <t>OR0486</t>
  </si>
  <si>
    <t>OR0487</t>
  </si>
  <si>
    <t>OR0488</t>
  </si>
  <si>
    <t>OR0489</t>
  </si>
  <si>
    <t>OR0490</t>
  </si>
  <si>
    <t>OR0491</t>
  </si>
  <si>
    <t>OR0492</t>
  </si>
  <si>
    <t>OR0493</t>
  </si>
  <si>
    <t>OR0494</t>
  </si>
  <si>
    <t>OR0495</t>
  </si>
  <si>
    <t>OR0496</t>
  </si>
  <si>
    <t>OR0497</t>
  </si>
  <si>
    <t>OR0498</t>
  </si>
  <si>
    <t>OR0499</t>
  </si>
  <si>
    <t>OR0500</t>
  </si>
  <si>
    <t>OR0501</t>
  </si>
  <si>
    <t>OR0502</t>
  </si>
  <si>
    <t>C0169</t>
  </si>
  <si>
    <t>OR0503</t>
  </si>
  <si>
    <t>OR0504</t>
  </si>
  <si>
    <t>OR0505</t>
  </si>
  <si>
    <t>OR0506</t>
  </si>
  <si>
    <t>C0163</t>
  </si>
  <si>
    <t>OR0507</t>
  </si>
  <si>
    <t>OR0508</t>
  </si>
  <si>
    <t>OR0509</t>
  </si>
  <si>
    <t>OR0510</t>
  </si>
  <si>
    <t>OR0511</t>
  </si>
  <si>
    <t>C0179</t>
  </si>
  <si>
    <t>OR0512</t>
  </si>
  <si>
    <t>OR0513</t>
  </si>
  <si>
    <t>OR0514</t>
  </si>
  <si>
    <t>OR0515</t>
  </si>
  <si>
    <t>C0089</t>
  </si>
  <si>
    <t>Liam Davis</t>
  </si>
  <si>
    <t>OR0516</t>
  </si>
  <si>
    <t>OR0517</t>
  </si>
  <si>
    <t>OR0518</t>
  </si>
  <si>
    <t>OR0519</t>
  </si>
  <si>
    <t>OR0520</t>
  </si>
  <si>
    <t>C0090</t>
  </si>
  <si>
    <t>Mason Jones</t>
  </si>
  <si>
    <t>OR0521</t>
  </si>
  <si>
    <t>OR0522</t>
  </si>
  <si>
    <t>OR0523</t>
  </si>
  <si>
    <t>OR0524</t>
  </si>
  <si>
    <t>OR0525</t>
  </si>
  <si>
    <t>OR0526</t>
  </si>
  <si>
    <t>OR0527</t>
  </si>
  <si>
    <t>OR0528</t>
  </si>
  <si>
    <t>OR0529</t>
  </si>
  <si>
    <t>OR0530</t>
  </si>
  <si>
    <t>OR0531</t>
  </si>
  <si>
    <t>OR0532</t>
  </si>
  <si>
    <t>OR0533</t>
  </si>
  <si>
    <t>OR0534</t>
  </si>
  <si>
    <t>OR0535</t>
  </si>
  <si>
    <t>OR0536</t>
  </si>
  <si>
    <t>OR0537</t>
  </si>
  <si>
    <t>OR0538</t>
  </si>
  <si>
    <t>OR0539</t>
  </si>
  <si>
    <t>OR0540</t>
  </si>
  <si>
    <t>OR0541</t>
  </si>
  <si>
    <t>OR0542</t>
  </si>
  <si>
    <t>OR0543</t>
  </si>
  <si>
    <t>OR0544</t>
  </si>
  <si>
    <t>C0070</t>
  </si>
  <si>
    <t>Sophia Johnson</t>
  </si>
  <si>
    <t>OR0545</t>
  </si>
  <si>
    <t>OR0546</t>
  </si>
  <si>
    <t>OR0547</t>
  </si>
  <si>
    <t>OR0548</t>
  </si>
  <si>
    <t>OR0549</t>
  </si>
  <si>
    <t>OR0550</t>
  </si>
  <si>
    <t>OR0551</t>
  </si>
  <si>
    <t>OR0552</t>
  </si>
  <si>
    <t>OR0553</t>
  </si>
  <si>
    <t>OR0554</t>
  </si>
  <si>
    <t>OR0555</t>
  </si>
  <si>
    <t>OR0556</t>
  </si>
  <si>
    <t>OR0557</t>
  </si>
  <si>
    <t>OR0558</t>
  </si>
  <si>
    <t>OR0559</t>
  </si>
  <si>
    <t>OR0560</t>
  </si>
  <si>
    <t>OR0561</t>
  </si>
  <si>
    <t>OR0562</t>
  </si>
  <si>
    <t>C0019</t>
  </si>
  <si>
    <t>Aiden Martinez</t>
  </si>
  <si>
    <t>OR0563</t>
  </si>
  <si>
    <t>OR0564</t>
  </si>
  <si>
    <t>OR0565</t>
  </si>
  <si>
    <t>OR0566</t>
  </si>
  <si>
    <t>OR0567</t>
  </si>
  <si>
    <t>OR0568</t>
  </si>
  <si>
    <t>OR0569</t>
  </si>
  <si>
    <t>OR0570</t>
  </si>
  <si>
    <t>OR0571</t>
  </si>
  <si>
    <t>OR0572</t>
  </si>
  <si>
    <t>OR0573</t>
  </si>
  <si>
    <t>OR0574</t>
  </si>
  <si>
    <t>OR0575</t>
  </si>
  <si>
    <t>OR0576</t>
  </si>
  <si>
    <t>OR0577</t>
  </si>
  <si>
    <t>OR0578</t>
  </si>
  <si>
    <t>OR0579</t>
  </si>
  <si>
    <t>OR0580</t>
  </si>
  <si>
    <t>C0173</t>
  </si>
  <si>
    <t>Amelia Martinez</t>
  </si>
  <si>
    <t>OR0581</t>
  </si>
  <si>
    <t>OR0582</t>
  </si>
  <si>
    <t>OR0583</t>
  </si>
  <si>
    <t>OR0584</t>
  </si>
  <si>
    <t>OR0585</t>
  </si>
  <si>
    <t>OR0586</t>
  </si>
  <si>
    <t>OR0587</t>
  </si>
  <si>
    <t>OR0588</t>
  </si>
  <si>
    <t>OR0589</t>
  </si>
  <si>
    <t>OR0590</t>
  </si>
  <si>
    <t>OR0591</t>
  </si>
  <si>
    <t>OR0592</t>
  </si>
  <si>
    <t>OR0593</t>
  </si>
  <si>
    <t>OR0594</t>
  </si>
  <si>
    <t>OR0595</t>
  </si>
  <si>
    <t>OR0596</t>
  </si>
  <si>
    <t>OR0597</t>
  </si>
  <si>
    <t>OR0598</t>
  </si>
  <si>
    <t>OR0599</t>
  </si>
  <si>
    <t>OR0600</t>
  </si>
  <si>
    <t>OR0601</t>
  </si>
  <si>
    <t>OR0602</t>
  </si>
  <si>
    <t>OR0603</t>
  </si>
  <si>
    <t>OR0604</t>
  </si>
  <si>
    <t>C0074</t>
  </si>
  <si>
    <t>Emma Garcia</t>
  </si>
  <si>
    <t>OR0605</t>
  </si>
  <si>
    <t>OR0606</t>
  </si>
  <si>
    <t>OR0607</t>
  </si>
  <si>
    <t>OR0608</t>
  </si>
  <si>
    <t>OR0609</t>
  </si>
  <si>
    <t>OR0610</t>
  </si>
  <si>
    <t>OR0611</t>
  </si>
  <si>
    <t>OR0612</t>
  </si>
  <si>
    <t>OR0613</t>
  </si>
  <si>
    <t>OR0614</t>
  </si>
  <si>
    <t>OR0615</t>
  </si>
  <si>
    <t>OR0616</t>
  </si>
  <si>
    <t>OR0617</t>
  </si>
  <si>
    <t>OR0618</t>
  </si>
  <si>
    <t>OR0619</t>
  </si>
  <si>
    <t>OR0620</t>
  </si>
  <si>
    <t>OR0621</t>
  </si>
  <si>
    <t>OR0622</t>
  </si>
  <si>
    <t>OR0623</t>
  </si>
  <si>
    <t>OR0624</t>
  </si>
  <si>
    <t>OR0625</t>
  </si>
  <si>
    <t>OR0626</t>
  </si>
  <si>
    <t>C0056</t>
  </si>
  <si>
    <t>Olivia Jones</t>
  </si>
  <si>
    <t>OR0627</t>
  </si>
  <si>
    <t>OR0628</t>
  </si>
  <si>
    <t>OR0629</t>
  </si>
  <si>
    <t>OR0630</t>
  </si>
  <si>
    <t>OR0631</t>
  </si>
  <si>
    <t>OR0632</t>
  </si>
  <si>
    <t>OR0633</t>
  </si>
  <si>
    <t>OR0634</t>
  </si>
  <si>
    <t>OR0635</t>
  </si>
  <si>
    <t>OR0636</t>
  </si>
  <si>
    <t>OR0637</t>
  </si>
  <si>
    <t>OR0638</t>
  </si>
  <si>
    <t>C0099</t>
  </si>
  <si>
    <t>OR0639</t>
  </si>
  <si>
    <t>OR0640</t>
  </si>
  <si>
    <t>OR0641</t>
  </si>
  <si>
    <t>OR0642</t>
  </si>
  <si>
    <t>OR0643</t>
  </si>
  <si>
    <t>OR0644</t>
  </si>
  <si>
    <t>OR0645</t>
  </si>
  <si>
    <t>OR0646</t>
  </si>
  <si>
    <t>OR0647</t>
  </si>
  <si>
    <t>OR0648</t>
  </si>
  <si>
    <t>OR0649</t>
  </si>
  <si>
    <t>OR0650</t>
  </si>
  <si>
    <t>OR0651</t>
  </si>
  <si>
    <t>OR0652</t>
  </si>
  <si>
    <t>OR0653</t>
  </si>
  <si>
    <t>OR0654</t>
  </si>
  <si>
    <t>OR0655</t>
  </si>
  <si>
    <t>OR0656</t>
  </si>
  <si>
    <t>OR0657</t>
  </si>
  <si>
    <t>OR0658</t>
  </si>
  <si>
    <t>OR0659</t>
  </si>
  <si>
    <t>OR0660</t>
  </si>
  <si>
    <t>OR0661</t>
  </si>
  <si>
    <t>C0117</t>
  </si>
  <si>
    <t>Logan Jones</t>
  </si>
  <si>
    <t>OR0662</t>
  </si>
  <si>
    <t>OR0663</t>
  </si>
  <si>
    <t>OR0664</t>
  </si>
  <si>
    <t>OR0665</t>
  </si>
  <si>
    <t>OR0666</t>
  </si>
  <si>
    <t>OR0667</t>
  </si>
  <si>
    <t>OR0668</t>
  </si>
  <si>
    <t>OR0669</t>
  </si>
  <si>
    <t>OR0670</t>
  </si>
  <si>
    <t>OR0671</t>
  </si>
  <si>
    <t>OR0672</t>
  </si>
  <si>
    <t>OR0673</t>
  </si>
  <si>
    <t>OR0674</t>
  </si>
  <si>
    <t>OR0675</t>
  </si>
  <si>
    <t>OR0676</t>
  </si>
  <si>
    <t>OR0677</t>
  </si>
  <si>
    <t>OR0678</t>
  </si>
  <si>
    <t>OR0679</t>
  </si>
  <si>
    <t>OR0680</t>
  </si>
  <si>
    <t>OR0681</t>
  </si>
  <si>
    <t>OR0682</t>
  </si>
  <si>
    <t>OR0683</t>
  </si>
  <si>
    <t>OR0684</t>
  </si>
  <si>
    <t>OR0685</t>
  </si>
  <si>
    <t>OR0686</t>
  </si>
  <si>
    <t>OR0687</t>
  </si>
  <si>
    <t>OR0688</t>
  </si>
  <si>
    <t>OR0689</t>
  </si>
  <si>
    <t>OR0690</t>
  </si>
  <si>
    <t>OR0691</t>
  </si>
  <si>
    <t>OR0692</t>
  </si>
  <si>
    <t>OR0693</t>
  </si>
  <si>
    <t>OR0694</t>
  </si>
  <si>
    <t>OR0695</t>
  </si>
  <si>
    <t>OR0696</t>
  </si>
  <si>
    <t>C0092</t>
  </si>
  <si>
    <t>OR0697</t>
  </si>
  <si>
    <t>OR0698</t>
  </si>
  <si>
    <t>OR0699</t>
  </si>
  <si>
    <t>OR0700</t>
  </si>
  <si>
    <t>OR0701</t>
  </si>
  <si>
    <t>OR0702</t>
  </si>
  <si>
    <t>OR0703</t>
  </si>
  <si>
    <t>OR0704</t>
  </si>
  <si>
    <t>OR0705</t>
  </si>
  <si>
    <t>OR0706</t>
  </si>
  <si>
    <t>OR0707</t>
  </si>
  <si>
    <t>OR0708</t>
  </si>
  <si>
    <t>OR0709</t>
  </si>
  <si>
    <t>OR0710</t>
  </si>
  <si>
    <t>OR0711</t>
  </si>
  <si>
    <t>OR0712</t>
  </si>
  <si>
    <t>OR0713</t>
  </si>
  <si>
    <t>OR0714</t>
  </si>
  <si>
    <t>OR0715</t>
  </si>
  <si>
    <t>OR0716</t>
  </si>
  <si>
    <t>OR0717</t>
  </si>
  <si>
    <t>C0136</t>
  </si>
  <si>
    <t>OR0718</t>
  </si>
  <si>
    <t>OR0719</t>
  </si>
  <si>
    <t>OR0720</t>
  </si>
  <si>
    <t>OR0721</t>
  </si>
  <si>
    <t>OR0722</t>
  </si>
  <si>
    <t>OR0723</t>
  </si>
  <si>
    <t>OR0724</t>
  </si>
  <si>
    <t>OR0725</t>
  </si>
  <si>
    <t>OR0726</t>
  </si>
  <si>
    <t>OR0727</t>
  </si>
  <si>
    <t>OR0728</t>
  </si>
  <si>
    <t>OR0729</t>
  </si>
  <si>
    <t>C0134</t>
  </si>
  <si>
    <t>OR0730</t>
  </si>
  <si>
    <t>OR0731</t>
  </si>
  <si>
    <t>OR0732</t>
  </si>
  <si>
    <t>OR0733</t>
  </si>
  <si>
    <t>OR0734</t>
  </si>
  <si>
    <t>OR0735</t>
  </si>
  <si>
    <t>OR0736</t>
  </si>
  <si>
    <t>OR0737</t>
  </si>
  <si>
    <t>OR0738</t>
  </si>
  <si>
    <t>OR0739</t>
  </si>
  <si>
    <t>OR0740</t>
  </si>
  <si>
    <t>OR0741</t>
  </si>
  <si>
    <t>OR0742</t>
  </si>
  <si>
    <t>OR0743</t>
  </si>
  <si>
    <t>OR0744</t>
  </si>
  <si>
    <t>OR0745</t>
  </si>
  <si>
    <t>OR0746</t>
  </si>
  <si>
    <t>OR0747</t>
  </si>
  <si>
    <t>OR0748</t>
  </si>
  <si>
    <t>OR0749</t>
  </si>
  <si>
    <t>OR0750</t>
  </si>
  <si>
    <t>OR0751</t>
  </si>
  <si>
    <t>OR0752</t>
  </si>
  <si>
    <t>OR0753</t>
  </si>
  <si>
    <t>OR0754</t>
  </si>
  <si>
    <t>OR0755</t>
  </si>
  <si>
    <t>OR0756</t>
  </si>
  <si>
    <t>OR0757</t>
  </si>
  <si>
    <t>OR0758</t>
  </si>
  <si>
    <t>OR0759</t>
  </si>
  <si>
    <t>OR0760</t>
  </si>
  <si>
    <t>OR0761</t>
  </si>
  <si>
    <t>OR0762</t>
  </si>
  <si>
    <t>OR0763</t>
  </si>
  <si>
    <t>OR0764</t>
  </si>
  <si>
    <t>OR0765</t>
  </si>
  <si>
    <t>OR0766</t>
  </si>
  <si>
    <t>OR0767</t>
  </si>
  <si>
    <t>OR0768</t>
  </si>
  <si>
    <t>OR0769</t>
  </si>
  <si>
    <t>OR0770</t>
  </si>
  <si>
    <t>OR0771</t>
  </si>
  <si>
    <t>OR0772</t>
  </si>
  <si>
    <t>OR0773</t>
  </si>
  <si>
    <t>OR0774</t>
  </si>
  <si>
    <t>OR0775</t>
  </si>
  <si>
    <t>OR0776</t>
  </si>
  <si>
    <t>OR0777</t>
  </si>
  <si>
    <t>OR0778</t>
  </si>
  <si>
    <t>OR0779</t>
  </si>
  <si>
    <t>OR0780</t>
  </si>
  <si>
    <t>OR0781</t>
  </si>
  <si>
    <t>OR0782</t>
  </si>
  <si>
    <t>OR0783</t>
  </si>
  <si>
    <t>OR0784</t>
  </si>
  <si>
    <t>OR0785</t>
  </si>
  <si>
    <t>C0010</t>
  </si>
  <si>
    <t>OR0786</t>
  </si>
  <si>
    <t>OR0787</t>
  </si>
  <si>
    <t>OR0788</t>
  </si>
  <si>
    <t>OR0789</t>
  </si>
  <si>
    <t>OR0790</t>
  </si>
  <si>
    <t>OR0791</t>
  </si>
  <si>
    <t>OR0792</t>
  </si>
  <si>
    <t>OR0793</t>
  </si>
  <si>
    <t>OR0794</t>
  </si>
  <si>
    <t>OR0795</t>
  </si>
  <si>
    <t>OR0796</t>
  </si>
  <si>
    <t>OR0797</t>
  </si>
  <si>
    <t>OR0798</t>
  </si>
  <si>
    <t>OR0799</t>
  </si>
  <si>
    <t>OR0800</t>
  </si>
  <si>
    <t>OR0801</t>
  </si>
  <si>
    <t>OR0802</t>
  </si>
  <si>
    <t>OR0803</t>
  </si>
  <si>
    <t>C0080</t>
  </si>
  <si>
    <t>OR0804</t>
  </si>
  <si>
    <t>OR0805</t>
  </si>
  <si>
    <t>OR0806</t>
  </si>
  <si>
    <t>OR0807</t>
  </si>
  <si>
    <t>OR0808</t>
  </si>
  <si>
    <t>C0123</t>
  </si>
  <si>
    <t>Olivia Davis</t>
  </si>
  <si>
    <t>OR0809</t>
  </si>
  <si>
    <t>OR0810</t>
  </si>
  <si>
    <t>OR0811</t>
  </si>
  <si>
    <t>OR0812</t>
  </si>
  <si>
    <t>OR0813</t>
  </si>
  <si>
    <t>OR0814</t>
  </si>
  <si>
    <t>OR0815</t>
  </si>
  <si>
    <t>OR0816</t>
  </si>
  <si>
    <t>OR0817</t>
  </si>
  <si>
    <t>OR0818</t>
  </si>
  <si>
    <t>OR0819</t>
  </si>
  <si>
    <t>OR0820</t>
  </si>
  <si>
    <t>OR0821</t>
  </si>
  <si>
    <t>OR0822</t>
  </si>
  <si>
    <t>OR0823</t>
  </si>
  <si>
    <t>OR0824</t>
  </si>
  <si>
    <t>OR0825</t>
  </si>
  <si>
    <t>OR0826</t>
  </si>
  <si>
    <t>OR0827</t>
  </si>
  <si>
    <t>OR0828</t>
  </si>
  <si>
    <t>OR0829</t>
  </si>
  <si>
    <t>OR0830</t>
  </si>
  <si>
    <t>OR0831</t>
  </si>
  <si>
    <t>OR0832</t>
  </si>
  <si>
    <t>OR0833</t>
  </si>
  <si>
    <t>OR0834</t>
  </si>
  <si>
    <t>OR0835</t>
  </si>
  <si>
    <t>OR0836</t>
  </si>
  <si>
    <t>OR0837</t>
  </si>
  <si>
    <t>OR0838</t>
  </si>
  <si>
    <t>OR0839</t>
  </si>
  <si>
    <t>OR0840</t>
  </si>
  <si>
    <t>OR0841</t>
  </si>
  <si>
    <t>OR0842</t>
  </si>
  <si>
    <t>OR0843</t>
  </si>
  <si>
    <t>OR0844</t>
  </si>
  <si>
    <t>OR0845</t>
  </si>
  <si>
    <t>OR0846</t>
  </si>
  <si>
    <t>OR0847</t>
  </si>
  <si>
    <t>OR0848</t>
  </si>
  <si>
    <t>OR0849</t>
  </si>
  <si>
    <t>OR0850</t>
  </si>
  <si>
    <t>OR0851</t>
  </si>
  <si>
    <t>OR0852</t>
  </si>
  <si>
    <t>OR0853</t>
  </si>
  <si>
    <t>OR0854</t>
  </si>
  <si>
    <t>OR0855</t>
  </si>
  <si>
    <t>OR0856</t>
  </si>
  <si>
    <t>OR0857</t>
  </si>
  <si>
    <t>OR0858</t>
  </si>
  <si>
    <t>OR0859</t>
  </si>
  <si>
    <t>OR0860</t>
  </si>
  <si>
    <t>OR0861</t>
  </si>
  <si>
    <t>OR0862</t>
  </si>
  <si>
    <t>OR0863</t>
  </si>
  <si>
    <t>OR0864</t>
  </si>
  <si>
    <t>OR0865</t>
  </si>
  <si>
    <t>OR0866</t>
  </si>
  <si>
    <t>OR0867</t>
  </si>
  <si>
    <t>OR0868</t>
  </si>
  <si>
    <t>OR0869</t>
  </si>
  <si>
    <t>OR0870</t>
  </si>
  <si>
    <t>OR0871</t>
  </si>
  <si>
    <t>OR0872</t>
  </si>
  <si>
    <t>C0029</t>
  </si>
  <si>
    <t>Harper Martinez</t>
  </si>
  <si>
    <t>OR0873</t>
  </si>
  <si>
    <t>OR0874</t>
  </si>
  <si>
    <t>OR0875</t>
  </si>
  <si>
    <t>OR0876</t>
  </si>
  <si>
    <t>OR0877</t>
  </si>
  <si>
    <t>OR0878</t>
  </si>
  <si>
    <t>OR0879</t>
  </si>
  <si>
    <t>OR0880</t>
  </si>
  <si>
    <t>OR0881</t>
  </si>
  <si>
    <t>OR0882</t>
  </si>
  <si>
    <t>OR0883</t>
  </si>
  <si>
    <t>OR0884</t>
  </si>
  <si>
    <t>OR0885</t>
  </si>
  <si>
    <t>OR0886</t>
  </si>
  <si>
    <t>OR0887</t>
  </si>
  <si>
    <t>OR0888</t>
  </si>
  <si>
    <t>OR0889</t>
  </si>
  <si>
    <t>OR0890</t>
  </si>
  <si>
    <t>OR0891</t>
  </si>
  <si>
    <t>OR0892</t>
  </si>
  <si>
    <t>OR0893</t>
  </si>
  <si>
    <t>OR0894</t>
  </si>
  <si>
    <t>OR0895</t>
  </si>
  <si>
    <t>OR0896</t>
  </si>
  <si>
    <t>OR0897</t>
  </si>
  <si>
    <t>OR0898</t>
  </si>
  <si>
    <t>OR0899</t>
  </si>
  <si>
    <t>OR0900</t>
  </si>
  <si>
    <t>OR0901</t>
  </si>
  <si>
    <t>OR0902</t>
  </si>
  <si>
    <t>OR0903</t>
  </si>
  <si>
    <t>OR0904</t>
  </si>
  <si>
    <t>OR0905</t>
  </si>
  <si>
    <t>OR0906</t>
  </si>
  <si>
    <t>OR0907</t>
  </si>
  <si>
    <t>OR0908</t>
  </si>
  <si>
    <t>OR0909</t>
  </si>
  <si>
    <t>OR0910</t>
  </si>
  <si>
    <t>OR0911</t>
  </si>
  <si>
    <t>OR0912</t>
  </si>
  <si>
    <t>OR0913</t>
  </si>
  <si>
    <t>OR0914</t>
  </si>
  <si>
    <t>OR0915</t>
  </si>
  <si>
    <t>OR0916</t>
  </si>
  <si>
    <t>OR0917</t>
  </si>
  <si>
    <t>OR0918</t>
  </si>
  <si>
    <t>OR0919</t>
  </si>
  <si>
    <t>OR0920</t>
  </si>
  <si>
    <t>OR0921</t>
  </si>
  <si>
    <t>OR0922</t>
  </si>
  <si>
    <t>OR0923</t>
  </si>
  <si>
    <t>OR0924</t>
  </si>
  <si>
    <t>OR0925</t>
  </si>
  <si>
    <t>OR0926</t>
  </si>
  <si>
    <t>OR0927</t>
  </si>
  <si>
    <t>OR0928</t>
  </si>
  <si>
    <t>OR0929</t>
  </si>
  <si>
    <t>OR0930</t>
  </si>
  <si>
    <t>OR0931</t>
  </si>
  <si>
    <t>OR0932</t>
  </si>
  <si>
    <t>OR0933</t>
  </si>
  <si>
    <t>OR0934</t>
  </si>
  <si>
    <t>OR0935</t>
  </si>
  <si>
    <t>OR0936</t>
  </si>
  <si>
    <t>OR0937</t>
  </si>
  <si>
    <t>OR0938</t>
  </si>
  <si>
    <t>OR0939</t>
  </si>
  <si>
    <t>OR0940</t>
  </si>
  <si>
    <t>OR0941</t>
  </si>
  <si>
    <t>OR0942</t>
  </si>
  <si>
    <t>OR0943</t>
  </si>
  <si>
    <t>OR0944</t>
  </si>
  <si>
    <t>OR0945</t>
  </si>
  <si>
    <t>OR0946</t>
  </si>
  <si>
    <t>OR0947</t>
  </si>
  <si>
    <t>OR0948</t>
  </si>
  <si>
    <t>OR0949</t>
  </si>
  <si>
    <t>OR0950</t>
  </si>
  <si>
    <t>OR0951</t>
  </si>
  <si>
    <t>OR0952</t>
  </si>
  <si>
    <t>OR0953</t>
  </si>
  <si>
    <t>OR0954</t>
  </si>
  <si>
    <t>OR0955</t>
  </si>
  <si>
    <t>OR0956</t>
  </si>
  <si>
    <t>OR0957</t>
  </si>
  <si>
    <t>OR0958</t>
  </si>
  <si>
    <t>OR0959</t>
  </si>
  <si>
    <t>OR0960</t>
  </si>
  <si>
    <t>OR0961</t>
  </si>
  <si>
    <t>OR0962</t>
  </si>
  <si>
    <t>OR0963</t>
  </si>
  <si>
    <t>OR0964</t>
  </si>
  <si>
    <t>OR0965</t>
  </si>
  <si>
    <t>OR0966</t>
  </si>
  <si>
    <t>OR0967</t>
  </si>
  <si>
    <t>OR0968</t>
  </si>
  <si>
    <t>OR0969</t>
  </si>
  <si>
    <t>OR0970</t>
  </si>
  <si>
    <t>OR0971</t>
  </si>
  <si>
    <t>OR0972</t>
  </si>
  <si>
    <t>OR0973</t>
  </si>
  <si>
    <t>OR0974</t>
  </si>
  <si>
    <t>OR0975</t>
  </si>
  <si>
    <t>OR0976</t>
  </si>
  <si>
    <t>OR0977</t>
  </si>
  <si>
    <t>OR0978</t>
  </si>
  <si>
    <t>OR0979</t>
  </si>
  <si>
    <t>OR0980</t>
  </si>
  <si>
    <t>C0028</t>
  </si>
  <si>
    <t>Lucas Jones</t>
  </si>
  <si>
    <t>OR0981</t>
  </si>
  <si>
    <t>OR0982</t>
  </si>
  <si>
    <t>OR0983</t>
  </si>
  <si>
    <t>OR0984</t>
  </si>
  <si>
    <t>OR0985</t>
  </si>
  <si>
    <t>OR0986</t>
  </si>
  <si>
    <t>OR0987</t>
  </si>
  <si>
    <t>OR0988</t>
  </si>
  <si>
    <t>OR0989</t>
  </si>
  <si>
    <t>OR0990</t>
  </si>
  <si>
    <t>OR0991</t>
  </si>
  <si>
    <t>OR0992</t>
  </si>
  <si>
    <t>OR0993</t>
  </si>
  <si>
    <t>OR0994</t>
  </si>
  <si>
    <t>OR0995</t>
  </si>
  <si>
    <t>OR0996</t>
  </si>
  <si>
    <t>OR0997</t>
  </si>
  <si>
    <t>OR0998</t>
  </si>
  <si>
    <t>OR0999</t>
  </si>
  <si>
    <t>OR1000</t>
  </si>
  <si>
    <t>Sum of Total Revenue</t>
  </si>
  <si>
    <t>Sum of Total Profit</t>
  </si>
  <si>
    <t>Sum of Profit Margin</t>
  </si>
  <si>
    <t>Column Labels</t>
  </si>
  <si>
    <t>Average of Total Revenue2</t>
  </si>
  <si>
    <t>Delivery Success Rate</t>
  </si>
  <si>
    <t>Count of Order ID</t>
  </si>
  <si>
    <t>Shipment Status (% of total orders)</t>
  </si>
  <si>
    <t>Row Labels</t>
  </si>
  <si>
    <t>Count of Order ID2</t>
  </si>
  <si>
    <t>Non-Delivered Orders</t>
  </si>
  <si>
    <t>Pending + Returned</t>
  </si>
  <si>
    <t>Shipment Status Breakdown by State</t>
  </si>
  <si>
    <t>KPIs/Business Metrics</t>
  </si>
  <si>
    <t>Shipment Status Breakdown by Products</t>
  </si>
  <si>
    <t>Product</t>
  </si>
  <si>
    <t>Non-Delivered</t>
  </si>
  <si>
    <t>Top 5 State(Conditional Formatting)</t>
  </si>
  <si>
    <t>Top 5 Product(Conditional Formatting)</t>
  </si>
  <si>
    <t>Average of Total Revenue</t>
  </si>
  <si>
    <t>1. SHIPPING PERFORMANCE</t>
  </si>
  <si>
    <t>Profit by Product</t>
  </si>
  <si>
    <t>2. SALES PERFORMANCE</t>
  </si>
  <si>
    <t>Sum of Total Profit2</t>
  </si>
  <si>
    <t>3. STATE PERFORMANCE</t>
  </si>
  <si>
    <t>4. PRODUCT-LEVEL PERFORMANCE</t>
  </si>
  <si>
    <t>Pareto Chart (Profit by Product)</t>
  </si>
  <si>
    <t>2. PRODUCT PERFORMANCE</t>
  </si>
  <si>
    <t>3. SALES PERFORMANCE</t>
  </si>
  <si>
    <t>Monthly Revenue Trend</t>
  </si>
  <si>
    <t>Jan</t>
  </si>
  <si>
    <t>Feb</t>
  </si>
  <si>
    <t>Mar</t>
  </si>
  <si>
    <t>Apr</t>
  </si>
  <si>
    <t>May</t>
  </si>
  <si>
    <t>Jun</t>
  </si>
  <si>
    <t>Jul</t>
  </si>
  <si>
    <t>Aug</t>
  </si>
  <si>
    <t>Sep</t>
  </si>
  <si>
    <t>Oct</t>
  </si>
  <si>
    <t>Nov</t>
  </si>
  <si>
    <t>Dec</t>
  </si>
  <si>
    <t>Average Order Value (AOV) by Product  Category</t>
  </si>
  <si>
    <t>4. CUSTOMER PERFORMNCE</t>
  </si>
  <si>
    <t>4. CUSTOMER PERFORMANCE</t>
  </si>
  <si>
    <t>Return Rate</t>
  </si>
  <si>
    <t>Cummulative Profit</t>
  </si>
  <si>
    <t>Profit</t>
  </si>
  <si>
    <t>Orders vs Profit Contribution by Product Category</t>
  </si>
  <si>
    <t>Volume vs Value</t>
  </si>
  <si>
    <t>Shipping Performance by State</t>
  </si>
  <si>
    <t>Shipping Performance by Product</t>
  </si>
  <si>
    <t>Top 10 Customers by Revenue</t>
  </si>
  <si>
    <t>Return Rate by Product Category</t>
  </si>
  <si>
    <t>Return Flag</t>
  </si>
  <si>
    <t>Delivery Flag</t>
  </si>
  <si>
    <t>Sum of Return Flag</t>
  </si>
  <si>
    <t>Delivery Rate by Product Category</t>
  </si>
  <si>
    <t>Sum of Delivery Flag</t>
  </si>
  <si>
    <t>Delivery Rate</t>
  </si>
  <si>
    <t>Total Orders</t>
  </si>
  <si>
    <t>RETURN RATE PERFORMANCE</t>
  </si>
  <si>
    <t>Profit Concentration by Product</t>
  </si>
  <si>
    <t>Order Distribution by State</t>
  </si>
  <si>
    <t>bIOdegradABlE cLEaNINg cLoTH</t>
  </si>
  <si>
    <t>mAsoN joHnSon</t>
  </si>
  <si>
    <t>ecO CANVAS TOTe Bag</t>
  </si>
  <si>
    <t>aIDeN DAVIS</t>
  </si>
  <si>
    <t>SoLAR leD lAnTern</t>
  </si>
  <si>
    <t>mIa JONeS</t>
  </si>
  <si>
    <t>bIOdeGRadAblE cleANIng CLotH</t>
  </si>
  <si>
    <t>lIam garCia</t>
  </si>
  <si>
    <t>BiOdEGRaDaBLE clEanING cLOth</t>
  </si>
  <si>
    <t>Ethan mILLeR</t>
  </si>
  <si>
    <t>SOLar LED laNtern</t>
  </si>
  <si>
    <t>cHARlottE Jones</t>
  </si>
  <si>
    <t>REUsABle bAMboO uTeNSIL sEt</t>
  </si>
  <si>
    <t>Mia joHnSon</t>
  </si>
  <si>
    <t>SolAR led LAntErN</t>
  </si>
  <si>
    <t>AvA mARTINeZ</t>
  </si>
  <si>
    <t>ECo cANVaS ToTe bag</t>
  </si>
  <si>
    <t>lIAm GaRciA</t>
  </si>
  <si>
    <t>bIODeGradAbLE CleAnINg clOtH</t>
  </si>
  <si>
    <t>haRper dAVIs</t>
  </si>
  <si>
    <t>sOLaR lED LAnTeRN</t>
  </si>
  <si>
    <t>mASOn JOHNSon</t>
  </si>
  <si>
    <t>COMpOsTaBLe PlAnT POts</t>
  </si>
  <si>
    <t>oLiver Miller</t>
  </si>
  <si>
    <t>BioDeGRadaBle clEAniNg cLOtH</t>
  </si>
  <si>
    <t>soPhiA rODriGuEZ</t>
  </si>
  <si>
    <t>eco CanvaS tOTe bag</t>
  </si>
  <si>
    <t>IsAbELla JohNSoN</t>
  </si>
  <si>
    <t>SOlAR lED LAnTeRN</t>
  </si>
  <si>
    <t>EVElYn smitH</t>
  </si>
  <si>
    <t>BiodEGrADAble CLeanING cLOtH</t>
  </si>
  <si>
    <t>OLIVIA MaRTinEZ</t>
  </si>
  <si>
    <t>biodegRAdablE CleANIng ClOtH</t>
  </si>
  <si>
    <t>Eco cANvaS totE BAg</t>
  </si>
  <si>
    <t>avA joNEs</t>
  </si>
  <si>
    <t>SoLar lED lAnTERn</t>
  </si>
  <si>
    <t>HarpEr MILLeR</t>
  </si>
  <si>
    <t>biOdEGRadable ClEAnIng CLotH</t>
  </si>
  <si>
    <t>eVelYN martiNEZ</t>
  </si>
  <si>
    <t>CoMPoStaBLE PLanT pots</t>
  </si>
  <si>
    <t>SoLaR LED lANterN</t>
  </si>
  <si>
    <t>lIaM roDrIGUEZ</t>
  </si>
  <si>
    <t>SolAr LEd LAnTERN</t>
  </si>
  <si>
    <t>CHARlOtTe GArCIA</t>
  </si>
  <si>
    <t>Eco caNVas TOte bAg</t>
  </si>
  <si>
    <t>LIAM rODRIgueZ</t>
  </si>
  <si>
    <t>BiodEGrAdabLe CleanING CLOTH</t>
  </si>
  <si>
    <t>LucAs gaRcia</t>
  </si>
  <si>
    <t>rEUSable BAmboo UtENSIl seT</t>
  </si>
  <si>
    <t>bIODeGRAdAble cleaNiNg CLOTh</t>
  </si>
  <si>
    <t>oLIvIA MILLEr</t>
  </si>
  <si>
    <t>CoMpOstaBLE plANt PotS</t>
  </si>
  <si>
    <t>mAsOn roDRiguez</t>
  </si>
  <si>
    <t>soLaR led LANtERN</t>
  </si>
  <si>
    <t>Noah MARtINez</t>
  </si>
  <si>
    <t>ECo CANvAs ToTE Bag</t>
  </si>
  <si>
    <t>rEuSABlE bamBOO UtEnSiL sET</t>
  </si>
  <si>
    <t>aidEN bROWn</t>
  </si>
  <si>
    <t>reusABLE bAmbOo UtENSIL sEt</t>
  </si>
  <si>
    <t>Emma SMITh</t>
  </si>
  <si>
    <t>biOdEGRaDaBLE cLeaniNG cloTh</t>
  </si>
  <si>
    <t>miA roDriGuez</t>
  </si>
  <si>
    <t>COmposTabLe PlanT POTs</t>
  </si>
  <si>
    <t>OlIvIA GARcia</t>
  </si>
  <si>
    <t>Eco CanvaS toTE Bag</t>
  </si>
  <si>
    <t>coMpOSTABLe pLaNt POts</t>
  </si>
  <si>
    <t>ReusaBle BAMboo uTEnSIl sET</t>
  </si>
  <si>
    <t>oLivIa jOHNsON</t>
  </si>
  <si>
    <t>COmposTABlE pLAnT POTs</t>
  </si>
  <si>
    <t>EtHaN jOnES</t>
  </si>
  <si>
    <t>cOMpoSTaBlE PLAnt pOTs</t>
  </si>
  <si>
    <t>eThan mARTIneZ</t>
  </si>
  <si>
    <t>EcO cAnvAS TotE bAG</t>
  </si>
  <si>
    <t>LUCAS wiLlIaMS</t>
  </si>
  <si>
    <t>EcO CANvaS toTE BAG</t>
  </si>
  <si>
    <t>logan roDRIgUEZ</t>
  </si>
  <si>
    <t>ecO CanvAs TotE Bag</t>
  </si>
  <si>
    <t>mIa JOhnsON</t>
  </si>
  <si>
    <t>soLaR LEd lANTern</t>
  </si>
  <si>
    <t>jAmES sMiTH</t>
  </si>
  <si>
    <t>bIODEgrAdabLe CLeAnING CLoTh</t>
  </si>
  <si>
    <t>MasoN mILLeR</t>
  </si>
  <si>
    <t>cOmpOSTAblE PLANT PotS</t>
  </si>
  <si>
    <t>aVA MartINez</t>
  </si>
  <si>
    <t>EcO Canvas tOte BaG</t>
  </si>
  <si>
    <t>LiaM GarCia</t>
  </si>
  <si>
    <t>bIODegRadaBLE clEaNiNG CLOth</t>
  </si>
  <si>
    <t>ChArLotTE daviS</t>
  </si>
  <si>
    <t>BioDeGRAdablE CleANIng ClOth</t>
  </si>
  <si>
    <t>SOLAr Led LAnTErn</t>
  </si>
  <si>
    <t>CHARlOttE gArCiA</t>
  </si>
  <si>
    <t>SOlAr lEd lAntERN</t>
  </si>
  <si>
    <t>OlIVER johnsOn</t>
  </si>
  <si>
    <t>eCo caNvaS tOte baG</t>
  </si>
  <si>
    <t>LOGaN rODrIgUEz</t>
  </si>
  <si>
    <t>BiODeGrADABlE cLEaninG clotH</t>
  </si>
  <si>
    <t>isABElla jOneS</t>
  </si>
  <si>
    <t>SOlar lEd LAntERN</t>
  </si>
  <si>
    <t>mAson ROdrigUEz</t>
  </si>
  <si>
    <t>SoLar LeD LANtErN</t>
  </si>
  <si>
    <t>IsabELLA RoDRIgUEz</t>
  </si>
  <si>
    <t>eCO CAnVAS tOTe BaG</t>
  </si>
  <si>
    <t>HarPEr bRowN</t>
  </si>
  <si>
    <t>reusAbLe BaMboO uTEnSiL SET</t>
  </si>
  <si>
    <t>MaSon WillIAMs</t>
  </si>
  <si>
    <t>bIOdEgRadabLE ClEaNIng CLOTh</t>
  </si>
  <si>
    <t>EtHan RodrIgUEz</t>
  </si>
  <si>
    <t>SoLaR LeD LAnterN</t>
  </si>
  <si>
    <t>JaMeS garcIA</t>
  </si>
  <si>
    <t>BiODegraDAblE CLeaninG cloth</t>
  </si>
  <si>
    <t>mia MILLER</t>
  </si>
  <si>
    <t>ECo cAnvas tote baG</t>
  </si>
  <si>
    <t>SoPHiA brown</t>
  </si>
  <si>
    <t>COmPOstABLe PlanT POTS</t>
  </si>
  <si>
    <t>aIDen jones</t>
  </si>
  <si>
    <t>bIODEGradABle CLeAning cloth</t>
  </si>
  <si>
    <t>elIjah DavIS</t>
  </si>
  <si>
    <t>BIodEgRAdAbLe CLeANiNg CloTH</t>
  </si>
  <si>
    <t>sOPHia mARtinEZ</t>
  </si>
  <si>
    <t>rEusABle bambOO UTEnSil seT</t>
  </si>
  <si>
    <t>AmELIa GARCIa</t>
  </si>
  <si>
    <t>REuSaBLE baMboo UTenSil SEt</t>
  </si>
  <si>
    <t>avA rodRiGUEz</t>
  </si>
  <si>
    <t>ecO cAnVAs toTe BAg</t>
  </si>
  <si>
    <t>reUSaBLe bAmboO uTENsIL sET</t>
  </si>
  <si>
    <t>emma dAviS</t>
  </si>
  <si>
    <t>solaR LeD lANtERN</t>
  </si>
  <si>
    <t>jamEs wILLIAmS</t>
  </si>
  <si>
    <t>COmpostaBLE PlaNT POtS</t>
  </si>
  <si>
    <t>sOLAr lED lantErN</t>
  </si>
  <si>
    <t>sOlaR LED LANtERN</t>
  </si>
  <si>
    <t>lIaM smith</t>
  </si>
  <si>
    <t>ReUsaBle BamBoO uTensIL set</t>
  </si>
  <si>
    <t>lOGan SMITh</t>
  </si>
  <si>
    <t>rEUSaBle bamBoo utEnsil seT</t>
  </si>
  <si>
    <t>BIodegraDaBLe CLEANinG CLoTH</t>
  </si>
  <si>
    <t>lIam GArCiA</t>
  </si>
  <si>
    <t>cOMPoStable plAnt POtS</t>
  </si>
  <si>
    <t>logAn sMItH</t>
  </si>
  <si>
    <t>EcO CANVaS Tote bAG</t>
  </si>
  <si>
    <t>eVeLYn mARtiNez</t>
  </si>
  <si>
    <t>bIODegRadaBLe cLEAning ClOth</t>
  </si>
  <si>
    <t>ECO caNvAS TOte BAG</t>
  </si>
  <si>
    <t>eThAN WIlLIamS</t>
  </si>
  <si>
    <t>eCo canvAS tOTE Bag</t>
  </si>
  <si>
    <t>EvElyn MiLLeR</t>
  </si>
  <si>
    <t>sOlaR LED lanTErn</t>
  </si>
  <si>
    <t>HARper SmiTh</t>
  </si>
  <si>
    <t>rEusaBlE BamBOo UTEnSIl SET</t>
  </si>
  <si>
    <t>biOdEgraDaBle cleaniNg cLotH</t>
  </si>
  <si>
    <t>cHARlottE GArciA</t>
  </si>
  <si>
    <t>BiODeGRadaBle CleANIng cloTh</t>
  </si>
  <si>
    <t>ECo CAnVaS ToTe BAg</t>
  </si>
  <si>
    <t>MASoN dAVis</t>
  </si>
  <si>
    <t>reuSabLE BaMBoO utensIL set</t>
  </si>
  <si>
    <t>AVA MilLEr</t>
  </si>
  <si>
    <t>ECO CANvas TOtE bag</t>
  </si>
  <si>
    <t>isABelLA RoDriGUEZ</t>
  </si>
  <si>
    <t>CompOSTable PLAnt POTs</t>
  </si>
  <si>
    <t>isAbeLla GARCia</t>
  </si>
  <si>
    <t>SoLar LEd LANtErN</t>
  </si>
  <si>
    <t>MiA DAvis</t>
  </si>
  <si>
    <t>eCO canvas tote bAg</t>
  </si>
  <si>
    <t>cOmPoSTablE PlANt potS</t>
  </si>
  <si>
    <t>olIVIa garCIa</t>
  </si>
  <si>
    <t>Eco CANVAS TOtE baG</t>
  </si>
  <si>
    <t>rEUSABlE bamboO UtENSIl Set</t>
  </si>
  <si>
    <t>charLOtTE jONeS</t>
  </si>
  <si>
    <t>biODEGradaBle CleaNINg CLoTH</t>
  </si>
  <si>
    <t>EcO cAnvaS tOTe BAg</t>
  </si>
  <si>
    <t>sOLar led LAnTERn</t>
  </si>
  <si>
    <t>ECO CanVAs tOTE bag</t>
  </si>
  <si>
    <t>SoLaR lEd LaNTerN</t>
  </si>
  <si>
    <t>NoaH bROWn</t>
  </si>
  <si>
    <t>biODEGRAdABLE ClEaNINg Cloth</t>
  </si>
  <si>
    <t>compoStable PLaNt pOts</t>
  </si>
  <si>
    <t>hARPeR rODrIGueZ</t>
  </si>
  <si>
    <t>biODEGRaDaBLe CLeaniNG cLOth</t>
  </si>
  <si>
    <t>miA brOWn</t>
  </si>
  <si>
    <t>Eco cANvAS tOTE BaG</t>
  </si>
  <si>
    <t>nOAH gARciA</t>
  </si>
  <si>
    <t>biOdeGRaDable CLeAninG CloTH</t>
  </si>
  <si>
    <t>SOLAR led LanterN</t>
  </si>
  <si>
    <t>AVa dAVIs</t>
  </si>
  <si>
    <t>REUSaBLe BAmbOo UTEnSil SEt</t>
  </si>
  <si>
    <t>ava BRoWN</t>
  </si>
  <si>
    <t>BIODEgraDAble cleAniNg ClOth</t>
  </si>
  <si>
    <t>hArper MIllEr</t>
  </si>
  <si>
    <t>biOdegRADaBlE ClEanINg cLOth</t>
  </si>
  <si>
    <t>EcO cAnVAS Tote BAg</t>
  </si>
  <si>
    <t>ECo CanVAs toTE bAG</t>
  </si>
  <si>
    <t>EVeLyN marTinez</t>
  </si>
  <si>
    <t>SOLar LEd LANTerN</t>
  </si>
  <si>
    <t>COMpOstabLE plAnt PoTS</t>
  </si>
  <si>
    <t>EcO canVas toTE BAG</t>
  </si>
  <si>
    <t>olIvEr jOHnson</t>
  </si>
  <si>
    <t>SOlaR LEd lantERN</t>
  </si>
  <si>
    <t>ReuSabLE BaMbOO UtENSIl SET</t>
  </si>
  <si>
    <t>emMA dAVIs</t>
  </si>
  <si>
    <t>EcO cAnVaS totE bAg</t>
  </si>
  <si>
    <t>avA rODRIgUeZ</t>
  </si>
  <si>
    <t>eCO cANvaS totE BAG</t>
  </si>
  <si>
    <t>BIoDEgRadAble clEaNiNG cLOtH</t>
  </si>
  <si>
    <t>bIODEgraDaBLE CLEanIng cLoth</t>
  </si>
  <si>
    <t>rEuSAble BaMBOO UTensil SeT</t>
  </si>
  <si>
    <t>charLoTtE jOhnsON</t>
  </si>
  <si>
    <t>BiodEgrADABlE cleanInG cLoTh</t>
  </si>
  <si>
    <t>aVA SmIth</t>
  </si>
  <si>
    <t>sOlAR LeD laNterN</t>
  </si>
  <si>
    <t>soLaR LEd lanTErN</t>
  </si>
  <si>
    <t>CompOsTabLE PlANt pOts</t>
  </si>
  <si>
    <t>NOAh wIlLIamS</t>
  </si>
  <si>
    <t>soLAR lED LANTERN</t>
  </si>
  <si>
    <t>eliJaH MarTIneZ</t>
  </si>
  <si>
    <t>reUSAbLe BaMboO utEnsIL SeT</t>
  </si>
  <si>
    <t>HArPeR DavIs</t>
  </si>
  <si>
    <t>REUsABLE bAMBoO uTEnsIl seT</t>
  </si>
  <si>
    <t>eLijAh wIlLIAMs</t>
  </si>
  <si>
    <t>ReuSABLE bAmBOO utensIL Set</t>
  </si>
  <si>
    <t>SOpHia BrowN</t>
  </si>
  <si>
    <t>comPoStaBlE PLaNT pOts</t>
  </si>
  <si>
    <t>COmPoStAble planT poTs</t>
  </si>
  <si>
    <t>jaMes brOwn</t>
  </si>
  <si>
    <t>Eco canVaS Tote Bag</t>
  </si>
  <si>
    <t>jamES BrOwn</t>
  </si>
  <si>
    <t>biOdEgRADable cLeAniNg cLoTH</t>
  </si>
  <si>
    <t>mASON WILliaMS</t>
  </si>
  <si>
    <t>reUsABlE bAmboO UTENSiL Set</t>
  </si>
  <si>
    <t>biOdEgrADaBLE cLeANiNg CLOTh</t>
  </si>
  <si>
    <t>solaR LeD LANtern</t>
  </si>
  <si>
    <t>solar led LaNTERn</t>
  </si>
  <si>
    <t>eCo cANVaS tOtE bAg</t>
  </si>
  <si>
    <t>SolaR LED LaNteRN</t>
  </si>
  <si>
    <t>harpEr rOdrIguEz</t>
  </si>
  <si>
    <t>COmPOStAblE PlANt PoTS</t>
  </si>
  <si>
    <t>ECo cANVaS TOte baG</t>
  </si>
  <si>
    <t>biODEgrAdaBlE cLEaniNG cLOTH</t>
  </si>
  <si>
    <t>aIDen WIlliAMs</t>
  </si>
  <si>
    <t>CoMpostablE PlaNt PoTS</t>
  </si>
  <si>
    <t>ecO cAnVAs tOTe BAg</t>
  </si>
  <si>
    <t>HarPER Jones</t>
  </si>
  <si>
    <t>rEuSABlE BaMboO UteNsil SET</t>
  </si>
  <si>
    <t>rEuSABlE BamBoO UTeNSIl seT</t>
  </si>
  <si>
    <t>amEliA jOHNSOn</t>
  </si>
  <si>
    <t>sOlar LEd lanteRN</t>
  </si>
  <si>
    <t>coMPosTable PLaNT poTS</t>
  </si>
  <si>
    <t>ReUsAblE BAmboo uTENsIl sEt</t>
  </si>
  <si>
    <t>aMElIA johNson</t>
  </si>
  <si>
    <t>BIODeGRadaBle clEANIng CLoth</t>
  </si>
  <si>
    <t>aVA RODrIGUEZ</t>
  </si>
  <si>
    <t>biodeGRADABlE cLEaNING cLoTh</t>
  </si>
  <si>
    <t>NOAH MArtiNEZ</t>
  </si>
  <si>
    <t>SOlaR LeD LAntern</t>
  </si>
  <si>
    <t>COMposTaBLe plAnt pOts</t>
  </si>
  <si>
    <t>oliVEr smiTh</t>
  </si>
  <si>
    <t>soLAr lEd lantERn</t>
  </si>
  <si>
    <t>AIDEN davIS</t>
  </si>
  <si>
    <t>SolAR leD LANtErn</t>
  </si>
  <si>
    <t>NOAh roDrigUEz</t>
  </si>
  <si>
    <t>Solar LED lantErN</t>
  </si>
  <si>
    <t>COmpOSTabLE plAnT poTS</t>
  </si>
  <si>
    <t>reuSaBlE BAmBoo UTeNsIl set</t>
  </si>
  <si>
    <t>Emma bROwN</t>
  </si>
  <si>
    <t>rEUSabLE baMbOo uTeNSil sET</t>
  </si>
  <si>
    <t>SolAR leD laNtERN</t>
  </si>
  <si>
    <t>soPHiA DaVIs</t>
  </si>
  <si>
    <t>SoLAR LEd LanTeRn</t>
  </si>
  <si>
    <t>ComPosTabLe PlanT POts</t>
  </si>
  <si>
    <t>SolAR LED LAntErn</t>
  </si>
  <si>
    <t>cHARLoTTe DAvIs</t>
  </si>
  <si>
    <t>ReUsabLE baMBOo UTeNsil set</t>
  </si>
  <si>
    <t>Aiden RoDrIGUEz</t>
  </si>
  <si>
    <t>SOlAR LeD lanteRN</t>
  </si>
  <si>
    <t>COMpOstABLE PlaNt Pots</t>
  </si>
  <si>
    <t>solAR lED lANtErn</t>
  </si>
  <si>
    <t>bIoDEgrADaBlE cLeaning CloTH</t>
  </si>
  <si>
    <t>REUSaBlE bamBOo UtensIL set</t>
  </si>
  <si>
    <t>SoLAR LED LAnTeRn</t>
  </si>
  <si>
    <t>OlIVIa GarCIA</t>
  </si>
  <si>
    <t>soLaR LED laNterN</t>
  </si>
  <si>
    <t>eCO caNVAs Tote bag</t>
  </si>
  <si>
    <t>rEUSABLE bAmboO utENsIL sET</t>
  </si>
  <si>
    <t>biodEGRaDaBle ClEANing ClOth</t>
  </si>
  <si>
    <t>lIAM jOneS</t>
  </si>
  <si>
    <t>ecO CanVas toTE baG</t>
  </si>
  <si>
    <t>emmA DaviS</t>
  </si>
  <si>
    <t>SOlar led laNTerN</t>
  </si>
  <si>
    <t>sOlar lEd LantERn</t>
  </si>
  <si>
    <t>ecO CanvaS tote baG</t>
  </si>
  <si>
    <t>mASON JOhNSoN</t>
  </si>
  <si>
    <t>SolaR LEd lANteRN</t>
  </si>
  <si>
    <t>Elijah DAVis</t>
  </si>
  <si>
    <t>EcO cANvAs tOte bAG</t>
  </si>
  <si>
    <t>biODeGRADABlE ClEANIng CLoth</t>
  </si>
  <si>
    <t>amelia JohnSON</t>
  </si>
  <si>
    <t>eCo canvAS tOTE bAg</t>
  </si>
  <si>
    <t>liaM jONES</t>
  </si>
  <si>
    <t>REuSAble BAMBoo utEnSil SeT</t>
  </si>
  <si>
    <t>LucAS gARCia</t>
  </si>
  <si>
    <t>SoLAR LeD LANterN</t>
  </si>
  <si>
    <t>haRper sMITH</t>
  </si>
  <si>
    <t>reUSaBLe bamBOO uteNsIL SEt</t>
  </si>
  <si>
    <t>REuSabLE bamboo utensil SEt</t>
  </si>
  <si>
    <t>eco cAnVaS tOtE BAg</t>
  </si>
  <si>
    <t>mIa milLeR</t>
  </si>
  <si>
    <t>ecO CanvaS TOTe BAg</t>
  </si>
  <si>
    <t>REuSABLE bamBOo UteNsIL set</t>
  </si>
  <si>
    <t>SoLaR led LaNTern</t>
  </si>
  <si>
    <t>lIAm jOhnsOn</t>
  </si>
  <si>
    <t>ReUSablE bAmBoO uTensil seT</t>
  </si>
  <si>
    <t>ComPosTAbLE pLANT pOts</t>
  </si>
  <si>
    <t>COmpostAblE PlaNt POTS</t>
  </si>
  <si>
    <t>REusaBlE BAmBOo utEnsil Set</t>
  </si>
  <si>
    <t>isABeLlA garcIa</t>
  </si>
  <si>
    <t>reUsaBlE bAMBoO utEnSil sEt</t>
  </si>
  <si>
    <t>EthAn joHnSoN</t>
  </si>
  <si>
    <t>CoMpOstabLE plAnT poTS</t>
  </si>
  <si>
    <t>lucas BrowN</t>
  </si>
  <si>
    <t>BiodEgradaBLE cleAnInG ClotH</t>
  </si>
  <si>
    <t>bIoDEgRADabLE cLEANINg cLoTH</t>
  </si>
  <si>
    <t>amELia milLer</t>
  </si>
  <si>
    <t>cOMpOstAbLe PLanT poTs</t>
  </si>
  <si>
    <t>BioDEgrADAbLE cLEaNiNG cLOth</t>
  </si>
  <si>
    <t>ECO CAnVAS tote bag</t>
  </si>
  <si>
    <t>ecO CanVAs TotE BaG</t>
  </si>
  <si>
    <t>Liam bROwn</t>
  </si>
  <si>
    <t>cOMPoStABLE PLANt pOtS</t>
  </si>
  <si>
    <t>ECO CanVAS TOte Bag</t>
  </si>
  <si>
    <t>SOpHia GaRcIa</t>
  </si>
  <si>
    <t>solAr LED lantern</t>
  </si>
  <si>
    <t>biODeGRADABLE cLeanIng cloTh</t>
  </si>
  <si>
    <t>ELIJah bROwn</t>
  </si>
  <si>
    <t>COmpOSTABLE pLANT poTS</t>
  </si>
  <si>
    <t>eCO CAnVAs TOte bAg</t>
  </si>
  <si>
    <t>solar LEd LanTERn</t>
  </si>
  <si>
    <t>BIODEgraDaBle CLeAnInG clOtH</t>
  </si>
  <si>
    <t>biODEgrAdaBLE clEAnINg clOTh</t>
  </si>
  <si>
    <t>ECO CaNVaS Tote Bag</t>
  </si>
  <si>
    <t>ReusAble bAMbOo uteNSil sET</t>
  </si>
  <si>
    <t>SOLAR led lantErN</t>
  </si>
  <si>
    <t>SOLaR Led LaNteRN</t>
  </si>
  <si>
    <t>ECo caNVas totE baG</t>
  </si>
  <si>
    <t>EVeLYn GarcIa</t>
  </si>
  <si>
    <t>SOlaR led LAnterN</t>
  </si>
  <si>
    <t>rEUSablE bAmBoo uTENSIL SEt</t>
  </si>
  <si>
    <t>jAmEs mIllER</t>
  </si>
  <si>
    <t>biODeGRAdaBle clEAniNG CLotH</t>
  </si>
  <si>
    <t>lUcas SMitH</t>
  </si>
  <si>
    <t>cOMpOstABle plANt PoTS</t>
  </si>
  <si>
    <t>lucaS RoDRIguez</t>
  </si>
  <si>
    <t>BiODEGrAdabLE ClEaNINg cLoTh</t>
  </si>
  <si>
    <t>LuCaS williAmS</t>
  </si>
  <si>
    <t>eCo canVaS TOtE Bag</t>
  </si>
  <si>
    <t>COMPOsTAbLe PLanT POTs</t>
  </si>
  <si>
    <t>Compostable plANt POTs</t>
  </si>
  <si>
    <t>bioDEGRadabLE cLeanINg ClotH</t>
  </si>
  <si>
    <t>BIodEGraDabLe CLeANinG cLoth</t>
  </si>
  <si>
    <t>BiOdeGRAdaBlE clEAning clOTH</t>
  </si>
  <si>
    <t>nOAH SmITH</t>
  </si>
  <si>
    <t>rEUSablE baMbOo uTeNsIL seT</t>
  </si>
  <si>
    <t>COMPoSTABle plAnt PoTS</t>
  </si>
  <si>
    <t>REusabLE baMBOO utENsIl sET</t>
  </si>
  <si>
    <t>iSaBElLA MILLER</t>
  </si>
  <si>
    <t>BIoDegRAdabLe ClEaNInG CLOTh</t>
  </si>
  <si>
    <t>REuSable BAMboo UTENSIl seT</t>
  </si>
  <si>
    <t>eCo canVaS TOTE bag</t>
  </si>
  <si>
    <t>BIOdegraDaBLE clEANIng cloth</t>
  </si>
  <si>
    <t>sOLAr Led lAnteRn</t>
  </si>
  <si>
    <t>Eco Canvas toTE BAg</t>
  </si>
  <si>
    <t>mIa broWn</t>
  </si>
  <si>
    <t>Eco cAnVaS ToTE Bag</t>
  </si>
  <si>
    <t>biOdEgRADAbLe cLEANiNG Cloth</t>
  </si>
  <si>
    <t>ecO CaNvAs toTE BAG</t>
  </si>
  <si>
    <t>loGAn smitH</t>
  </si>
  <si>
    <t>comPoStAbLE PLaNT pOtS</t>
  </si>
  <si>
    <t>CompoStablE plant poTs</t>
  </si>
  <si>
    <t>reuSABLE baMBOO UtEnsIL SeT</t>
  </si>
  <si>
    <t>AIDEn GArcia</t>
  </si>
  <si>
    <t>BiOdegrADaBle ClEaniNG cLotH</t>
  </si>
  <si>
    <t>ReuSaBlE bAmBoO utEnSil sEt</t>
  </si>
  <si>
    <t>SoLaR LeD lAnterN</t>
  </si>
  <si>
    <t>BIoDeGRAdabLe CLEanING CLotH</t>
  </si>
  <si>
    <t>sOlaR LED LANTERn</t>
  </si>
  <si>
    <t>AIdeN SMiTh</t>
  </si>
  <si>
    <t>ReuSaBlE BaMBoo uTENsiL sEt</t>
  </si>
  <si>
    <t>SolAr leD laNterN</t>
  </si>
  <si>
    <t>sOLAR leD LAnteRn</t>
  </si>
  <si>
    <t>soLAr leD LaNtern</t>
  </si>
  <si>
    <t>sOLAr LEd lAnterN</t>
  </si>
  <si>
    <t>LOGan jOhNson</t>
  </si>
  <si>
    <t>soLAR lEd LanteRN</t>
  </si>
  <si>
    <t>ecO caNVas TotE baG</t>
  </si>
  <si>
    <t>COMPOstaBLE PLAnT poTS</t>
  </si>
  <si>
    <t>SOLaR LEd lAnTern</t>
  </si>
  <si>
    <t>amEliA JonEs</t>
  </si>
  <si>
    <t>coMPOSTAble PlAnT POts</t>
  </si>
  <si>
    <t>comPosTaBLe pLANt poTS</t>
  </si>
  <si>
    <t>rEUSAble bAMBOo utENsiL SeT</t>
  </si>
  <si>
    <t>SOlar LeD lANTeRn</t>
  </si>
  <si>
    <t>BIODEgRaDaBLE ClEaning CLOtH</t>
  </si>
  <si>
    <t>eCO cANvAS TOTe bAG</t>
  </si>
  <si>
    <t>BiODegradABlE CleAnIng cLOtH</t>
  </si>
  <si>
    <t>eco CAnvAS TOTe BAg</t>
  </si>
  <si>
    <t>ECo CAnvAS tOTE BaG</t>
  </si>
  <si>
    <t>BIoDeGrAdABLE CLeANING clOTH</t>
  </si>
  <si>
    <t>Solar LED LaNTerN</t>
  </si>
  <si>
    <t>rEUSaBlE bambOO UTenSIl Set</t>
  </si>
  <si>
    <t>EcO caNvAs totE bAG</t>
  </si>
  <si>
    <t>solAr Led LAntERn</t>
  </si>
  <si>
    <t>COMPoSTAble pLANT POTs</t>
  </si>
  <si>
    <t>bioDegrADabLE clEANinG ClOth</t>
  </si>
  <si>
    <t>sOLar LED LANTERn</t>
  </si>
  <si>
    <t>ReUsabLE baMBOO utENSIL Set</t>
  </si>
  <si>
    <t>noah wIlliaMS</t>
  </si>
  <si>
    <t>BIODEgraDAblE cLEaNING cLOth</t>
  </si>
  <si>
    <t>ISabellA bRoWN</t>
  </si>
  <si>
    <t>ECo CanvAS tOTe BAG</t>
  </si>
  <si>
    <t>cOmPOSTablE pLANt POTs</t>
  </si>
  <si>
    <t>COMpOsTabLE planT PotS</t>
  </si>
  <si>
    <t>REUSaBlE BamBoO utEnsIl SET</t>
  </si>
  <si>
    <t>eLiJAH garCiA</t>
  </si>
  <si>
    <t>rEUSAbLe BAMboo uteNsil Set</t>
  </si>
  <si>
    <t>OlIVIA willIams</t>
  </si>
  <si>
    <t>SOLAR LEd LaNTERN</t>
  </si>
  <si>
    <t>reusaBlE bamboO UtenSIL Set</t>
  </si>
  <si>
    <t>ETHAn GArCIa</t>
  </si>
  <si>
    <t>CoMPoSTAble PLANT pots</t>
  </si>
  <si>
    <t>BIOdegRADABLE CLEAniNg ClotH</t>
  </si>
  <si>
    <t>ecO CAnVAs TOtE baG</t>
  </si>
  <si>
    <t>solAr led lantERN</t>
  </si>
  <si>
    <t>oLiver jOHNSoN</t>
  </si>
  <si>
    <t>BiOdEGRaDablE CLEaninG ClOtH</t>
  </si>
  <si>
    <t>haRpeR GArCiA</t>
  </si>
  <si>
    <t>SoLAR led laNTERn</t>
  </si>
  <si>
    <t>IsAbElLA brOWn</t>
  </si>
  <si>
    <t>SolaR Led LANTERN</t>
  </si>
  <si>
    <t>EvELyn MarTinez</t>
  </si>
  <si>
    <t>COmpoStABle PlANT pOts</t>
  </si>
  <si>
    <t>EcO caNvaS totE Bag</t>
  </si>
  <si>
    <t>ECO caNvas ToTe bAG</t>
  </si>
  <si>
    <t>jAMeS WIlliaMS</t>
  </si>
  <si>
    <t>eco CanvAS tOTe BaG</t>
  </si>
  <si>
    <t>ecO CanVaS TOTe BAg</t>
  </si>
  <si>
    <t>reUsAble BambOO utenSiL SET</t>
  </si>
  <si>
    <t>cOmpOSTable PlaNt POTs</t>
  </si>
  <si>
    <t>ECO canVas TotE Bag</t>
  </si>
  <si>
    <t>biOdegradAbLE cLEaNiNg CLOTH</t>
  </si>
  <si>
    <t>biODegRADabLe ClEANING cLoth</t>
  </si>
  <si>
    <t>biOdeGradABLE ClEaNiNG CloTH</t>
  </si>
  <si>
    <t>liAM jONes</t>
  </si>
  <si>
    <t>bIOdEGrAdaBlE CLEaNInG clOtH</t>
  </si>
  <si>
    <t>REUSablE baMBoO UTEnSIl SET</t>
  </si>
  <si>
    <t>jaMEs wilLIAMs</t>
  </si>
  <si>
    <t>EcO caNVas tOTE Bag</t>
  </si>
  <si>
    <t>bIODEGRadaBLE cLeaninG cloTH</t>
  </si>
  <si>
    <t>sOLaR LeD laNtERN</t>
  </si>
  <si>
    <t>jAmEs MIlLeR</t>
  </si>
  <si>
    <t>SOlaR LEd laNtErn</t>
  </si>
  <si>
    <t>solAr led lanTErn</t>
  </si>
  <si>
    <t>SOlaR LED LaNterN</t>
  </si>
  <si>
    <t>eCo CANVaS tOte BAg</t>
  </si>
  <si>
    <t>ReusABlE BAMBOO Utensil sET</t>
  </si>
  <si>
    <t>SOlAr led LANtern</t>
  </si>
  <si>
    <t>sOLaR LEd LaNtErn</t>
  </si>
  <si>
    <t>CoMPOstABle plANT pots</t>
  </si>
  <si>
    <t>SoLAR LEd lANteRn</t>
  </si>
  <si>
    <t>SOlAR LED lAnTERN</t>
  </si>
  <si>
    <t>SOLar led LAntERn</t>
  </si>
  <si>
    <t>BIOdegRAdABlE cleanInG ClotH</t>
  </si>
  <si>
    <t>BioDeGRADAblE CLEAnINg CLoTH</t>
  </si>
  <si>
    <t>avA rOdrIGueZ</t>
  </si>
  <si>
    <t>ECo CaNVaS Tote baG</t>
  </si>
  <si>
    <t>coMPoStable PLaNT PoTs</t>
  </si>
  <si>
    <t>ECo CanVAS tOTE bAg</t>
  </si>
  <si>
    <t>ECo caNvas toTe baG</t>
  </si>
  <si>
    <t>ecO cAnvas tOte baG</t>
  </si>
  <si>
    <t>BiodegRadABLE ClEanING CLOth</t>
  </si>
  <si>
    <t>sOLar lED LANteRN</t>
  </si>
  <si>
    <t>COmpOSTaBLE planT PoTs</t>
  </si>
  <si>
    <t>COMpOSTAbLe pLANt Pots</t>
  </si>
  <si>
    <t>bIoDEgRaDabLE cLEAnIng cLOTh</t>
  </si>
  <si>
    <t>Eco CanVAS toTe BAG</t>
  </si>
  <si>
    <t>soLAr LED laNtErN</t>
  </si>
  <si>
    <t>NoAh RODrIguEz</t>
  </si>
  <si>
    <t>eCO CanvAs tOte BAG</t>
  </si>
  <si>
    <t>SOlar LEd LaNTERn</t>
  </si>
  <si>
    <t>ecO cANVAS ToTe bAG</t>
  </si>
  <si>
    <t>eCo canVas TOte BAg</t>
  </si>
  <si>
    <t>REUsAblE baMBOO uTEnsIl sET</t>
  </si>
  <si>
    <t>ecO cAnVas TOTe bag</t>
  </si>
  <si>
    <t>COmpostaBle PLANT POTs</t>
  </si>
  <si>
    <t>loGAN mIlLeR</t>
  </si>
  <si>
    <t>coMpoStABlE PlAnT POTS</t>
  </si>
  <si>
    <t>solaR leD LANTERn</t>
  </si>
  <si>
    <t>CompoSTaBlE PlANt poTs</t>
  </si>
  <si>
    <t>BIodegradABLE cLeANing CLOTH</t>
  </si>
  <si>
    <t>SOlaR LEd lanTErn</t>
  </si>
  <si>
    <t>reUsABlE bAMBOo uTenSIl set</t>
  </si>
  <si>
    <t>NoAh wiLLiaMs</t>
  </si>
  <si>
    <t>eCo CanVas tOte bag</t>
  </si>
  <si>
    <t>coMPOStAble plANT PoTS</t>
  </si>
  <si>
    <t>cOmPOSTaBlE pLant potS</t>
  </si>
  <si>
    <t>COMPoStaBle PLaNt Pots</t>
  </si>
  <si>
    <t>BIODEGRAdaBLe cLeAnIng cLOTH</t>
  </si>
  <si>
    <t>IsAbELla WILLiamS</t>
  </si>
  <si>
    <t>ReuSablE bamBOo uteNSil set</t>
  </si>
  <si>
    <t>sOlAr lED lAnTeRN</t>
  </si>
  <si>
    <t>sOLar LeD lAntERN</t>
  </si>
  <si>
    <t>sOlAR lEd LanTerN</t>
  </si>
  <si>
    <t>eCO canVAs tOTE BAg</t>
  </si>
  <si>
    <t>ecO CANvas TOTE Bag</t>
  </si>
  <si>
    <t>REuSaBLE BAmBoO UTeNSIl seT</t>
  </si>
  <si>
    <t>sOlaR LeD lANTERN</t>
  </si>
  <si>
    <t>BIoDegradAble clEAninG cLoth</t>
  </si>
  <si>
    <t>SOlAr lEd LAnTern</t>
  </si>
  <si>
    <t>ecO CAnvas TotE bag</t>
  </si>
  <si>
    <t>SoLaR lED lanteRN</t>
  </si>
  <si>
    <t>ECo CAnVaS tOtE bag</t>
  </si>
  <si>
    <t>loGAn martInEZ</t>
  </si>
  <si>
    <t>cOmpOStaBlE PlaNt Pots</t>
  </si>
  <si>
    <t>elIJah SMItH</t>
  </si>
  <si>
    <t>biOdegradablE CLEaNING CloTH</t>
  </si>
  <si>
    <t>lIaM mIller</t>
  </si>
  <si>
    <t>SOLAR LED LANteRN</t>
  </si>
  <si>
    <t>eVeLYn BroWn</t>
  </si>
  <si>
    <t>soLAr led lANTeRn</t>
  </si>
  <si>
    <t>harpER jOneS</t>
  </si>
  <si>
    <t>soLaR LeD LanTerN</t>
  </si>
  <si>
    <t>Eco CAnVAs TOTe BAG</t>
  </si>
  <si>
    <t>rEUsAbLE BAmBOO UTENsIL sEt</t>
  </si>
  <si>
    <t>COMPosTabLE PLaNT poTS</t>
  </si>
  <si>
    <t>REUsablE bAmBoo Utensil seT</t>
  </si>
  <si>
    <t>reUsabLe bAmBoO UTENSiL sET</t>
  </si>
  <si>
    <t>eCo CanVaS tOtE bag</t>
  </si>
  <si>
    <t>CompOstAbLe pLanT PoTs</t>
  </si>
  <si>
    <t>ECO CANvAs toTe BaG</t>
  </si>
  <si>
    <t>AmElIA jOHNSon</t>
  </si>
  <si>
    <t>SOLar Led LanTerN</t>
  </si>
  <si>
    <t>BIOdegRADablE clEANINg cLoTH</t>
  </si>
  <si>
    <t>reusabLe BAMBoo UtEnSIl SET</t>
  </si>
  <si>
    <t>eco canvas TOTe BaG</t>
  </si>
  <si>
    <t>CompostabLE PLaNt POTS</t>
  </si>
  <si>
    <t>ecO CAnvAs tOtE bag</t>
  </si>
  <si>
    <t>ELiJAH jOneS</t>
  </si>
  <si>
    <t>SOLaR LeD laNtERN</t>
  </si>
  <si>
    <t>coMPoStaBlE pLanT poTS</t>
  </si>
  <si>
    <t>COmpostabLe PLANt poTs</t>
  </si>
  <si>
    <t>SOLaR LED laNtERN</t>
  </si>
  <si>
    <t>soLAR LED LANTerN</t>
  </si>
  <si>
    <t>BioDegradAbLe clEanIng cLOTh</t>
  </si>
  <si>
    <t>BIoDeGraDAble clEAninG ClOTH</t>
  </si>
  <si>
    <t>ReuSAbLE baMbOo utENSIL sEt</t>
  </si>
  <si>
    <t>BiODEgrAdablE CLEANiNG CloTh</t>
  </si>
  <si>
    <t>reuSaBLe baMboO UtEnsiL set</t>
  </si>
  <si>
    <t>aideN jOneS</t>
  </si>
  <si>
    <t>SOlAr Led lanTeRn</t>
  </si>
  <si>
    <t>REUsAblE bamboO UtEnsiL seT</t>
  </si>
  <si>
    <t>SOlAr leD lanTern</t>
  </si>
  <si>
    <t>solAR LEd LANtERN</t>
  </si>
  <si>
    <t>ComPOStABlE PlAnt poTs</t>
  </si>
  <si>
    <t>BIODeGradAble clEANiNG CLOth</t>
  </si>
  <si>
    <t>eCo CanvAS TOtE bAG</t>
  </si>
  <si>
    <t>REUsaBlE bAmboo uTeNsil SET</t>
  </si>
  <si>
    <t>SOLAr LeD lantern</t>
  </si>
  <si>
    <t>biodegRadAbLe cLEANiNG cLotH</t>
  </si>
  <si>
    <t>bIOdEgRaDAbLE cleaNIng ClOth</t>
  </si>
  <si>
    <t>reUSaBle BAMboo UtensIl SeT</t>
  </si>
  <si>
    <t>BiOdEgrADabLE CLEAnINg CloTh</t>
  </si>
  <si>
    <t>SoLAR leD LanTern</t>
  </si>
  <si>
    <t>Eco Canvas TOte bAg</t>
  </si>
  <si>
    <t>ComposTabLE plaNt pOtS</t>
  </si>
  <si>
    <t>SOLaR lED LanTERn</t>
  </si>
  <si>
    <t>coMpOstAbLE plaNT Pots</t>
  </si>
  <si>
    <t>SolAr Led lanTeRn</t>
  </si>
  <si>
    <t>BiOdEGRADAble cLEAnINg CLoTH</t>
  </si>
  <si>
    <t>ECo CANVAS ToTe bAG</t>
  </si>
  <si>
    <t>ecO CANVAS tOTE Bag</t>
  </si>
  <si>
    <t>SOlAR led LanTERn</t>
  </si>
  <si>
    <t>BiODEgradaBLE CLEanING clotH</t>
  </si>
  <si>
    <t>REuSABLe bamBoo UTensil Set</t>
  </si>
  <si>
    <t>rEUSAblE bambOO UtenSiL SEt</t>
  </si>
  <si>
    <t>Eco cAnvAs tOtE BAG</t>
  </si>
  <si>
    <t>MIa MaRtInez</t>
  </si>
  <si>
    <t>bIOdEGrADAblE ClEaninG cLOTH</t>
  </si>
  <si>
    <t>LoGAn martineZ</t>
  </si>
  <si>
    <t>soLAR LEd lAntERn</t>
  </si>
  <si>
    <t>comPoSTAbLe PlaNt potS</t>
  </si>
  <si>
    <t>rEUsAble BAMBoO utensiL set</t>
  </si>
  <si>
    <t>COmPOStABLe pLaNT POTs</t>
  </si>
  <si>
    <t>Eco cANVas ToTE BAG</t>
  </si>
  <si>
    <t>cOmPostAblE PlanT Pots</t>
  </si>
  <si>
    <t>sOlAR leD lAnTERn</t>
  </si>
  <si>
    <t>SolaR lED lanTERN</t>
  </si>
  <si>
    <t>oliVer MilLeR</t>
  </si>
  <si>
    <t>ReuSaBle BambOo uTeNsIl set</t>
  </si>
  <si>
    <t>ReUsAble baMbOO utEnsIl set</t>
  </si>
  <si>
    <t>SOLAr leD LaNTerN</t>
  </si>
  <si>
    <t>REusabLE BambOo UtEnsil set</t>
  </si>
  <si>
    <t>JAmES joNeS</t>
  </si>
  <si>
    <t>solAR Led lANtERN</t>
  </si>
  <si>
    <t>comPOStABle pLant POts</t>
  </si>
  <si>
    <t>SoLaR led LANteRN</t>
  </si>
  <si>
    <t>ecO cANvAS TotE bAg</t>
  </si>
  <si>
    <t>eCO CaNVas toTE BAg</t>
  </si>
  <si>
    <t>eco CANVAS TOTe bAg</t>
  </si>
  <si>
    <t>reUsAbLe BAMBoO UTensiL Set</t>
  </si>
  <si>
    <t>REUSabLe bAmboo uTENSiL sEt</t>
  </si>
  <si>
    <t>biOdEgRaDABLE cLEAnINg Cloth</t>
  </si>
  <si>
    <t>soLaR leD lAnteRN</t>
  </si>
  <si>
    <t>COMPOSTAblE PlaNT Pots</t>
  </si>
  <si>
    <t>ECO cAnVAs TOtE bag</t>
  </si>
  <si>
    <t>ReUsAblE BAmboO uTensiL sEt</t>
  </si>
  <si>
    <t>avA rOdRIguEZ</t>
  </si>
  <si>
    <t>EcO cAnVas TOte Bag</t>
  </si>
  <si>
    <t>CoMPoStABLe pLANt POtS</t>
  </si>
  <si>
    <t>AiDEn miLleR</t>
  </si>
  <si>
    <t>rEUsABLE bamBoO uTEnsIL SEt</t>
  </si>
  <si>
    <t>solaR lED lANTErn</t>
  </si>
  <si>
    <t>sOLaR lEd LAnTErN</t>
  </si>
  <si>
    <t>rEUsAbLE bamboo UtENsil sET</t>
  </si>
  <si>
    <t>cOMposTAblE PlAnt pOTS</t>
  </si>
  <si>
    <t>MAson DAVIs</t>
  </si>
  <si>
    <t>solaR LEd LANtERn</t>
  </si>
  <si>
    <t>CoMpostaBLE pLant POtS</t>
  </si>
  <si>
    <t>cOMpoSTaBle pLAnt poTs</t>
  </si>
  <si>
    <t>SOlaR LEd LantERN</t>
  </si>
  <si>
    <t>cOMpOstAbLe PlAnt POTS</t>
  </si>
  <si>
    <t>BIODeGRAdAbLe clEaniNG ClOth</t>
  </si>
  <si>
    <t>eco CaNvaS Tote baG</t>
  </si>
  <si>
    <t>cOmPOstABLe planT POts</t>
  </si>
  <si>
    <t>REuSablE baMBoO UTensiL set</t>
  </si>
  <si>
    <t>olIVER JONes</t>
  </si>
  <si>
    <t>ECO CaNVAS toTe bAg</t>
  </si>
  <si>
    <t>BIODeGraDABlE CleANING clOtH</t>
  </si>
  <si>
    <t>cOMpOSTABlE PLAnT POTs</t>
  </si>
  <si>
    <t>bIoDEgradaBLe ClEaning CLOTH</t>
  </si>
  <si>
    <t>ComPOStAbLe plANt potS</t>
  </si>
  <si>
    <t>ecO CaNvAS Tote bag</t>
  </si>
  <si>
    <t>solAr Led lantERn</t>
  </si>
  <si>
    <t>eCO canVaS tOTE bag</t>
  </si>
  <si>
    <t>coMPOsTAbLE pLant POtS</t>
  </si>
  <si>
    <t>BiODEgRAdablE cLeANiNg cLoTH</t>
  </si>
  <si>
    <t>lUCAS BROwN</t>
  </si>
  <si>
    <t>SoLAr Led LAnTErn</t>
  </si>
  <si>
    <t>REusaBlE bAMBOO uTENsIL Set</t>
  </si>
  <si>
    <t>REusAblE bambOo UTENsIL set</t>
  </si>
  <si>
    <t>COmposTABLe PlANT pOTs</t>
  </si>
  <si>
    <t>cOmpOsTABle PLanT PoTs</t>
  </si>
  <si>
    <t>eCO caNVas tOTe BaG</t>
  </si>
  <si>
    <t>jAmEs bRown</t>
  </si>
  <si>
    <t>COmpostaBLe PlAnT pOtS</t>
  </si>
  <si>
    <t>REusablE bamboo UTEnSil sEt</t>
  </si>
  <si>
    <t>BiODEGradABlE CleanInG cLotH</t>
  </si>
  <si>
    <t>ReusaBle baMboO UtenSIL sEt</t>
  </si>
  <si>
    <t>REuSABlE BamBoo utenSil seT</t>
  </si>
  <si>
    <t>eCO canVas tOte BaG</t>
  </si>
  <si>
    <t>reuSAbLE BaMBOo UtenSIL sEt</t>
  </si>
  <si>
    <t>ComPoStAblE pLaNT pOts</t>
  </si>
  <si>
    <t>BIoDEgRadabLe CLEanING cLotH</t>
  </si>
  <si>
    <t>REusAbLE bAMBoo UTeNSil sET</t>
  </si>
  <si>
    <t>sOLaR leD laNTeRn</t>
  </si>
  <si>
    <t>AvA GarCIA</t>
  </si>
  <si>
    <t>BiodEgRadaBLE CLeaNING CLoth</t>
  </si>
  <si>
    <t>SolAR LED LanterN</t>
  </si>
  <si>
    <t>SOlAr leD LaNTeRn</t>
  </si>
  <si>
    <t>soLAr Led LAntErn</t>
  </si>
  <si>
    <t>ReuSABLe baMboo UtenSIL sEt</t>
  </si>
  <si>
    <t>COMPostable plAnt POtS</t>
  </si>
  <si>
    <t>eco caNvaS TOtE BaG</t>
  </si>
  <si>
    <t>cOmPoStable PLant poTS</t>
  </si>
  <si>
    <t>BIodEGRadaBlE cLeANInG CLOTh</t>
  </si>
  <si>
    <t>ComPOsTaBlE plaNT POTS</t>
  </si>
  <si>
    <t>coMPOsTABle pLaNT pots</t>
  </si>
  <si>
    <t>comPOSTABlE pLAnt POtS</t>
  </si>
  <si>
    <t>BIodEgRAdABLe cLEAnING cloTh</t>
  </si>
  <si>
    <t>COmPoSTaBLe Plant POTS</t>
  </si>
  <si>
    <t>soLar leD LanterN</t>
  </si>
  <si>
    <t>sOlAr LeD LAntern</t>
  </si>
  <si>
    <t>sOLAr LEd LAnteRN</t>
  </si>
  <si>
    <t>sOlAR lEd LanTERn</t>
  </si>
  <si>
    <t>eCo canVaS tOTe baG</t>
  </si>
  <si>
    <t>MaSOn DaVIs</t>
  </si>
  <si>
    <t>rEUSable BamboO UtensIL set</t>
  </si>
  <si>
    <t>coMpoSTABLe PlaNt pots</t>
  </si>
  <si>
    <t>coMpOstabLE plANT PotS</t>
  </si>
  <si>
    <t>reusAble BAMbOo uTEnsIL set</t>
  </si>
  <si>
    <t>aidEN sMIth</t>
  </si>
  <si>
    <t>coMpoSTaBlE plAnT POTs</t>
  </si>
  <si>
    <t>COMPoSTaBLe PLAnt PoTs</t>
  </si>
  <si>
    <t>solaR led lANTERn</t>
  </si>
  <si>
    <t>coMpostABLE Plant POts</t>
  </si>
  <si>
    <t>cOMPOstABlE pLanT PoTS</t>
  </si>
  <si>
    <t>OLiViA mIlLEr</t>
  </si>
  <si>
    <t>ReUsAbLe bamBOo UTENSIl seT</t>
  </si>
  <si>
    <t>biodeGRadaBle CLEaNiNg cloTH</t>
  </si>
  <si>
    <t>SOlAR LEd LANTeRN</t>
  </si>
  <si>
    <t>ecO CaNVas tOtE BaG</t>
  </si>
  <si>
    <t>LiAM DavIs</t>
  </si>
  <si>
    <t>Eco CANvAS TOtE BAg</t>
  </si>
  <si>
    <t>ECo canVAs ToTe baG</t>
  </si>
  <si>
    <t>BioDegRadABLe ClEANING CLOTH</t>
  </si>
  <si>
    <t>eco cAnvaS tOTe bAG</t>
  </si>
  <si>
    <t>bIodEgraDAble cLeaNinG cloTh</t>
  </si>
  <si>
    <t>masOn jOnes</t>
  </si>
  <si>
    <t>SOLaR lED LANteRN</t>
  </si>
  <si>
    <t>solar leD LANTERN</t>
  </si>
  <si>
    <t>eCo CaNvAS TotE BAg</t>
  </si>
  <si>
    <t>eCO canVAS TOtE bAg</t>
  </si>
  <si>
    <t>ComPOstable pLANT PotS</t>
  </si>
  <si>
    <t>bIodegRADablE ClEAning cLoth</t>
  </si>
  <si>
    <t>EcO CanVaS TOte bag</t>
  </si>
  <si>
    <t>SOLAr Led laNtERn</t>
  </si>
  <si>
    <t>rEUSAblE BambOo UTENsil Set</t>
  </si>
  <si>
    <t>ECo caNvAs ToTE bAg</t>
  </si>
  <si>
    <t>solAr lEd lANTeRn</t>
  </si>
  <si>
    <t>solaR led laNTeRn</t>
  </si>
  <si>
    <t>REusabLe BAMBOO UTEnsIL SET</t>
  </si>
  <si>
    <t>cOMpoStAble plaNT PotS</t>
  </si>
  <si>
    <t>reUSable BaMboo UTeNSIl sET</t>
  </si>
  <si>
    <t>ECO CanVAS toTE BAg</t>
  </si>
  <si>
    <t>COMPOSTabLE PlANt POtS</t>
  </si>
  <si>
    <t>REUSABlE baMBOO UTENSiL SEt</t>
  </si>
  <si>
    <t>REUSAblE BAmBOO utENSil SET</t>
  </si>
  <si>
    <t>SOlar lEd LanTerN</t>
  </si>
  <si>
    <t>ReUsable bamBOo utENSiL seT</t>
  </si>
  <si>
    <t>REusABLE BaMbOo uteNSIL SEt</t>
  </si>
  <si>
    <t>BiOdegRaDABLe CleaNiNg clOTh</t>
  </si>
  <si>
    <t>bIoDEgRAdablE ClEanING ClOtH</t>
  </si>
  <si>
    <t>sOPHIa JOHNSOn</t>
  </si>
  <si>
    <t>CompoSTaBlE plANt PotS</t>
  </si>
  <si>
    <t>bIODeGrADABLE CleanING ClOth</t>
  </si>
  <si>
    <t>Solar Led lANTERN</t>
  </si>
  <si>
    <t>REuSaBLE BamBOo UTEnsil Set</t>
  </si>
  <si>
    <t>soLaR LED LANteRN</t>
  </si>
  <si>
    <t>ECo cAnvaS TOte BaG</t>
  </si>
  <si>
    <t>eCO cANVas TOte bAg</t>
  </si>
  <si>
    <t>rEUSABlE BaMboO utENsIL Set</t>
  </si>
  <si>
    <t>BIODeGraDaBlE CLEAnINg cLotH</t>
  </si>
  <si>
    <t>REuSabLe BamBOO utENsil SET</t>
  </si>
  <si>
    <t>BiOdeGRadAbLe cleaning cloTH</t>
  </si>
  <si>
    <t>REusABle BamboO utENSil SET</t>
  </si>
  <si>
    <t>eco canvas TotE Bag</t>
  </si>
  <si>
    <t>ReuSabLE BamboO uteNsil SEt</t>
  </si>
  <si>
    <t>eCo cANVas Tote BAG</t>
  </si>
  <si>
    <t>reUSABLE baMBOO utensIl Set</t>
  </si>
  <si>
    <t>SoLAr lEd lantErN</t>
  </si>
  <si>
    <t>ReUSaBlE BAMboO utEnSiL SET</t>
  </si>
  <si>
    <t>AIDeN MArtIneZ</t>
  </si>
  <si>
    <t>solAr Led lAnteRn</t>
  </si>
  <si>
    <t>ECO CAnVAS tOTe BAg</t>
  </si>
  <si>
    <t>sOlAr LEd lANteRn</t>
  </si>
  <si>
    <t>REusable bAMBOO UTENsIL SEt</t>
  </si>
  <si>
    <t>eCo cANVAS toTE bAG</t>
  </si>
  <si>
    <t>Solar lEd laNTERn</t>
  </si>
  <si>
    <t>Solar lEd LaNTern</t>
  </si>
  <si>
    <t>ECO caNVas TOTE baG</t>
  </si>
  <si>
    <t>SOLAr LeD lANTERn</t>
  </si>
  <si>
    <t>reuSabLE BaMboO uTenSIl set</t>
  </si>
  <si>
    <t>BiODEGRAdaBle CleAniNG cloTh</t>
  </si>
  <si>
    <t>sOlar lEd LaNtern</t>
  </si>
  <si>
    <t>cOMpostAbLE PlANt pots</t>
  </si>
  <si>
    <t>eCo CAnvaS tote BAg</t>
  </si>
  <si>
    <t>SoLaR LeD laNtErn</t>
  </si>
  <si>
    <t>eco CANVAS tOTE Bag</t>
  </si>
  <si>
    <t>REUSABle BAMBoo UtENSil SeT</t>
  </si>
  <si>
    <t>COmpOSTablE plaNt poTS</t>
  </si>
  <si>
    <t>aMEliA MaRTiNez</t>
  </si>
  <si>
    <t>bIodeGrADablE clEAniNg clotH</t>
  </si>
  <si>
    <t>Solar leD lANTeRn</t>
  </si>
  <si>
    <t>SolAR led laNtERN</t>
  </si>
  <si>
    <t>BioDeGRAdaBLE cLeAnING cLoTh</t>
  </si>
  <si>
    <t>sOlAR lEd lANteRN</t>
  </si>
  <si>
    <t>EcO cANvAs TotE BAg</t>
  </si>
  <si>
    <t>rEuSABlE BaMBOO UTenSil seT</t>
  </si>
  <si>
    <t>eco canvas tOte BaG</t>
  </si>
  <si>
    <t>ReUsABLE bAMboO UteNsil sEt</t>
  </si>
  <si>
    <t>sOLAR lEd lANtern</t>
  </si>
  <si>
    <t>ReuSaBLe BAMBoo uTensil Set</t>
  </si>
  <si>
    <t>ECO caNVas tOTE BaG</t>
  </si>
  <si>
    <t>reUsABLe Bamboo UTeNsIl SeT</t>
  </si>
  <si>
    <t>SoLAR led laNterN</t>
  </si>
  <si>
    <t>cOMPoStable planT POTs</t>
  </si>
  <si>
    <t>comPosTable pLANt POts</t>
  </si>
  <si>
    <t>eco caNVaS TotE bAG</t>
  </si>
  <si>
    <t>eCo CaNVaS tote BAg</t>
  </si>
  <si>
    <t>soLaR leD lAnteRn</t>
  </si>
  <si>
    <t>Eco CAnvAS tOte bAg</t>
  </si>
  <si>
    <t>reuSable BAMBoo UTENSiL sEt</t>
  </si>
  <si>
    <t>REuSABlE bAMbOO UtenSIL SeT</t>
  </si>
  <si>
    <t>CoMPOStABle plaNT pOtS</t>
  </si>
  <si>
    <t>REUsabLE baMbOo utensIl SET</t>
  </si>
  <si>
    <t>EMMa garcIA</t>
  </si>
  <si>
    <t>sOLaR Led lANTERN</t>
  </si>
  <si>
    <t>cOMPOStaBLe pLAnt pots</t>
  </si>
  <si>
    <t>CoMpOStAbLe pLAnT pOTS</t>
  </si>
  <si>
    <t>ECO CANvaS tOTE baG</t>
  </si>
  <si>
    <t>BIODegrADablE cLEANinG cLOth</t>
  </si>
  <si>
    <t>biOdEGRadAbLe CLEAnIng cLOtH</t>
  </si>
  <si>
    <t>reusabLE bAmbOo uTensIL set</t>
  </si>
  <si>
    <t>cOmPosTABle pLaNT PoTs</t>
  </si>
  <si>
    <t>ComPoSTaBle PLAnT pOTs</t>
  </si>
  <si>
    <t>REusABLE BamBOO uTeNSIL SET</t>
  </si>
  <si>
    <t>soLAr lEd lanTeRn</t>
  </si>
  <si>
    <t>COmpOSTAblE plant PoTs</t>
  </si>
  <si>
    <t>cOMpostaBLe pLAnT pOTS</t>
  </si>
  <si>
    <t>BIOdegrADaBle cleAnIng CloTh</t>
  </si>
  <si>
    <t>SOlaR LeD lanTERN</t>
  </si>
  <si>
    <t>BIODeGrADablE CLEAnING cLOth</t>
  </si>
  <si>
    <t>eco CAnvaS toTe bAg</t>
  </si>
  <si>
    <t>REuSABlE bAMboO UTENSil SET</t>
  </si>
  <si>
    <t>CoMposTaBLE pLANt PotS</t>
  </si>
  <si>
    <t>solar LeD lANTErn</t>
  </si>
  <si>
    <t>ECO CAnvAs TOtE baG</t>
  </si>
  <si>
    <t>COmpoStABle PLAnt pots</t>
  </si>
  <si>
    <t>olIvia jonES</t>
  </si>
  <si>
    <t>cOMPostAble plAnT POTs</t>
  </si>
  <si>
    <t>solar LED LAnTern</t>
  </si>
  <si>
    <t>bIOdEgRadABlE CleANING cLotH</t>
  </si>
  <si>
    <t>rEusaBLe baMBOo uTensIl sEt</t>
  </si>
  <si>
    <t>rEuSablE baMbOo uTEnsil SeT</t>
  </si>
  <si>
    <t>rEUSabLE bamBoo utEnSIl SeT</t>
  </si>
  <si>
    <t>reuSAbLE bAMboo UtEnSil Set</t>
  </si>
  <si>
    <t>BIoDEgRAdAblE CLeAniNG cLOth</t>
  </si>
  <si>
    <t>Eco cAnVas TOte bag</t>
  </si>
  <si>
    <t>EcO caNvAS Tote bag</t>
  </si>
  <si>
    <t>EcO canVas ToTe BAG</t>
  </si>
  <si>
    <t>ComPOSTable plAnT POTS</t>
  </si>
  <si>
    <t>AIDen rOdRIgUEz</t>
  </si>
  <si>
    <t>comPOstable plANt PotS</t>
  </si>
  <si>
    <t>sOLaR led LAnterN</t>
  </si>
  <si>
    <t>SoLAr Led laNterN</t>
  </si>
  <si>
    <t>cOmPoSTable PLant Pots</t>
  </si>
  <si>
    <t>COMPOSTAbLE pLAnT pOTS</t>
  </si>
  <si>
    <t>reUsablE BAMBOO UteNSil SET</t>
  </si>
  <si>
    <t>ECo CANVAs Tote bag</t>
  </si>
  <si>
    <t>reUSABle bAmbOO UTENSil seT</t>
  </si>
  <si>
    <t>SOLAr LED LANtERN</t>
  </si>
  <si>
    <t>BIoDEGradAblE clEaNinG ClOTH</t>
  </si>
  <si>
    <t>ReUsable BambOo UTENSil Set</t>
  </si>
  <si>
    <t>BIOdegrADABLe CLeaNInG ClotH</t>
  </si>
  <si>
    <t>ReUsabLE Bamboo utENSiL Set</t>
  </si>
  <si>
    <t>reusaBLE BAMBOO Utensil set</t>
  </si>
  <si>
    <t>sOlAR led lAnterN</t>
  </si>
  <si>
    <t>COmpOSTaBlE PlaNT PoTS</t>
  </si>
  <si>
    <t>sOLar leD LANtErN</t>
  </si>
  <si>
    <t>reuSABle BAMBOo uTenSil SEt</t>
  </si>
  <si>
    <t>bIodeGRadaBLE cLeaNInG CLotH</t>
  </si>
  <si>
    <t>sOlar lED lANTeRn</t>
  </si>
  <si>
    <t>eCO CANVaS tOTE BAG</t>
  </si>
  <si>
    <t>comPOStAblE pLanT pOtS</t>
  </si>
  <si>
    <t>BioDeGRadABle cLeaNINg Cloth</t>
  </si>
  <si>
    <t>lOGan JoNEs</t>
  </si>
  <si>
    <t>ecO CANVAS tOte BAG</t>
  </si>
  <si>
    <t>eCO caNVaS Tote BAG</t>
  </si>
  <si>
    <t>rEuSabLe BamBoO uteNSIL SET</t>
  </si>
  <si>
    <t>reusaBLe baMbOo uTENsIl set</t>
  </si>
  <si>
    <t>EcO canvas tOTe bAG</t>
  </si>
  <si>
    <t>compostAblE PLaNt pOTs</t>
  </si>
  <si>
    <t>ReusabLE BaMBoO UTeNsIl SET</t>
  </si>
  <si>
    <t>BiOdeGRadaBLE CLEaninG cloth</t>
  </si>
  <si>
    <t>COmPOstAbLe PlANT POts</t>
  </si>
  <si>
    <t>ReusABlE baMbOO uTEnSiL sET</t>
  </si>
  <si>
    <t>ReUSABLe BAMboo UTEnsiL SeT</t>
  </si>
  <si>
    <t>SOlAr leD laNtern</t>
  </si>
  <si>
    <t>SoLaR leD LAnteRn</t>
  </si>
  <si>
    <t>ECO CaNvAS ToTe Bag</t>
  </si>
  <si>
    <t>solaR LeD laNtErN</t>
  </si>
  <si>
    <t>ReUsaBlE bAmbOO UteNsIl Set</t>
  </si>
  <si>
    <t>Eco cANvAs TOTe Bag</t>
  </si>
  <si>
    <t>SOlAr leD LAnTERN</t>
  </si>
  <si>
    <t>ReUSABle bAmBOo UTENsIl sEt</t>
  </si>
  <si>
    <t>bIODeGraDABle cLeanInG CLoTh</t>
  </si>
  <si>
    <t>biOdegraDaBle ClEanInG cLoTH</t>
  </si>
  <si>
    <t>bIoDEgRADaBLE cLEANiNG cloth</t>
  </si>
  <si>
    <t>ECo CaNvAs tote bag</t>
  </si>
  <si>
    <t>SOLAR LEd LANtErn</t>
  </si>
  <si>
    <t>cOmpoSTAbLE PlAnT POTs</t>
  </si>
  <si>
    <t>eco canVaS tOTE BAG</t>
  </si>
  <si>
    <t>ReUsaBLE bAMBOO uTEnSIL Set</t>
  </si>
  <si>
    <t>COmpostAbLE plaNt pOts</t>
  </si>
  <si>
    <t>Eco caNvAS ToTE baG</t>
  </si>
  <si>
    <t>BIoDEgrADAble CLeAniNg cLotH</t>
  </si>
  <si>
    <t>bIOdegRAdABLE CLeAninG CloTh</t>
  </si>
  <si>
    <t>rEUsABle BamBOO UteNsil set</t>
  </si>
  <si>
    <t>ReUSAbLe bAMbOO UtEnsIl SeT</t>
  </si>
  <si>
    <t>eCo CAnVAs tOte BAG</t>
  </si>
  <si>
    <t>BiodEgrAdAble CleAninG cLOtH</t>
  </si>
  <si>
    <t>HarPEr GARCIa</t>
  </si>
  <si>
    <t>REUsaBLe bAmBOo uTENsiL SET</t>
  </si>
  <si>
    <t>Eco cAnVaS tote bag</t>
  </si>
  <si>
    <t>eCO canvAS TOtE bAG</t>
  </si>
  <si>
    <t>eCO CANvaS TOTE bAg</t>
  </si>
  <si>
    <t>COMpoStabLe PLAnt pOtS</t>
  </si>
  <si>
    <t>BiodegrAdAbLe ClEaniNG CLOTH</t>
  </si>
  <si>
    <t>bIODegRaDAbLe cleANInG cLOth</t>
  </si>
  <si>
    <t>COmpostABLE PlanT pOTS</t>
  </si>
  <si>
    <t>COmPOStAble PlANt poTs</t>
  </si>
  <si>
    <t>biODeGrAdAbLe CLEaNInG cloTH</t>
  </si>
  <si>
    <t>sOlAR Led LanTERN</t>
  </si>
  <si>
    <t>bIoDegRadaBLE cleANING CLoth</t>
  </si>
  <si>
    <t>EcO CaNvAS ToTe bag</t>
  </si>
  <si>
    <t>compOstable PlaNT poTS</t>
  </si>
  <si>
    <t>REusAble bAmBOO uTeNsIl SET</t>
  </si>
  <si>
    <t>reusabLe bAMboo utenSil SeT</t>
  </si>
  <si>
    <t>COmpOstaBlE PLANt PoTS</t>
  </si>
  <si>
    <t>bIOdEgraDABle clEANINg clOtH</t>
  </si>
  <si>
    <t>SoLar leD LAntErN</t>
  </si>
  <si>
    <t>SOLar Led LaNtErN</t>
  </si>
  <si>
    <t>biODEgraDABlE clEanING cLoth</t>
  </si>
  <si>
    <t>luCAS smITH</t>
  </si>
  <si>
    <t>BIoDeGrAdABlE cleaniNg ClOTh</t>
  </si>
  <si>
    <t>eco cAnVAS tOte bAg</t>
  </si>
  <si>
    <t>SoLAr LEd LANTErN</t>
  </si>
  <si>
    <t>ECo cANvaS TOte bAG</t>
  </si>
  <si>
    <t>eCO CanvaS TOTe bag</t>
  </si>
  <si>
    <t>biOdEgradabLE CleANing clOTh</t>
  </si>
  <si>
    <t>EcO CanVas tOte Bag</t>
  </si>
  <si>
    <t>reUsablE BaMBoO utensil SET</t>
  </si>
  <si>
    <t>ecO cANvAS tOTe BAg</t>
  </si>
  <si>
    <t>sOlAR Led LanTeRn</t>
  </si>
  <si>
    <t>eCo CaNvas toTe baG</t>
  </si>
  <si>
    <t>bioDegrADABlE ClEaNIng cLOth</t>
  </si>
  <si>
    <t>JAmeS BROWn</t>
  </si>
  <si>
    <t>coMpOsTaBlE PlaNt POTs</t>
  </si>
  <si>
    <t>compostaBle PlANT pOTs</t>
  </si>
  <si>
    <t>coMpoSTaBLE plAnT PoTs</t>
  </si>
  <si>
    <t>eco CanVas toTe bAG</t>
  </si>
  <si>
    <t>EcO cANvaS ToTe bAg</t>
  </si>
  <si>
    <t>eco canvaS Tote BaG</t>
  </si>
  <si>
    <t>bIOdEgradAbLE CleANiNG CLOth</t>
  </si>
  <si>
    <t>BIoDEGRAdABLE cLeaNInG cLOtH</t>
  </si>
  <si>
    <t>BIOdEGRADablE CLEaNInG cLoTH</t>
  </si>
  <si>
    <t>cOMposTaBLe pLant POTS</t>
  </si>
  <si>
    <t>COmposTABLE PLAnt PoTS</t>
  </si>
  <si>
    <t>REuSaBLE bAmBoO UTEnSIl SeT</t>
  </si>
  <si>
    <t>SOlAR LED LANtERN</t>
  </si>
  <si>
    <t>bIODEgraDAbLe cLeAniNG ClOTH</t>
  </si>
  <si>
    <t>bioDEgradAbLe ClEAniNG ClOTh</t>
  </si>
  <si>
    <t>rEuSable BaMBOo UtEnSIL sET</t>
  </si>
  <si>
    <t>SoLAR lED LAnTerN</t>
  </si>
  <si>
    <t>composTABLe PlAnt poTS</t>
  </si>
  <si>
    <t>SoLAr leD lANteRn</t>
  </si>
  <si>
    <t>BIodeGRadAbLe CleAnInG CloTH</t>
  </si>
  <si>
    <t>COmpoSTAble plant Pots</t>
  </si>
  <si>
    <t>BiOdEgrADabLE cLeaniNG cLoTH</t>
  </si>
  <si>
    <t>sOLAR lEd LAnterN</t>
  </si>
  <si>
    <t>compOstaBlE PlANt pOtS</t>
  </si>
  <si>
    <t>BIodEGRaDabLE clEANinG cLOth</t>
  </si>
  <si>
    <t>sOlAR lED LANtErN</t>
  </si>
  <si>
    <t>REusABlE BAmboo UtENsIl set</t>
  </si>
  <si>
    <t>BiodEgraDAbLe CLEANing cLoTH</t>
  </si>
  <si>
    <t>reUsAblE bAMBOO uTensIl SEt</t>
  </si>
  <si>
    <t>COMpostaBLe PLaNt poTs</t>
  </si>
  <si>
    <t>solar LeD laNteRN</t>
  </si>
  <si>
    <t>BIOdEGRaDaBle cLeaNinG cloTH</t>
  </si>
  <si>
    <t>ecO Canvas tOtE bag</t>
  </si>
  <si>
    <t>eCo CAnVAS Tote Bag</t>
  </si>
  <si>
    <t>ReUSaBLe BAmbOO UTensil SEt</t>
  </si>
  <si>
    <t>SolAr LED lANtErn</t>
  </si>
  <si>
    <t>composTaBLE plAnt poTs</t>
  </si>
  <si>
    <t>ReUsabLE BAmbOO uTeNsIL SET</t>
  </si>
  <si>
    <t>biodeGradABLE clEAniNG cLotH</t>
  </si>
  <si>
    <t>ECO cANVaS tOTE BAG</t>
  </si>
  <si>
    <t>ECo canVaS tOtE BaG</t>
  </si>
  <si>
    <t>Solar LED laNteRn</t>
  </si>
  <si>
    <t>SoLaR lED lANterN</t>
  </si>
  <si>
    <t>rEUsAblE BAmbOO uTeNSil seT</t>
  </si>
  <si>
    <t>ECO CANVAS Tote BAG</t>
  </si>
  <si>
    <t>SolAR LEd laNtern</t>
  </si>
  <si>
    <t>CoMpOstaBLe plAnt POtS</t>
  </si>
  <si>
    <t>comPOSTable PLaNt pOTS</t>
  </si>
  <si>
    <t>reuSaBLe baMbOo UTENSIL set</t>
  </si>
  <si>
    <t>SOlaR leD lAnteRn</t>
  </si>
  <si>
    <t>REUsAbLe BAmBoO UtENsil SEt</t>
  </si>
  <si>
    <t>sOLar lED LantERn</t>
  </si>
  <si>
    <t>coMPOSTAble plaNt POTS</t>
  </si>
  <si>
    <t>ReUsAblE bAmBOo uTEnsiL SET</t>
  </si>
  <si>
    <t>ECo caNvAs totE BAG</t>
  </si>
  <si>
    <t>ECO cAnvas tote bAg</t>
  </si>
  <si>
    <t>nOAH GaRCIa</t>
  </si>
  <si>
    <t>sOLAR lED laNtERN</t>
  </si>
  <si>
    <t>rEUsABle BaMBOO UTenSIL SET</t>
  </si>
  <si>
    <t>SolAr led Lantern</t>
  </si>
  <si>
    <t>COMPoStAble Plant pOtS</t>
  </si>
  <si>
    <t>rEUSAblE bamboo uTeNSil seT</t>
  </si>
  <si>
    <t>COMPoStAblE plANT PoTs</t>
  </si>
  <si>
    <t>REUSABlE BamBoO uTENsIl Set</t>
  </si>
  <si>
    <t>eCo CanvAS tOTE BAG</t>
  </si>
  <si>
    <t>BIoDEGrAdable cleANING ClOth</t>
  </si>
  <si>
    <t>bIODeGrAdabLe CleAnIng CloTh</t>
  </si>
  <si>
    <t>BiODEgradAblE cLEaNing clOtH</t>
  </si>
  <si>
    <t>COmposTablE PLAnt pOtS</t>
  </si>
  <si>
    <t>REusablE BambOo uTEnsIL sEt</t>
  </si>
  <si>
    <t>EcO cAnvAS TOTE bAG</t>
  </si>
  <si>
    <t>reuSaBLe BAMBoO uTeNsIL sEt</t>
  </si>
  <si>
    <t>cOMPoStABle PLAnt potS</t>
  </si>
  <si>
    <t>soLAR LEd laNTern</t>
  </si>
  <si>
    <t>rEuSAblE BAMboo UTensil SET</t>
  </si>
  <si>
    <t>EVELYN martinEZ</t>
  </si>
  <si>
    <t>rEUsaBLE bamBoo UTenSil Set</t>
  </si>
  <si>
    <t>BiODegRadAbLe CleanINg clOTh</t>
  </si>
  <si>
    <t>EcO CANvAs tOTE BAg</t>
  </si>
  <si>
    <t>reusABle bAMboO uTenSIl sET</t>
  </si>
  <si>
    <t>sOLAr LeD laNtERN</t>
  </si>
  <si>
    <t>olIvIa DAVis</t>
  </si>
  <si>
    <t>reusABLe BamboO utEnsIL sEt</t>
  </si>
  <si>
    <t>solAR Led LaNtErN</t>
  </si>
  <si>
    <t>SoLar LED lANTErn</t>
  </si>
  <si>
    <t>solAR lEd LAnTerN</t>
  </si>
  <si>
    <t>bIOdegRAdABlE cLEaNING CLoTH</t>
  </si>
  <si>
    <t>SOlaR lEd lAntERN</t>
  </si>
  <si>
    <t>compoSTABle PlaNT potS</t>
  </si>
  <si>
    <t>CompOstaBle PLant pots</t>
  </si>
  <si>
    <t>biODEGradable cleAnINg cloTH</t>
  </si>
  <si>
    <t>Eco cANvas tote Bag</t>
  </si>
  <si>
    <t>COmPoSTaBLE PLant poTS</t>
  </si>
  <si>
    <t>bIOdEGraDABLe CLeanIng ClOth</t>
  </si>
  <si>
    <t>bIoDegRadabLE ClEANiNg ClOTH</t>
  </si>
  <si>
    <t>eco cAnvAS TotE bAG</t>
  </si>
  <si>
    <t>solaR Led LAntERn</t>
  </si>
  <si>
    <t>soLAr led LANTerN</t>
  </si>
  <si>
    <t>ecO CaNVAS tote bag</t>
  </si>
  <si>
    <t>bIODeGRAdabLE cLEANiNG cLoTh</t>
  </si>
  <si>
    <t>eCO CANvaS TOTe Bag</t>
  </si>
  <si>
    <t>ecO CAnVAs tOte bAg</t>
  </si>
  <si>
    <t>reuSabLe baMboO UTEnsil sET</t>
  </si>
  <si>
    <t>soLaR lED lANTerN</t>
  </si>
  <si>
    <t>reusAbLE baMboo uTEnsIl SET</t>
  </si>
  <si>
    <t>bioDEGraDablE cLEAniNg cLOTh</t>
  </si>
  <si>
    <t>soLar LeD LaNTerN</t>
  </si>
  <si>
    <t>reUsAblE bAmbOO UTenSil seT</t>
  </si>
  <si>
    <t>EcO cAnvaS tOTE BAg</t>
  </si>
  <si>
    <t>ReuSabLe bamBOO uTEnSiL sEt</t>
  </si>
  <si>
    <t>COMpostablE PLAnt poTs</t>
  </si>
  <si>
    <t>REUsaBLe BaMboO UteNSiL set</t>
  </si>
  <si>
    <t>eCo cANvAs totE BAG</t>
  </si>
  <si>
    <t>solAr leD laNteRN</t>
  </si>
  <si>
    <t>ECo canvaS tOTE BaG</t>
  </si>
  <si>
    <t>COmpoSTaBle PLAnT pOts</t>
  </si>
  <si>
    <t>cOmpOStable plAnt POts</t>
  </si>
  <si>
    <t>eCo cANVAS ToTe BAG</t>
  </si>
  <si>
    <t>compoSTAbLe plaNt pOTs</t>
  </si>
  <si>
    <t>eCo caNVAS toTE Bag</t>
  </si>
  <si>
    <t>REUsABLe bAmboo UTeNsil seT</t>
  </si>
  <si>
    <t>biodEgRaDABle cLEaninG cLOTH</t>
  </si>
  <si>
    <t>COmpOStAblE PlAnt pOTS</t>
  </si>
  <si>
    <t>ecO CANVAs tOTe bag</t>
  </si>
  <si>
    <t>eCo cANvaS TotE bAg</t>
  </si>
  <si>
    <t>SoLAR lEd Lantern</t>
  </si>
  <si>
    <t>bIOdEGraDaBLe ClEaning CloTh</t>
  </si>
  <si>
    <t>bIODeGRaDabLE cleAnIng ClotH</t>
  </si>
  <si>
    <t>Eco cAnvaS TOtE bAg</t>
  </si>
  <si>
    <t>ReUSAbLE BaMBoo uteNSiL SET</t>
  </si>
  <si>
    <t>ecO CANVAs TOTE bAG</t>
  </si>
  <si>
    <t>BIODEgrADABLE cleaNIng cLoth</t>
  </si>
  <si>
    <t>bIODEgRaDable cLEANiNG CloTh</t>
  </si>
  <si>
    <t>reUsABle baMboo uTEnSiL sEt</t>
  </si>
  <si>
    <t>reUSabLE bAmboo UtEnSil seT</t>
  </si>
  <si>
    <t>BioDEGRADabLE cleAnINg CLotH</t>
  </si>
  <si>
    <t>BiOdegraDabLE clEAnInG clOtH</t>
  </si>
  <si>
    <t>BIodEGraDabLE CLEAninG CLOtH</t>
  </si>
  <si>
    <t>bIOdegrAdABLe CleANing cLOTH</t>
  </si>
  <si>
    <t>ecO caNVaS toTe BAg</t>
  </si>
  <si>
    <t>CoMpOSTaBlE PLaNT pOTs</t>
  </si>
  <si>
    <t>cOMpoStAbLE Plant pots</t>
  </si>
  <si>
    <t>bIODegradaBlE cLEANIng cLOTH</t>
  </si>
  <si>
    <t>SOlar lED lAnTern</t>
  </si>
  <si>
    <t>solAR leD laNtErN</t>
  </si>
  <si>
    <t>compOstabLe pLant POTs</t>
  </si>
  <si>
    <t>hARpER MARtIneZ</t>
  </si>
  <si>
    <t>REuSablE bAmbOo UtEnsiL Set</t>
  </si>
  <si>
    <t>REusaBle baMBOo utENSiL SeT</t>
  </si>
  <si>
    <t>ReUsable baMboO uteNSil sET</t>
  </si>
  <si>
    <t>bioDEgRaDaBlE clEaNInG clOth</t>
  </si>
  <si>
    <t>EcO CaNvas tOte Bag</t>
  </si>
  <si>
    <t>SoLar leD LaNteRN</t>
  </si>
  <si>
    <t>ReUSaBLe BaMBoO UtEnSiL SEt</t>
  </si>
  <si>
    <t>SOlaR Led LantErn</t>
  </si>
  <si>
    <t>SOlAr LeD laNTErN</t>
  </si>
  <si>
    <t>COmPOsTAbLe plaNt pOts</t>
  </si>
  <si>
    <t>eco cANvAS toTe baG</t>
  </si>
  <si>
    <t>SoLAR Led LantERn</t>
  </si>
  <si>
    <t>sOLAr leD LAnTERn</t>
  </si>
  <si>
    <t>eco CaNvAS TOtE bag</t>
  </si>
  <si>
    <t>ECO cANvaS TOte bag</t>
  </si>
  <si>
    <t>comPOSTABLe pLaNt Pots</t>
  </si>
  <si>
    <t>eco CANVAS tOTe Bag</t>
  </si>
  <si>
    <t>rEusabLE BaMBOO uteNSiL SeT</t>
  </si>
  <si>
    <t>ComPOsTabLe plaNT PotS</t>
  </si>
  <si>
    <t>sOLAr LEd lanTeRn</t>
  </si>
  <si>
    <t>Eco caNvaS tOtE BaG</t>
  </si>
  <si>
    <t>biODEGrADaBle CLeaNIng CLOth</t>
  </si>
  <si>
    <t>bioDegrAdabLE CLeAnIng CLOtH</t>
  </si>
  <si>
    <t>BiodEgRADaBLe cleANInG cLoth</t>
  </si>
  <si>
    <t>EcO CanvAS tOTe BAg</t>
  </si>
  <si>
    <t>CoMposTablE plAnT PotS</t>
  </si>
  <si>
    <t>REuSAbLe bambOO UTeNSIl SET</t>
  </si>
  <si>
    <t>ReUsablE bamBOO utENsIL Set</t>
  </si>
  <si>
    <t>EcO cAnVas toTe Bag</t>
  </si>
  <si>
    <t>ecO CaNvaS tOTE BAg</t>
  </si>
  <si>
    <t>eCo CaNVas TOTe baG</t>
  </si>
  <si>
    <t>BIodegRADaBlE clEANing CloTh</t>
  </si>
  <si>
    <t>SOlAR lED LanTeRN</t>
  </si>
  <si>
    <t>REUSaBLE bAMbOo UtEnsIl set</t>
  </si>
  <si>
    <t>rEUSablE BaMboo UTEnsIl SEt</t>
  </si>
  <si>
    <t>sOLaR lEd LAnTerN</t>
  </si>
  <si>
    <t>ecO cAnVAs toTE bAG</t>
  </si>
  <si>
    <t>eCO cANVas TOTe bAg</t>
  </si>
  <si>
    <t>ReUSABlE BamboO utENsil set</t>
  </si>
  <si>
    <t>eCO cAnvaS TOtE bAG</t>
  </si>
  <si>
    <t>cOMpOsTABLE PLANt PoTS</t>
  </si>
  <si>
    <t>EcO caNvas TOtE baG</t>
  </si>
  <si>
    <t>COmpoStaBle PLAnT PotS</t>
  </si>
  <si>
    <t>ecO cANVaS ToTe bAG</t>
  </si>
  <si>
    <t>BIoDEGrAdAbLe CleANIng CLOtH</t>
  </si>
  <si>
    <t>biodegRadabLE CLEanINg cLoTh</t>
  </si>
  <si>
    <t>ECO CAnVAs TOte Bag</t>
  </si>
  <si>
    <t>ReusAbLE BamBOO utENsil SET</t>
  </si>
  <si>
    <t>eCo cANvaS tOTe bag</t>
  </si>
  <si>
    <t>CoMpoSTablE plant POTS</t>
  </si>
  <si>
    <t>SolAR led LAntErn</t>
  </si>
  <si>
    <t>cOmPoSTable plAnt poTS</t>
  </si>
  <si>
    <t>REUSABlE BambOo UTEnSiL seT</t>
  </si>
  <si>
    <t>EcO CanVAs ToTE baG</t>
  </si>
  <si>
    <t>eCo CanVAs ToTE BAG</t>
  </si>
  <si>
    <t>cOmPOsTAbLE PlanT pOts</t>
  </si>
  <si>
    <t>SoLar lEd laNTErn</t>
  </si>
  <si>
    <t>ECO CANvAS tote baG</t>
  </si>
  <si>
    <t>Eco cAnVaS tOtE bAg</t>
  </si>
  <si>
    <t>solAR lED lanteRn</t>
  </si>
  <si>
    <t>bIodegrADabLe CLeaniNG CLoTh</t>
  </si>
  <si>
    <t>Eco canvAs TOtE BAg</t>
  </si>
  <si>
    <t>SOlar led LaNTeRN</t>
  </si>
  <si>
    <t>BIODEGRAdAbLe cLeaNIng cLOtH</t>
  </si>
  <si>
    <t>rEusABLE bAmbOo UTENSiL sEt</t>
  </si>
  <si>
    <t>Eco caNVas tOTE bag</t>
  </si>
  <si>
    <t>soLar led LAntERN</t>
  </si>
  <si>
    <t>sOLAR Led laNTeRN</t>
  </si>
  <si>
    <t>reUSAblE BaMbOo Utensil set</t>
  </si>
  <si>
    <t>soLAr LEd lantERN</t>
  </si>
  <si>
    <t>EcO CANVaS toTe BAG</t>
  </si>
  <si>
    <t>comPoStablE pLaNT pOtS</t>
  </si>
  <si>
    <t>ecO canvas tOte bAg</t>
  </si>
  <si>
    <t>eco caNVAs toTE BaG</t>
  </si>
  <si>
    <t>coMPOsTaBLe PlaNT POts</t>
  </si>
  <si>
    <t>ecO cANVAs tote bAg</t>
  </si>
  <si>
    <t>bIOdEGrAdablE CleaniNG cLoTh</t>
  </si>
  <si>
    <t>reUsAbLE bAMBOO utensil sEt</t>
  </si>
  <si>
    <t>reusable bAMBOo utensil Set</t>
  </si>
  <si>
    <t>reUsaBlE bAmBOO UteNSil seT</t>
  </si>
  <si>
    <t>CoMpOsTAbLe PlanT poTs</t>
  </si>
  <si>
    <t>ComPosTable plANt Pots</t>
  </si>
  <si>
    <t>SOLAr Led LANTErn</t>
  </si>
  <si>
    <t>soLar Led lAnterN</t>
  </si>
  <si>
    <t>EcO caNvaS toTe bAG</t>
  </si>
  <si>
    <t>SOLaR LeD lanTeRn</t>
  </si>
  <si>
    <t>sOLAr lEd laNTeRn</t>
  </si>
  <si>
    <t>cOmPoStablE plANt PoTs</t>
  </si>
  <si>
    <t>rEUSAblE BaMBOO uTeNsil set</t>
  </si>
  <si>
    <t>bIoDEgradabLe CleAnINg cloTH</t>
  </si>
  <si>
    <t>reuSable bAMboO UteNsIL Set</t>
  </si>
  <si>
    <t>EcO CANVaS Tote bag</t>
  </si>
  <si>
    <t>SolAR led lAnTErn</t>
  </si>
  <si>
    <t>eco cANvAS toTe bAg</t>
  </si>
  <si>
    <t>BioDeGRaDAbLe CleaniNg cLotH</t>
  </si>
  <si>
    <t>ECo cANvAs TOte bAg</t>
  </si>
  <si>
    <t>rEUSAbLe bAMBOo uTENSil SET</t>
  </si>
  <si>
    <t>SOlaR LEd LANteRN</t>
  </si>
  <si>
    <t>cOMPostABLe PlanT PotS</t>
  </si>
  <si>
    <t>soLAr lEd LaNterN</t>
  </si>
  <si>
    <t>bIOdegradaBLE CLeaniNg cLOtH</t>
  </si>
  <si>
    <t>eco CaNvAS TOTE BAG</t>
  </si>
  <si>
    <t>rEuSAbLe bAMboo UteNsIl SET</t>
  </si>
  <si>
    <t>solar LeD LANTeRN</t>
  </si>
  <si>
    <t>biODEgRaDAbLe ClEAning cloth</t>
  </si>
  <si>
    <t>BIODeGradAbLE ClEanINg CLOTH</t>
  </si>
  <si>
    <t>ReuSAble baMbOO uTENSIL SeT</t>
  </si>
  <si>
    <t>solar leD laNtErN</t>
  </si>
  <si>
    <t>Lucas JoNEs</t>
  </si>
  <si>
    <t>cOmpOsTAblE pLANt pOts</t>
  </si>
  <si>
    <t>Reusable BAMBoo uTeNSIL sET</t>
  </si>
  <si>
    <t>BIOdegRaDABle CLeaniNG cLotH</t>
  </si>
  <si>
    <t>ECo canVas totE BaG</t>
  </si>
  <si>
    <t>ReUsAblE bAMBOO UtENSIl seT</t>
  </si>
  <si>
    <t>ReUsABle bAmbOo uTEnSil SET</t>
  </si>
  <si>
    <t>ECO CaNvAs ToTe Bag</t>
  </si>
  <si>
    <t>reusAbLE BAmBoo uTeNSil Set</t>
  </si>
  <si>
    <t>cOmposTABLe PLAnT POTS</t>
  </si>
  <si>
    <t>soLaR leD LAnterN</t>
  </si>
  <si>
    <t>Eco cAnvaS toTE bag</t>
  </si>
  <si>
    <t>solaR LEd LaNteRn</t>
  </si>
  <si>
    <t>eCo caNVas TOtE BaG</t>
  </si>
  <si>
    <t>compOsTabLE PlAnT POTS</t>
  </si>
  <si>
    <t>ReUsAbLe BaMbOo UtENSil sET</t>
  </si>
  <si>
    <t>rEuSAbLe bamBOO uTENSIl SET</t>
  </si>
  <si>
    <t>reusABle BAmBOO utEnSil set</t>
  </si>
  <si>
    <t>BIODEGrADABlE CleANING ClOTh</t>
  </si>
  <si>
    <t>SoLar LED laNTErN</t>
  </si>
  <si>
    <t>rEUSABle bAMBOO UtensIl set</t>
  </si>
  <si>
    <t>Revenue MOM(%)</t>
  </si>
  <si>
    <t>AOV MOM(%)</t>
  </si>
  <si>
    <t>Profit MOM(%)</t>
  </si>
  <si>
    <t>Monthly Trends</t>
  </si>
  <si>
    <t>Months</t>
  </si>
  <si>
    <t>Monthly Revenue Trend by Product Contribution</t>
  </si>
  <si>
    <t>STATE LEVEL ORDER VOLUME PERFORMANCE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</si>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</sst>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9" formatCode="&quot;$&quot;#,##0"/>
    <numFmt numFmtId="171" formatCode="[Green]\ #,##\ 0.0%;[Red]\ \ \-#,##\ 0.0%"/>
    <numFmt numFmtId="173"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D6CE"/>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3">
    <xf numFmtId="0" fontId="0" fillId="0" borderId="0" xfId="0"/>
    <xf numFmtId="0" fontId="0" fillId="0" borderId="0" xfId="0"/>
    <xf numFmtId="0" fontId="0" fillId="0" borderId="0" xfId="0" applyNumberFormat="1"/>
    <xf numFmtId="0" fontId="0" fillId="0" borderId="0" xfId="0" pivotButton="1"/>
    <xf numFmtId="10" fontId="0" fillId="0" borderId="0" xfId="0" applyNumberFormat="1"/>
    <xf numFmtId="0" fontId="0" fillId="0" borderId="0" xfId="0" applyAlignment="1">
      <alignment horizontal="left"/>
    </xf>
    <xf numFmtId="9" fontId="0" fillId="0" borderId="0" xfId="0" applyNumberFormat="1"/>
    <xf numFmtId="164" fontId="0" fillId="0" borderId="0" xfId="1" applyNumberFormat="1" applyFont="1"/>
    <xf numFmtId="169" fontId="0" fillId="0" borderId="0" xfId="0" applyNumberFormat="1"/>
    <xf numFmtId="164" fontId="0" fillId="0" borderId="0" xfId="0" applyNumberFormat="1"/>
    <xf numFmtId="171" fontId="0" fillId="0" borderId="0" xfId="1" applyNumberFormat="1" applyFont="1"/>
    <xf numFmtId="173" fontId="0" fillId="0" borderId="0" xfId="0" applyNumberFormat="1"/>
    <xf numFmtId="0" fontId="18" fillId="33" borderId="0" xfId="43"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FFAC0E8B-9A0A-4C36-822A-BBAF87B690B7}"/>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24">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69" formatCode="&quot;$&quot;#,##0"/>
    </dxf>
    <dxf>
      <numFmt numFmtId="164" formatCode="0.0%"/>
    </dxf>
    <dxf>
      <numFmt numFmtId="169" formatCode="&quot;$&quot;#,##0"/>
    </dxf>
    <dxf>
      <numFmt numFmtId="173" formatCode="_(&quot;$&quot;* #,##0_);_(&quot;$&quot;* \(#,##0\);_(&quot;$&quot;* &quot;-&quot;??_);_(@_)"/>
    </dxf>
    <dxf>
      <numFmt numFmtId="173" formatCode="_(&quot;$&quot;* #,##0_);_(&quot;$&quot;* \(#,##0\);_(&quot;$&quot;* &quot;-&quot;??_);_(@_)"/>
    </dxf>
    <dxf>
      <numFmt numFmtId="169" formatCode="&quot;$&quot;#,##0"/>
    </dxf>
    <dxf>
      <numFmt numFmtId="164" formatCode="0.0%"/>
    </dxf>
    <dxf>
      <numFmt numFmtId="169" formatCode="&quot;$&quot;#,##0"/>
    </dxf>
  </dxfs>
  <tableStyles count="0" defaultTableStyle="TableStyleMedium2" defaultPivotStyle="PivotStyleLight16"/>
  <colors>
    <mruColors>
      <color rgb="FFD8D6CE"/>
      <color rgb="FF556B2F"/>
      <color rgb="FF5D5D00"/>
      <color rgb="FF005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Charts!PivotTable9</c:name>
    <c:fmtId val="24"/>
  </c:pivotSource>
  <c:chart>
    <c:title>
      <c:tx>
        <c:strRef>
          <c:f>'Pivot Table &amp; Charts'!$F$15</c:f>
          <c:strCache>
            <c:ptCount val="1"/>
            <c:pt idx="0">
              <c:v>Shipment Status (% of total orders)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Charts'!$F$15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Charts'!$F$15</c:f>
              <c:strCache>
                <c:ptCount val="4"/>
                <c:pt idx="0">
                  <c:v>Returned</c:v>
                </c:pt>
                <c:pt idx="1">
                  <c:v>Pending</c:v>
                </c:pt>
                <c:pt idx="2">
                  <c:v>Shipped</c:v>
                </c:pt>
                <c:pt idx="3">
                  <c:v>Delivered</c:v>
                </c:pt>
              </c:strCache>
            </c:strRef>
          </c:cat>
          <c:val>
            <c:numRef>
              <c:f>'Pivot Table &amp; Charts'!$F$15</c:f>
              <c:numCache>
                <c:formatCode>General</c:formatCode>
                <c:ptCount val="4"/>
                <c:pt idx="0">
                  <c:v>72</c:v>
                </c:pt>
                <c:pt idx="1">
                  <c:v>91</c:v>
                </c:pt>
                <c:pt idx="2">
                  <c:v>235</c:v>
                </c:pt>
                <c:pt idx="3">
                  <c:v>602</c:v>
                </c:pt>
              </c:numCache>
            </c:numRef>
          </c:val>
          <c:extLst>
            <c:ext xmlns:c16="http://schemas.microsoft.com/office/drawing/2014/chart" uri="{C3380CC4-5D6E-409C-BE32-E72D297353CC}">
              <c16:uniqueId val="{00000000-2A39-4888-A2CD-E1A946379385}"/>
            </c:ext>
          </c:extLst>
        </c:ser>
        <c:dLbls>
          <c:dLblPos val="outEnd"/>
          <c:showLegendKey val="0"/>
          <c:showVal val="1"/>
          <c:showCatName val="0"/>
          <c:showSerName val="0"/>
          <c:showPercent val="0"/>
          <c:showBubbleSize val="0"/>
        </c:dLbls>
        <c:gapWidth val="182"/>
        <c:axId val="539609695"/>
        <c:axId val="539601535"/>
      </c:barChart>
      <c:catAx>
        <c:axId val="5396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01535"/>
        <c:crosses val="autoZero"/>
        <c:auto val="1"/>
        <c:lblAlgn val="ctr"/>
        <c:lblOffset val="100"/>
        <c:noMultiLvlLbl val="0"/>
      </c:catAx>
      <c:valAx>
        <c:axId val="539601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609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Charts!PivotTable4</c:name>
    <c:fmtId val="8"/>
  </c:pivotSource>
  <c:chart>
    <c:title>
      <c:tx>
        <c:strRef>
          <c:f>'Pivot Table &amp; Charts'!$L$26</c:f>
          <c:strCache>
            <c:ptCount val="1"/>
            <c:pt idx="0">
              <c:v>Shipping Performance by State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 &amp; Charts'!$L$26</c:f>
              <c:strCache>
                <c:ptCount val="1"/>
                <c:pt idx="0">
                  <c:v>Delivered</c:v>
                </c:pt>
              </c:strCache>
            </c:strRef>
          </c:tx>
          <c:spPr>
            <a:solidFill>
              <a:schemeClr val="accent1"/>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59</c:v>
                </c:pt>
                <c:pt idx="1">
                  <c:v>52</c:v>
                </c:pt>
                <c:pt idx="2">
                  <c:v>55</c:v>
                </c:pt>
                <c:pt idx="3">
                  <c:v>66</c:v>
                </c:pt>
                <c:pt idx="4">
                  <c:v>62</c:v>
                </c:pt>
                <c:pt idx="5">
                  <c:v>54</c:v>
                </c:pt>
                <c:pt idx="6">
                  <c:v>64</c:v>
                </c:pt>
                <c:pt idx="7">
                  <c:v>80</c:v>
                </c:pt>
                <c:pt idx="8">
                  <c:v>54</c:v>
                </c:pt>
                <c:pt idx="9">
                  <c:v>56</c:v>
                </c:pt>
              </c:numCache>
            </c:numRef>
          </c:val>
          <c:extLst>
            <c:ext xmlns:c16="http://schemas.microsoft.com/office/drawing/2014/chart" uri="{C3380CC4-5D6E-409C-BE32-E72D297353CC}">
              <c16:uniqueId val="{00000000-61C2-4F99-A55C-40BBEAE4F917}"/>
            </c:ext>
          </c:extLst>
        </c:ser>
        <c:ser>
          <c:idx val="1"/>
          <c:order val="1"/>
          <c:tx>
            <c:strRef>
              <c:f>'Pivot Table &amp; Charts'!$L$26</c:f>
              <c:strCache>
                <c:ptCount val="1"/>
                <c:pt idx="0">
                  <c:v>Pending</c:v>
                </c:pt>
              </c:strCache>
            </c:strRef>
          </c:tx>
          <c:spPr>
            <a:solidFill>
              <a:schemeClr val="accent2"/>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9</c:v>
                </c:pt>
                <c:pt idx="1">
                  <c:v>9</c:v>
                </c:pt>
                <c:pt idx="2">
                  <c:v>11</c:v>
                </c:pt>
                <c:pt idx="3">
                  <c:v>11</c:v>
                </c:pt>
                <c:pt idx="4">
                  <c:v>7</c:v>
                </c:pt>
                <c:pt idx="5">
                  <c:v>8</c:v>
                </c:pt>
                <c:pt idx="6">
                  <c:v>13</c:v>
                </c:pt>
                <c:pt idx="7">
                  <c:v>4</c:v>
                </c:pt>
                <c:pt idx="8">
                  <c:v>11</c:v>
                </c:pt>
                <c:pt idx="9">
                  <c:v>8</c:v>
                </c:pt>
              </c:numCache>
            </c:numRef>
          </c:val>
          <c:extLst>
            <c:ext xmlns:c16="http://schemas.microsoft.com/office/drawing/2014/chart" uri="{C3380CC4-5D6E-409C-BE32-E72D297353CC}">
              <c16:uniqueId val="{00000001-61C2-4F99-A55C-40BBEAE4F917}"/>
            </c:ext>
          </c:extLst>
        </c:ser>
        <c:ser>
          <c:idx val="2"/>
          <c:order val="2"/>
          <c:tx>
            <c:strRef>
              <c:f>'Pivot Table &amp; Charts'!$L$26</c:f>
              <c:strCache>
                <c:ptCount val="1"/>
                <c:pt idx="0">
                  <c:v>Returned</c:v>
                </c:pt>
              </c:strCache>
            </c:strRef>
          </c:tx>
          <c:spPr>
            <a:solidFill>
              <a:schemeClr val="accent3"/>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3</c:v>
                </c:pt>
                <c:pt idx="1">
                  <c:v>3</c:v>
                </c:pt>
                <c:pt idx="2">
                  <c:v>6</c:v>
                </c:pt>
                <c:pt idx="3">
                  <c:v>7</c:v>
                </c:pt>
                <c:pt idx="4">
                  <c:v>9</c:v>
                </c:pt>
                <c:pt idx="5">
                  <c:v>12</c:v>
                </c:pt>
                <c:pt idx="6">
                  <c:v>9</c:v>
                </c:pt>
                <c:pt idx="7">
                  <c:v>5</c:v>
                </c:pt>
                <c:pt idx="8">
                  <c:v>10</c:v>
                </c:pt>
                <c:pt idx="9">
                  <c:v>8</c:v>
                </c:pt>
              </c:numCache>
            </c:numRef>
          </c:val>
          <c:extLst>
            <c:ext xmlns:c16="http://schemas.microsoft.com/office/drawing/2014/chart" uri="{C3380CC4-5D6E-409C-BE32-E72D297353CC}">
              <c16:uniqueId val="{00000002-61C2-4F99-A55C-40BBEAE4F917}"/>
            </c:ext>
          </c:extLst>
        </c:ser>
        <c:ser>
          <c:idx val="3"/>
          <c:order val="3"/>
          <c:tx>
            <c:strRef>
              <c:f>'Pivot Table &amp; Charts'!$L$26</c:f>
              <c:strCache>
                <c:ptCount val="1"/>
                <c:pt idx="0">
                  <c:v>Shipped</c:v>
                </c:pt>
              </c:strCache>
            </c:strRef>
          </c:tx>
          <c:spPr>
            <a:solidFill>
              <a:schemeClr val="accent4"/>
            </a:solidFill>
            <a:ln>
              <a:no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16</c:v>
                </c:pt>
                <c:pt idx="1">
                  <c:v>23</c:v>
                </c:pt>
                <c:pt idx="2">
                  <c:v>20</c:v>
                </c:pt>
                <c:pt idx="3">
                  <c:v>18</c:v>
                </c:pt>
                <c:pt idx="4">
                  <c:v>22</c:v>
                </c:pt>
                <c:pt idx="5">
                  <c:v>20</c:v>
                </c:pt>
                <c:pt idx="6">
                  <c:v>26</c:v>
                </c:pt>
                <c:pt idx="7">
                  <c:v>34</c:v>
                </c:pt>
                <c:pt idx="8">
                  <c:v>28</c:v>
                </c:pt>
                <c:pt idx="9">
                  <c:v>28</c:v>
                </c:pt>
              </c:numCache>
            </c:numRef>
          </c:val>
          <c:extLst>
            <c:ext xmlns:c16="http://schemas.microsoft.com/office/drawing/2014/chart" uri="{C3380CC4-5D6E-409C-BE32-E72D297353CC}">
              <c16:uniqueId val="{00000003-61C2-4F99-A55C-40BBEAE4F917}"/>
            </c:ext>
          </c:extLst>
        </c:ser>
        <c:dLbls>
          <c:showLegendKey val="0"/>
          <c:showVal val="0"/>
          <c:showCatName val="0"/>
          <c:showSerName val="0"/>
          <c:showPercent val="0"/>
          <c:showBubbleSize val="0"/>
        </c:dLbls>
        <c:gapWidth val="150"/>
        <c:overlap val="100"/>
        <c:axId val="1444971504"/>
        <c:axId val="1444970544"/>
      </c:barChart>
      <c:catAx>
        <c:axId val="144497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0544"/>
        <c:crosses val="autoZero"/>
        <c:auto val="1"/>
        <c:lblAlgn val="ctr"/>
        <c:lblOffset val="100"/>
        <c:noMultiLvlLbl val="0"/>
      </c:catAx>
      <c:valAx>
        <c:axId val="144497054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Charts!PivotTable8</c:name>
    <c:fmtId val="18"/>
  </c:pivotSource>
  <c:chart>
    <c:title>
      <c:tx>
        <c:strRef>
          <c:f>'Pivot Table &amp; Charts'!$J$67</c:f>
          <c:strCache>
            <c:ptCount val="1"/>
            <c:pt idx="0">
              <c:v>Shipping Performance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 &amp; Charts'!$J$67</c:f>
              <c:strCache>
                <c:ptCount val="1"/>
                <c:pt idx="0">
                  <c:v>Delivered</c:v>
                </c:pt>
              </c:strCache>
            </c:strRef>
          </c:tx>
          <c:spPr>
            <a:solidFill>
              <a:schemeClr val="accent1"/>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106</c:v>
                </c:pt>
                <c:pt idx="1">
                  <c:v>109</c:v>
                </c:pt>
                <c:pt idx="2">
                  <c:v>133</c:v>
                </c:pt>
                <c:pt idx="3">
                  <c:v>124</c:v>
                </c:pt>
                <c:pt idx="4">
                  <c:v>130</c:v>
                </c:pt>
              </c:numCache>
            </c:numRef>
          </c:val>
          <c:extLst>
            <c:ext xmlns:c16="http://schemas.microsoft.com/office/drawing/2014/chart" uri="{C3380CC4-5D6E-409C-BE32-E72D297353CC}">
              <c16:uniqueId val="{00000000-94F6-4470-90C3-268DD9F3C3ED}"/>
            </c:ext>
          </c:extLst>
        </c:ser>
        <c:ser>
          <c:idx val="1"/>
          <c:order val="1"/>
          <c:tx>
            <c:strRef>
              <c:f>'Pivot Table &amp; Charts'!$J$67</c:f>
              <c:strCache>
                <c:ptCount val="1"/>
                <c:pt idx="0">
                  <c:v>Pending</c:v>
                </c:pt>
              </c:strCache>
            </c:strRef>
          </c:tx>
          <c:spPr>
            <a:solidFill>
              <a:schemeClr val="accent2"/>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13</c:v>
                </c:pt>
                <c:pt idx="1">
                  <c:v>16</c:v>
                </c:pt>
                <c:pt idx="2">
                  <c:v>17</c:v>
                </c:pt>
                <c:pt idx="3">
                  <c:v>19</c:v>
                </c:pt>
                <c:pt idx="4">
                  <c:v>26</c:v>
                </c:pt>
              </c:numCache>
            </c:numRef>
          </c:val>
          <c:extLst>
            <c:ext xmlns:c16="http://schemas.microsoft.com/office/drawing/2014/chart" uri="{C3380CC4-5D6E-409C-BE32-E72D297353CC}">
              <c16:uniqueId val="{00000001-94F6-4470-90C3-268DD9F3C3ED}"/>
            </c:ext>
          </c:extLst>
        </c:ser>
        <c:ser>
          <c:idx val="2"/>
          <c:order val="2"/>
          <c:tx>
            <c:strRef>
              <c:f>'Pivot Table &amp; Charts'!$J$67</c:f>
              <c:strCache>
                <c:ptCount val="1"/>
                <c:pt idx="0">
                  <c:v>Returned</c:v>
                </c:pt>
              </c:strCache>
            </c:strRef>
          </c:tx>
          <c:spPr>
            <a:solidFill>
              <a:schemeClr val="accent3"/>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15</c:v>
                </c:pt>
                <c:pt idx="1">
                  <c:v>13</c:v>
                </c:pt>
                <c:pt idx="2">
                  <c:v>11</c:v>
                </c:pt>
                <c:pt idx="3">
                  <c:v>16</c:v>
                </c:pt>
                <c:pt idx="4">
                  <c:v>17</c:v>
                </c:pt>
              </c:numCache>
            </c:numRef>
          </c:val>
          <c:extLst>
            <c:ext xmlns:c16="http://schemas.microsoft.com/office/drawing/2014/chart" uri="{C3380CC4-5D6E-409C-BE32-E72D297353CC}">
              <c16:uniqueId val="{00000003-8C0D-48E8-9CAD-4503E2536420}"/>
            </c:ext>
          </c:extLst>
        </c:ser>
        <c:ser>
          <c:idx val="3"/>
          <c:order val="3"/>
          <c:tx>
            <c:strRef>
              <c:f>'Pivot Table &amp; Charts'!$J$67</c:f>
              <c:strCache>
                <c:ptCount val="1"/>
                <c:pt idx="0">
                  <c:v>Shipped</c:v>
                </c:pt>
              </c:strCache>
            </c:strRef>
          </c:tx>
          <c:spPr>
            <a:solidFill>
              <a:schemeClr val="accent4"/>
            </a:solidFill>
            <a:ln>
              <a:noFill/>
            </a:ln>
            <a:effectLst/>
          </c:spPr>
          <c:invertIfNegative val="0"/>
          <c:cat>
            <c:strRef>
              <c:f>'Pivot Table &amp; Charts'!$J$67</c:f>
              <c:strCache>
                <c:ptCount val="5"/>
                <c:pt idx="0">
                  <c:v>Biodegradable Cleaning Cloth</c:v>
                </c:pt>
                <c:pt idx="1">
                  <c:v>Compostable Plant Pots</c:v>
                </c:pt>
                <c:pt idx="2">
                  <c:v>Eco Canvas Tote Bag</c:v>
                </c:pt>
                <c:pt idx="3">
                  <c:v>Reusable Bamboo Utensil Set</c:v>
                </c:pt>
                <c:pt idx="4">
                  <c:v>Solar Led Lantern</c:v>
                </c:pt>
              </c:strCache>
            </c:strRef>
          </c:cat>
          <c:val>
            <c:numRef>
              <c:f>'Pivot Table &amp; Charts'!$J$67</c:f>
              <c:numCache>
                <c:formatCode>General</c:formatCode>
                <c:ptCount val="5"/>
                <c:pt idx="0">
                  <c:v>49</c:v>
                </c:pt>
                <c:pt idx="1">
                  <c:v>36</c:v>
                </c:pt>
                <c:pt idx="2">
                  <c:v>58</c:v>
                </c:pt>
                <c:pt idx="3">
                  <c:v>39</c:v>
                </c:pt>
                <c:pt idx="4">
                  <c:v>53</c:v>
                </c:pt>
              </c:numCache>
            </c:numRef>
          </c:val>
          <c:extLst>
            <c:ext xmlns:c16="http://schemas.microsoft.com/office/drawing/2014/chart" uri="{C3380CC4-5D6E-409C-BE32-E72D297353CC}">
              <c16:uniqueId val="{00000004-8C0D-48E8-9CAD-4503E2536420}"/>
            </c:ext>
          </c:extLst>
        </c:ser>
        <c:dLbls>
          <c:showLegendKey val="0"/>
          <c:showVal val="0"/>
          <c:showCatName val="0"/>
          <c:showSerName val="0"/>
          <c:showPercent val="0"/>
          <c:showBubbleSize val="0"/>
        </c:dLbls>
        <c:gapWidth val="150"/>
        <c:overlap val="100"/>
        <c:axId val="1667297248"/>
        <c:axId val="1667293888"/>
      </c:barChart>
      <c:catAx>
        <c:axId val="1667297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3888"/>
        <c:crosses val="autoZero"/>
        <c:auto val="1"/>
        <c:lblAlgn val="ctr"/>
        <c:lblOffset val="100"/>
        <c:noMultiLvlLbl val="0"/>
      </c:catAx>
      <c:valAx>
        <c:axId val="16672938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29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Charts!PivotTable10</c:name>
    <c:fmtId val="8"/>
  </c:pivotSource>
  <c:chart>
    <c:title>
      <c:tx>
        <c:strRef>
          <c:f>'Pivot Table &amp; Charts'!$B$90</c:f>
          <c:strCache>
            <c:ptCount val="1"/>
            <c:pt idx="0">
              <c:v>Profit Concentration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Charts'!$B$90</c:f>
              <c:strCache>
                <c:ptCount val="1"/>
                <c:pt idx="0">
                  <c:v>Profit</c:v>
                </c:pt>
              </c:strCache>
            </c:strRef>
          </c:tx>
          <c:spPr>
            <a:solidFill>
              <a:schemeClr val="accent1"/>
            </a:solidFill>
            <a:ln>
              <a:noFill/>
            </a:ln>
            <a:effectLst/>
          </c:spPr>
          <c:invertIfNegative val="0"/>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General</c:formatCode>
                <c:ptCount val="5"/>
                <c:pt idx="0">
                  <c:v>7240.4499999999989</c:v>
                </c:pt>
                <c:pt idx="1">
                  <c:v>7813.3499999999976</c:v>
                </c:pt>
                <c:pt idx="2">
                  <c:v>11561.21</c:v>
                </c:pt>
                <c:pt idx="3">
                  <c:v>20008.09</c:v>
                </c:pt>
                <c:pt idx="4">
                  <c:v>35230.37999999999</c:v>
                </c:pt>
              </c:numCache>
            </c:numRef>
          </c:val>
          <c:extLst>
            <c:ext xmlns:c16="http://schemas.microsoft.com/office/drawing/2014/chart" uri="{C3380CC4-5D6E-409C-BE32-E72D297353CC}">
              <c16:uniqueId val="{00000000-C137-4D05-A912-15F069D87100}"/>
            </c:ext>
          </c:extLst>
        </c:ser>
        <c:dLbls>
          <c:showLegendKey val="0"/>
          <c:showVal val="0"/>
          <c:showCatName val="0"/>
          <c:showSerName val="0"/>
          <c:showPercent val="0"/>
          <c:showBubbleSize val="0"/>
        </c:dLbls>
        <c:gapWidth val="219"/>
        <c:axId val="1495563072"/>
        <c:axId val="1495562112"/>
      </c:barChart>
      <c:lineChart>
        <c:grouping val="standard"/>
        <c:varyColors val="0"/>
        <c:ser>
          <c:idx val="1"/>
          <c:order val="1"/>
          <c:tx>
            <c:strRef>
              <c:f>'Pivot Table &amp; Charts'!$B$90</c:f>
              <c:strCache>
                <c:ptCount val="1"/>
                <c:pt idx="0">
                  <c:v>Cummulative Profit</c:v>
                </c:pt>
              </c:strCache>
            </c:strRef>
          </c:tx>
          <c:spPr>
            <a:ln w="28575" cap="rnd">
              <a:solidFill>
                <a:schemeClr val="accent2"/>
              </a:solidFill>
              <a:round/>
            </a:ln>
            <a:effectLst/>
          </c:spPr>
          <c:marker>
            <c:symbol val="none"/>
          </c:marker>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0.00%</c:formatCode>
                <c:ptCount val="5"/>
                <c:pt idx="0">
                  <c:v>8.8456226906907326E-2</c:v>
                </c:pt>
                <c:pt idx="1">
                  <c:v>0.18391154536129678</c:v>
                </c:pt>
                <c:pt idx="2">
                  <c:v>0.32515428788122386</c:v>
                </c:pt>
                <c:pt idx="3">
                  <c:v>0.56959215417597397</c:v>
                </c:pt>
                <c:pt idx="4">
                  <c:v>1</c:v>
                </c:pt>
              </c:numCache>
            </c:numRef>
          </c:val>
          <c:smooth val="0"/>
          <c:extLst>
            <c:ext xmlns:c16="http://schemas.microsoft.com/office/drawing/2014/chart" uri="{C3380CC4-5D6E-409C-BE32-E72D297353CC}">
              <c16:uniqueId val="{00000004-C137-4D05-A912-15F069D87100}"/>
            </c:ext>
          </c:extLst>
        </c:ser>
        <c:dLbls>
          <c:showLegendKey val="0"/>
          <c:showVal val="0"/>
          <c:showCatName val="0"/>
          <c:showSerName val="0"/>
          <c:showPercent val="0"/>
          <c:showBubbleSize val="0"/>
        </c:dLbls>
        <c:marker val="1"/>
        <c:smooth val="0"/>
        <c:axId val="297771455"/>
        <c:axId val="297776735"/>
      </c:lineChart>
      <c:catAx>
        <c:axId val="14955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2112"/>
        <c:crosses val="autoZero"/>
        <c:auto val="1"/>
        <c:lblAlgn val="ctr"/>
        <c:lblOffset val="100"/>
        <c:noMultiLvlLbl val="0"/>
      </c:catAx>
      <c:valAx>
        <c:axId val="1495562112"/>
        <c:scaling>
          <c:orientation val="minMax"/>
          <c:max val="4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3072"/>
        <c:crosses val="autoZero"/>
        <c:crossBetween val="between"/>
      </c:valAx>
      <c:valAx>
        <c:axId val="297776735"/>
        <c:scaling>
          <c:orientation val="minMax"/>
          <c:max val="1"/>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Cummulative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71455"/>
        <c:crosses val="max"/>
        <c:crossBetween val="between"/>
      </c:valAx>
      <c:catAx>
        <c:axId val="297771455"/>
        <c:scaling>
          <c:orientation val="minMax"/>
        </c:scaling>
        <c:delete val="1"/>
        <c:axPos val="b"/>
        <c:numFmt formatCode="General" sourceLinked="1"/>
        <c:majorTickMark val="out"/>
        <c:minorTickMark val="none"/>
        <c:tickLblPos val="nextTo"/>
        <c:crossAx val="2977767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Charts!PivotTable11</c:name>
    <c:fmtId val="4"/>
  </c:pivotSource>
  <c:chart>
    <c:title>
      <c:tx>
        <c:strRef>
          <c:f>'Pivot Table &amp; Charts'!$B$104</c:f>
          <c:strCache>
            <c:ptCount val="1"/>
            <c:pt idx="0">
              <c:v>Monthly Revenue Trend</c:v>
            </c:pt>
          </c:strCache>
        </c:strRef>
      </c:tx>
      <c:layout>
        <c:manualLayout>
          <c:xMode val="edge"/>
          <c:yMode val="edge"/>
          <c:x val="0.37480286009006075"/>
          <c:y val="2.7227117056464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Charts'!$B$104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Charts'!$B$104</c:f>
              <c:numCache>
                <c:formatCode>General</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C222-43EF-BCF4-92362C1B2CCB}"/>
            </c:ext>
          </c:extLst>
        </c:ser>
        <c:dLbls>
          <c:dLblPos val="t"/>
          <c:showLegendKey val="0"/>
          <c:showVal val="1"/>
          <c:showCatName val="0"/>
          <c:showSerName val="0"/>
          <c:showPercent val="0"/>
          <c:showBubbleSize val="0"/>
        </c:dLbls>
        <c:smooth val="0"/>
        <c:axId val="858994847"/>
        <c:axId val="858995327"/>
      </c:lineChart>
      <c:catAx>
        <c:axId val="85899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5327"/>
        <c:crosses val="autoZero"/>
        <c:auto val="1"/>
        <c:lblAlgn val="ctr"/>
        <c:lblOffset val="100"/>
        <c:noMultiLvlLbl val="0"/>
      </c:catAx>
      <c:valAx>
        <c:axId val="85899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tx>
            <c:strRef>
              <c:f>'Pivot Table &amp; Charts'!$I$80</c:f>
              <c:strCache>
                <c:ptCount val="1"/>
                <c:pt idx="0">
                  <c:v>Orders vs Profit Contribution by Product Category</c:v>
                </c:pt>
              </c:strCache>
            </c:strRef>
          </c:tx>
          <c:spPr>
            <a:solidFill>
              <a:schemeClr val="accent1">
                <a:alpha val="75000"/>
              </a:schemeClr>
            </a:solidFill>
            <a:ln>
              <a:noFill/>
            </a:ln>
            <a:effectLst/>
          </c:spPr>
          <c:invertIfNegative val="0"/>
          <c:dLbls>
            <c:dLbl>
              <c:idx val="0"/>
              <c:tx>
                <c:rich>
                  <a:bodyPr/>
                  <a:lstStyle/>
                  <a:p>
                    <a:fld id="{44698CF2-A1E5-469A-B5E4-3B80D6D8312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E7C-400A-B631-DCB221A69782}"/>
                </c:ext>
              </c:extLst>
            </c:dLbl>
            <c:dLbl>
              <c:idx val="1"/>
              <c:layout>
                <c:manualLayout>
                  <c:x val="3.3333333333333229E-2"/>
                  <c:y val="1.3888888888888888E-2"/>
                </c:manualLayout>
              </c:layout>
              <c:tx>
                <c:rich>
                  <a:bodyPr/>
                  <a:lstStyle/>
                  <a:p>
                    <a:fld id="{9E418FB3-AF8A-4C1A-90CF-5DF60EAAAB7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E7C-400A-B631-DCB221A69782}"/>
                </c:ext>
              </c:extLst>
            </c:dLbl>
            <c:dLbl>
              <c:idx val="2"/>
              <c:layout>
                <c:manualLayout>
                  <c:x val="-1.6666666666666666E-2"/>
                  <c:y val="7.407407407407407E-2"/>
                </c:manualLayout>
              </c:layout>
              <c:tx>
                <c:rich>
                  <a:bodyPr/>
                  <a:lstStyle/>
                  <a:p>
                    <a:fld id="{AA7FB584-4E69-4A68-B000-50AD97A603C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E7C-400A-B631-DCB221A69782}"/>
                </c:ext>
              </c:extLst>
            </c:dLbl>
            <c:dLbl>
              <c:idx val="3"/>
              <c:tx>
                <c:rich>
                  <a:bodyPr/>
                  <a:lstStyle/>
                  <a:p>
                    <a:fld id="{EC210360-1919-424D-B2DC-AA24C0ED905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E7C-400A-B631-DCB221A69782}"/>
                </c:ext>
              </c:extLst>
            </c:dLbl>
            <c:dLbl>
              <c:idx val="4"/>
              <c:tx>
                <c:rich>
                  <a:bodyPr/>
                  <a:lstStyle/>
                  <a:p>
                    <a:fld id="{8896BC92-CF96-45BD-B239-3770E9FC8C5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E7C-400A-B631-DCB221A6978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'Pivot Table &amp; Charts'!$J$82:$J$86</c:f>
              <c:numCache>
                <c:formatCode>General</c:formatCode>
                <c:ptCount val="5"/>
                <c:pt idx="0">
                  <c:v>219</c:v>
                </c:pt>
                <c:pt idx="1">
                  <c:v>183</c:v>
                </c:pt>
                <c:pt idx="2">
                  <c:v>174</c:v>
                </c:pt>
                <c:pt idx="3">
                  <c:v>198</c:v>
                </c:pt>
                <c:pt idx="4">
                  <c:v>226</c:v>
                </c:pt>
              </c:numCache>
            </c:numRef>
          </c:xVal>
          <c:yVal>
            <c:numRef>
              <c:f>'Pivot Table &amp; Charts'!$K$82:$K$86</c:f>
              <c:numCache>
                <c:formatCode>General</c:formatCode>
                <c:ptCount val="5"/>
                <c:pt idx="0">
                  <c:v>20008.09</c:v>
                </c:pt>
                <c:pt idx="1">
                  <c:v>7240.4499999999989</c:v>
                </c:pt>
                <c:pt idx="2">
                  <c:v>7813.3499999999976</c:v>
                </c:pt>
                <c:pt idx="3">
                  <c:v>11561.21</c:v>
                </c:pt>
                <c:pt idx="4">
                  <c:v>35230.37999999999</c:v>
                </c:pt>
              </c:numCache>
            </c:numRef>
          </c:yVal>
          <c:bubbleSize>
            <c:numRef>
              <c:f>'Pivot Table &amp; Charts'!$L$82:$L$86</c:f>
              <c:numCache>
                <c:formatCode>General</c:formatCode>
                <c:ptCount val="5"/>
                <c:pt idx="0">
                  <c:v>131.05022831050229</c:v>
                </c:pt>
                <c:pt idx="1">
                  <c:v>56.393442622950822</c:v>
                </c:pt>
                <c:pt idx="2">
                  <c:v>64.758620689655174</c:v>
                </c:pt>
                <c:pt idx="3">
                  <c:v>83.787878787878782</c:v>
                </c:pt>
                <c:pt idx="4">
                  <c:v>223.00884955752213</c:v>
                </c:pt>
              </c:numCache>
            </c:numRef>
          </c:bubbleSize>
          <c:bubble3D val="0"/>
          <c:extLst>
            <c:ext xmlns:c15="http://schemas.microsoft.com/office/drawing/2012/chart" uri="{02D57815-91ED-43cb-92C2-25804820EDAC}">
              <c15:datalabelsRange>
                <c15:f>'Pivot Table &amp; Charts'!$I$82:$I$86</c15:f>
                <c15:dlblRangeCache>
                  <c:ptCount val="5"/>
                  <c:pt idx="0">
                    <c:v>Bags</c:v>
                  </c:pt>
                  <c:pt idx="1">
                    <c:v>Cleaning</c:v>
                  </c:pt>
                  <c:pt idx="2">
                    <c:v>Gardening</c:v>
                  </c:pt>
                  <c:pt idx="3">
                    <c:v>Kitchenware</c:v>
                  </c:pt>
                  <c:pt idx="4">
                    <c:v>Lighting</c:v>
                  </c:pt>
                </c15:dlblRangeCache>
              </c15:datalabelsRange>
            </c:ext>
            <c:ext xmlns:c16="http://schemas.microsoft.com/office/drawing/2014/chart" uri="{C3380CC4-5D6E-409C-BE32-E72D297353CC}">
              <c16:uniqueId val="{00000005-7E7C-400A-B631-DCB221A69782}"/>
            </c:ext>
          </c:extLst>
        </c:ser>
        <c:dLbls>
          <c:showLegendKey val="0"/>
          <c:showVal val="1"/>
          <c:showCatName val="0"/>
          <c:showSerName val="0"/>
          <c:showPercent val="0"/>
          <c:showBubbleSize val="0"/>
        </c:dLbls>
        <c:bubbleScale val="100"/>
        <c:showNegBubbles val="0"/>
        <c:axId val="1478803776"/>
        <c:axId val="1478806176"/>
      </c:bubbleChart>
      <c:valAx>
        <c:axId val="1478803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6176"/>
        <c:crosses val="autoZero"/>
        <c:crossBetween val="midCat"/>
      </c:valAx>
      <c:valAx>
        <c:axId val="1478806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8037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Charts!PivotTable12</c:name>
    <c:fmtId val="13"/>
  </c:pivotSource>
  <c:chart>
    <c:title>
      <c:tx>
        <c:strRef>
          <c:f>'Pivot Table &amp; Charts'!$G$90</c:f>
          <c:strCache>
            <c:ptCount val="1"/>
            <c:pt idx="0">
              <c:v>Average Order Value (AOV) by Product  Category</c:v>
            </c:pt>
          </c:strCache>
        </c:strRef>
      </c:tx>
      <c:layout>
        <c:manualLayout>
          <c:xMode val="edge"/>
          <c:yMode val="edge"/>
          <c:x val="0.4576041119860018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&amp; Charts'!$G$90</c:f>
              <c:strCache>
                <c:ptCount val="1"/>
                <c:pt idx="0">
                  <c:v>Total</c:v>
                </c:pt>
              </c:strCache>
            </c:strRef>
          </c:tx>
          <c:spPr>
            <a:solidFill>
              <a:schemeClr val="accent1"/>
            </a:solidFill>
            <a:ln>
              <a:noFill/>
            </a:ln>
            <a:effectLst/>
          </c:spPr>
          <c:invertIfNegative val="0"/>
          <c:cat>
            <c:strRef>
              <c:f>'Pivot Table &amp; Charts'!$G$90</c:f>
              <c:strCache>
                <c:ptCount val="5"/>
                <c:pt idx="0">
                  <c:v>Bags</c:v>
                </c:pt>
                <c:pt idx="1">
                  <c:v>Cleaning</c:v>
                </c:pt>
                <c:pt idx="2">
                  <c:v>Gardening</c:v>
                </c:pt>
                <c:pt idx="3">
                  <c:v>Kitchenware</c:v>
                </c:pt>
                <c:pt idx="4">
                  <c:v>Lighting</c:v>
                </c:pt>
              </c:strCache>
            </c:strRef>
          </c:cat>
          <c:val>
            <c:numRef>
              <c:f>'Pivot Table &amp; Charts'!$G$90</c:f>
              <c:numCache>
                <c:formatCode>General</c:formatCode>
                <c:ptCount val="5"/>
                <c:pt idx="0">
                  <c:v>131.05022831050229</c:v>
                </c:pt>
                <c:pt idx="1">
                  <c:v>56.393442622950822</c:v>
                </c:pt>
                <c:pt idx="2">
                  <c:v>64.758620689655174</c:v>
                </c:pt>
                <c:pt idx="3">
                  <c:v>83.787878787878782</c:v>
                </c:pt>
                <c:pt idx="4">
                  <c:v>223.00884955752213</c:v>
                </c:pt>
              </c:numCache>
            </c:numRef>
          </c:val>
          <c:extLst>
            <c:ext xmlns:c16="http://schemas.microsoft.com/office/drawing/2014/chart" uri="{C3380CC4-5D6E-409C-BE32-E72D297353CC}">
              <c16:uniqueId val="{00000000-8454-45FA-B996-AC9CDF9E23FC}"/>
            </c:ext>
          </c:extLst>
        </c:ser>
        <c:dLbls>
          <c:showLegendKey val="0"/>
          <c:showVal val="0"/>
          <c:showCatName val="0"/>
          <c:showSerName val="0"/>
          <c:showPercent val="0"/>
          <c:showBubbleSize val="0"/>
        </c:dLbls>
        <c:gapWidth val="219"/>
        <c:overlap val="-27"/>
        <c:axId val="61039407"/>
        <c:axId val="61035567"/>
      </c:barChart>
      <c:catAx>
        <c:axId val="6103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5567"/>
        <c:crosses val="autoZero"/>
        <c:auto val="1"/>
        <c:lblAlgn val="ctr"/>
        <c:lblOffset val="100"/>
        <c:noMultiLvlLbl val="0"/>
      </c:catAx>
      <c:valAx>
        <c:axId val="6103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3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Charts!PivotTable14</c:name>
    <c:fmtId val="14"/>
  </c:pivotSource>
  <c:chart>
    <c:title>
      <c:tx>
        <c:strRef>
          <c:f>'Pivot Table &amp; Charts'!$G$104</c:f>
          <c:strCache>
            <c:ptCount val="1"/>
            <c:pt idx="0">
              <c:v>Top 10 Customers by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Charts'!$G$104</c:f>
              <c:strCache>
                <c:ptCount val="1"/>
                <c:pt idx="0">
                  <c:v>Total</c:v>
                </c:pt>
              </c:strCache>
            </c:strRef>
          </c:tx>
          <c:spPr>
            <a:solidFill>
              <a:schemeClr val="accent1"/>
            </a:solidFill>
            <a:ln>
              <a:noFill/>
            </a:ln>
            <a:effectLst/>
          </c:spPr>
          <c:invertIfNegative val="0"/>
          <c:cat>
            <c:strRef>
              <c:f>'Pivot Table &amp; Charts'!$G$104</c:f>
              <c:strCache>
                <c:ptCount val="10"/>
                <c:pt idx="0">
                  <c:v>James Brown</c:v>
                </c:pt>
                <c:pt idx="1">
                  <c:v>Mia Johnson</c:v>
                </c:pt>
                <c:pt idx="2">
                  <c:v>Charlotte Garcia</c:v>
                </c:pt>
                <c:pt idx="3">
                  <c:v>Noah Williams</c:v>
                </c:pt>
                <c:pt idx="4">
                  <c:v>Olivia Garcia</c:v>
                </c:pt>
                <c:pt idx="5">
                  <c:v>Lucas Williams</c:v>
                </c:pt>
                <c:pt idx="6">
                  <c:v>Ava Rodriguez</c:v>
                </c:pt>
                <c:pt idx="7">
                  <c:v>Amelia Johnson</c:v>
                </c:pt>
                <c:pt idx="8">
                  <c:v>Oliver Johnson</c:v>
                </c:pt>
                <c:pt idx="9">
                  <c:v>Evelyn Martinez</c:v>
                </c:pt>
              </c:strCache>
            </c:strRef>
          </c:cat>
          <c:val>
            <c:numRef>
              <c:f>'Pivot Table &amp; Charts'!$G$104</c:f>
              <c:numCache>
                <c:formatCode>General</c:formatCode>
                <c:ptCount val="10"/>
                <c:pt idx="0">
                  <c:v>2050</c:v>
                </c:pt>
                <c:pt idx="1">
                  <c:v>2077</c:v>
                </c:pt>
                <c:pt idx="2">
                  <c:v>2230</c:v>
                </c:pt>
                <c:pt idx="3">
                  <c:v>2283</c:v>
                </c:pt>
                <c:pt idx="4">
                  <c:v>2374</c:v>
                </c:pt>
                <c:pt idx="5">
                  <c:v>2490</c:v>
                </c:pt>
                <c:pt idx="6">
                  <c:v>2496</c:v>
                </c:pt>
                <c:pt idx="7">
                  <c:v>2588</c:v>
                </c:pt>
                <c:pt idx="8">
                  <c:v>2808</c:v>
                </c:pt>
                <c:pt idx="9">
                  <c:v>3215</c:v>
                </c:pt>
              </c:numCache>
            </c:numRef>
          </c:val>
          <c:extLst>
            <c:ext xmlns:c16="http://schemas.microsoft.com/office/drawing/2014/chart" uri="{C3380CC4-5D6E-409C-BE32-E72D297353CC}">
              <c16:uniqueId val="{00000000-316F-4013-8B5A-23C1A6A0FC8D}"/>
            </c:ext>
          </c:extLst>
        </c:ser>
        <c:dLbls>
          <c:showLegendKey val="0"/>
          <c:showVal val="0"/>
          <c:showCatName val="0"/>
          <c:showSerName val="0"/>
          <c:showPercent val="0"/>
          <c:showBubbleSize val="0"/>
        </c:dLbls>
        <c:gapWidth val="182"/>
        <c:axId val="1518700704"/>
        <c:axId val="1670835104"/>
      </c:barChart>
      <c:catAx>
        <c:axId val="151870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35104"/>
        <c:crosses val="autoZero"/>
        <c:auto val="1"/>
        <c:lblAlgn val="ctr"/>
        <c:lblOffset val="100"/>
        <c:noMultiLvlLbl val="0"/>
      </c:catAx>
      <c:valAx>
        <c:axId val="1670835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0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&amp; Charts'!$B$122</c:f>
              <c:strCache>
                <c:ptCount val="1"/>
                <c:pt idx="0">
                  <c:v>Return Rate by Product Category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Charts'!$B$124:$B$128</c:f>
              <c:strCache>
                <c:ptCount val="5"/>
                <c:pt idx="0">
                  <c:v>Bags</c:v>
                </c:pt>
                <c:pt idx="1">
                  <c:v>Cleaning</c:v>
                </c:pt>
                <c:pt idx="2">
                  <c:v>Gardening</c:v>
                </c:pt>
                <c:pt idx="3">
                  <c:v>Kitchenware</c:v>
                </c:pt>
                <c:pt idx="4">
                  <c:v>Lighting</c:v>
                </c:pt>
              </c:strCache>
            </c:strRef>
          </c:cat>
          <c:val>
            <c:numRef>
              <c:f>'Pivot Table &amp; Charts'!$E$124:$E$128</c:f>
              <c:numCache>
                <c:formatCode>0.0%</c:formatCode>
                <c:ptCount val="5"/>
                <c:pt idx="0">
                  <c:v>5.0228310502283102E-2</c:v>
                </c:pt>
                <c:pt idx="1">
                  <c:v>8.1967213114754092E-2</c:v>
                </c:pt>
                <c:pt idx="2">
                  <c:v>7.4712643678160925E-2</c:v>
                </c:pt>
                <c:pt idx="3">
                  <c:v>8.0808080808080815E-2</c:v>
                </c:pt>
                <c:pt idx="4">
                  <c:v>7.5221238938053103E-2</c:v>
                </c:pt>
              </c:numCache>
            </c:numRef>
          </c:val>
          <c:extLst>
            <c:ext xmlns:c16="http://schemas.microsoft.com/office/drawing/2014/chart" uri="{C3380CC4-5D6E-409C-BE32-E72D297353CC}">
              <c16:uniqueId val="{00000000-77BB-495D-9FC9-201825587CD0}"/>
            </c:ext>
          </c:extLst>
        </c:ser>
        <c:dLbls>
          <c:dLblPos val="outEnd"/>
          <c:showLegendKey val="0"/>
          <c:showVal val="1"/>
          <c:showCatName val="0"/>
          <c:showSerName val="0"/>
          <c:showPercent val="0"/>
          <c:showBubbleSize val="0"/>
        </c:dLbls>
        <c:gapWidth val="219"/>
        <c:overlap val="-27"/>
        <c:axId val="1734223455"/>
        <c:axId val="1727706415"/>
      </c:barChart>
      <c:catAx>
        <c:axId val="1734223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06415"/>
        <c:crosses val="autoZero"/>
        <c:auto val="1"/>
        <c:lblAlgn val="ctr"/>
        <c:lblOffset val="100"/>
        <c:noMultiLvlLbl val="0"/>
      </c:catAx>
      <c:valAx>
        <c:axId val="1727706415"/>
        <c:scaling>
          <c:orientation val="minMax"/>
        </c:scaling>
        <c:delete val="1"/>
        <c:axPos val="l"/>
        <c:numFmt formatCode="0.0%" sourceLinked="1"/>
        <c:majorTickMark val="none"/>
        <c:minorTickMark val="none"/>
        <c:tickLblPos val="nextTo"/>
        <c:crossAx val="173422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Charts!PivotTable11</c:name>
    <c:fmtId val="15"/>
  </c:pivotSource>
  <c:chart>
    <c:title>
      <c:tx>
        <c:strRef>
          <c:f>'Pivot Table &amp; Charts'!$B$104</c:f>
          <c:strCache>
            <c:ptCount val="1"/>
            <c:pt idx="0">
              <c:v>Monthly Revenue Trend</c:v>
            </c:pt>
          </c:strCache>
        </c:strRef>
      </c:tx>
      <c:layout>
        <c:manualLayout>
          <c:xMode val="edge"/>
          <c:yMode val="edge"/>
          <c:x val="0.37480286009006075"/>
          <c:y val="2.72271170564645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rgbClr val="556B2F"/>
            </a:solidFill>
            <a:round/>
          </a:ln>
          <a:effectLst/>
        </c:spPr>
        <c:marker>
          <c:symbol val="circle"/>
          <c:size val="5"/>
          <c:spPr>
            <a:solidFill>
              <a:schemeClr val="accent1"/>
            </a:solidFill>
            <a:ln w="9525">
              <a:solidFill>
                <a:srgbClr val="6B8E2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&amp; Charts'!$B$104</c:f>
              <c:strCache>
                <c:ptCount val="1"/>
                <c:pt idx="0">
                  <c:v>Total</c:v>
                </c:pt>
              </c:strCache>
            </c:strRef>
          </c:tx>
          <c:spPr>
            <a:ln w="38100" cap="rnd">
              <a:solidFill>
                <a:srgbClr val="556B2F"/>
              </a:solidFill>
              <a:round/>
            </a:ln>
            <a:effectLst/>
          </c:spPr>
          <c:marker>
            <c:symbol val="circle"/>
            <c:size val="5"/>
            <c:spPr>
              <a:solidFill>
                <a:schemeClr val="accent1"/>
              </a:solidFill>
              <a:ln w="9525">
                <a:solidFill>
                  <a:srgbClr val="6B8E23"/>
                </a:solidFill>
              </a:ln>
              <a:effectLst/>
            </c:spPr>
          </c:marker>
          <c:dPt>
            <c:idx val="11"/>
            <c:marker>
              <c:symbol val="circle"/>
              <c:size val="5"/>
              <c:spPr>
                <a:solidFill>
                  <a:schemeClr val="accent1"/>
                </a:solidFill>
                <a:ln w="9525">
                  <a:solidFill>
                    <a:srgbClr val="6B8E23"/>
                  </a:solidFill>
                </a:ln>
                <a:effectLst/>
              </c:spPr>
            </c:marker>
            <c:bubble3D val="0"/>
            <c:spPr>
              <a:ln w="38100" cap="rnd">
                <a:solidFill>
                  <a:srgbClr val="556B2F"/>
                </a:solidFill>
                <a:round/>
              </a:ln>
              <a:effectLst/>
            </c:spPr>
            <c:extLst>
              <c:ext xmlns:c16="http://schemas.microsoft.com/office/drawing/2014/chart" uri="{C3380CC4-5D6E-409C-BE32-E72D297353CC}">
                <c16:uniqueId val="{00000001-771C-458A-AD69-1AD723C6F3D1}"/>
              </c:ext>
            </c:extLst>
          </c:dPt>
          <c:dLbls>
            <c:dLbl>
              <c:idx val="11"/>
              <c:layout>
                <c:manualLayout>
                  <c:x val="-2.8516700178031068E-2"/>
                  <c:y val="-7.4185627067807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1C-458A-AD69-1AD723C6F3D1}"/>
                </c:ext>
              </c:extLst>
            </c:dLbl>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Charts'!$B$104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Charts'!$B$104</c:f>
              <c:numCache>
                <c:formatCode>General</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0-771C-458A-AD69-1AD723C6F3D1}"/>
            </c:ext>
          </c:extLst>
        </c:ser>
        <c:dLbls>
          <c:dLblPos val="t"/>
          <c:showLegendKey val="0"/>
          <c:showVal val="1"/>
          <c:showCatName val="0"/>
          <c:showSerName val="0"/>
          <c:showPercent val="0"/>
          <c:showBubbleSize val="0"/>
        </c:dLbls>
        <c:marker val="1"/>
        <c:smooth val="0"/>
        <c:axId val="858994847"/>
        <c:axId val="858995327"/>
      </c:lineChart>
      <c:catAx>
        <c:axId val="858994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995327"/>
        <c:crosses val="autoZero"/>
        <c:auto val="1"/>
        <c:lblAlgn val="ctr"/>
        <c:lblOffset val="100"/>
        <c:noMultiLvlLbl val="0"/>
      </c:catAx>
      <c:valAx>
        <c:axId val="858995327"/>
        <c:scaling>
          <c:orientation val="minMax"/>
        </c:scaling>
        <c:delete val="1"/>
        <c:axPos val="l"/>
        <c:numFmt formatCode="General" sourceLinked="1"/>
        <c:majorTickMark val="none"/>
        <c:minorTickMark val="none"/>
        <c:tickLblPos val="nextTo"/>
        <c:crossAx val="85899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Charts!PivotTable4</c:name>
    <c:fmtId val="14"/>
  </c:pivotSource>
  <c:chart>
    <c:title>
      <c:tx>
        <c:strRef>
          <c:f>'Pivot Table &amp; Charts'!$L$26</c:f>
          <c:strCache>
            <c:ptCount val="1"/>
            <c:pt idx="0">
              <c:v>Shipping Performance by State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56B2F"/>
          </a:solidFill>
          <a:ln>
            <a:solidFill>
              <a:srgbClr val="556B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C9A227"/>
          </a:solidFill>
          <a:ln>
            <a:solidFill>
              <a:srgbClr val="C9A2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9C4F4F"/>
          </a:solidFill>
          <a:ln>
            <a:solidFill>
              <a:srgbClr val="9C4F4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D8D6CE"/>
          </a:solidFill>
          <a:ln>
            <a:solidFill>
              <a:srgbClr val="BFB8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3745959710269"/>
          <c:y val="0.20176087306764851"/>
          <c:w val="0.61964796856437676"/>
          <c:h val="0.66340613299033246"/>
        </c:manualLayout>
      </c:layout>
      <c:barChart>
        <c:barDir val="bar"/>
        <c:grouping val="percentStacked"/>
        <c:varyColors val="0"/>
        <c:ser>
          <c:idx val="0"/>
          <c:order val="0"/>
          <c:tx>
            <c:strRef>
              <c:f>'Pivot Table &amp; Charts'!$L$26</c:f>
              <c:strCache>
                <c:ptCount val="1"/>
                <c:pt idx="0">
                  <c:v>Delivered</c:v>
                </c:pt>
              </c:strCache>
            </c:strRef>
          </c:tx>
          <c:spPr>
            <a:solidFill>
              <a:srgbClr val="556B2F"/>
            </a:solidFill>
            <a:ln>
              <a:solidFill>
                <a:srgbClr val="556B2F"/>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59</c:v>
                </c:pt>
                <c:pt idx="1">
                  <c:v>52</c:v>
                </c:pt>
                <c:pt idx="2">
                  <c:v>55</c:v>
                </c:pt>
                <c:pt idx="3">
                  <c:v>66</c:v>
                </c:pt>
                <c:pt idx="4">
                  <c:v>62</c:v>
                </c:pt>
                <c:pt idx="5">
                  <c:v>54</c:v>
                </c:pt>
                <c:pt idx="6">
                  <c:v>64</c:v>
                </c:pt>
                <c:pt idx="7">
                  <c:v>80</c:v>
                </c:pt>
                <c:pt idx="8">
                  <c:v>54</c:v>
                </c:pt>
                <c:pt idx="9">
                  <c:v>56</c:v>
                </c:pt>
              </c:numCache>
            </c:numRef>
          </c:val>
          <c:extLst>
            <c:ext xmlns:c16="http://schemas.microsoft.com/office/drawing/2014/chart" uri="{C3380CC4-5D6E-409C-BE32-E72D297353CC}">
              <c16:uniqueId val="{00000000-47E4-448E-A78E-E88EF8B9B3B8}"/>
            </c:ext>
          </c:extLst>
        </c:ser>
        <c:ser>
          <c:idx val="1"/>
          <c:order val="1"/>
          <c:tx>
            <c:strRef>
              <c:f>'Pivot Table &amp; Charts'!$L$26</c:f>
              <c:strCache>
                <c:ptCount val="1"/>
                <c:pt idx="0">
                  <c:v>Pending</c:v>
                </c:pt>
              </c:strCache>
            </c:strRef>
          </c:tx>
          <c:spPr>
            <a:solidFill>
              <a:srgbClr val="C9A227"/>
            </a:solidFill>
            <a:ln>
              <a:solidFill>
                <a:srgbClr val="C9A227"/>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9</c:v>
                </c:pt>
                <c:pt idx="1">
                  <c:v>9</c:v>
                </c:pt>
                <c:pt idx="2">
                  <c:v>11</c:v>
                </c:pt>
                <c:pt idx="3">
                  <c:v>11</c:v>
                </c:pt>
                <c:pt idx="4">
                  <c:v>7</c:v>
                </c:pt>
                <c:pt idx="5">
                  <c:v>8</c:v>
                </c:pt>
                <c:pt idx="6">
                  <c:v>13</c:v>
                </c:pt>
                <c:pt idx="7">
                  <c:v>4</c:v>
                </c:pt>
                <c:pt idx="8">
                  <c:v>11</c:v>
                </c:pt>
                <c:pt idx="9">
                  <c:v>8</c:v>
                </c:pt>
              </c:numCache>
            </c:numRef>
          </c:val>
          <c:extLst>
            <c:ext xmlns:c16="http://schemas.microsoft.com/office/drawing/2014/chart" uri="{C3380CC4-5D6E-409C-BE32-E72D297353CC}">
              <c16:uniqueId val="{00000001-47E4-448E-A78E-E88EF8B9B3B8}"/>
            </c:ext>
          </c:extLst>
        </c:ser>
        <c:ser>
          <c:idx val="2"/>
          <c:order val="2"/>
          <c:tx>
            <c:strRef>
              <c:f>'Pivot Table &amp; Charts'!$L$26</c:f>
              <c:strCache>
                <c:ptCount val="1"/>
                <c:pt idx="0">
                  <c:v>Returned</c:v>
                </c:pt>
              </c:strCache>
            </c:strRef>
          </c:tx>
          <c:spPr>
            <a:solidFill>
              <a:srgbClr val="9C4F4F"/>
            </a:solidFill>
            <a:ln>
              <a:solidFill>
                <a:srgbClr val="9C4F4F"/>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3</c:v>
                </c:pt>
                <c:pt idx="1">
                  <c:v>3</c:v>
                </c:pt>
                <c:pt idx="2">
                  <c:v>6</c:v>
                </c:pt>
                <c:pt idx="3">
                  <c:v>7</c:v>
                </c:pt>
                <c:pt idx="4">
                  <c:v>9</c:v>
                </c:pt>
                <c:pt idx="5">
                  <c:v>12</c:v>
                </c:pt>
                <c:pt idx="6">
                  <c:v>9</c:v>
                </c:pt>
                <c:pt idx="7">
                  <c:v>5</c:v>
                </c:pt>
                <c:pt idx="8">
                  <c:v>10</c:v>
                </c:pt>
                <c:pt idx="9">
                  <c:v>8</c:v>
                </c:pt>
              </c:numCache>
            </c:numRef>
          </c:val>
          <c:extLst>
            <c:ext xmlns:c16="http://schemas.microsoft.com/office/drawing/2014/chart" uri="{C3380CC4-5D6E-409C-BE32-E72D297353CC}">
              <c16:uniqueId val="{00000002-47E4-448E-A78E-E88EF8B9B3B8}"/>
            </c:ext>
          </c:extLst>
        </c:ser>
        <c:ser>
          <c:idx val="3"/>
          <c:order val="3"/>
          <c:tx>
            <c:strRef>
              <c:f>'Pivot Table &amp; Charts'!$L$26</c:f>
              <c:strCache>
                <c:ptCount val="1"/>
                <c:pt idx="0">
                  <c:v>Shipped</c:v>
                </c:pt>
              </c:strCache>
            </c:strRef>
          </c:tx>
          <c:spPr>
            <a:solidFill>
              <a:srgbClr val="D8D6CE"/>
            </a:solidFill>
            <a:ln>
              <a:solidFill>
                <a:srgbClr val="BFB8A5"/>
              </a:solidFill>
            </a:ln>
            <a:effectLst/>
          </c:spPr>
          <c:invertIfNegative val="0"/>
          <c:cat>
            <c:strRef>
              <c:f>'Pivot Table &amp; Charts'!$L$26</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Charts'!$L$26</c:f>
              <c:numCache>
                <c:formatCode>General</c:formatCode>
                <c:ptCount val="10"/>
                <c:pt idx="0">
                  <c:v>16</c:v>
                </c:pt>
                <c:pt idx="1">
                  <c:v>23</c:v>
                </c:pt>
                <c:pt idx="2">
                  <c:v>20</c:v>
                </c:pt>
                <c:pt idx="3">
                  <c:v>18</c:v>
                </c:pt>
                <c:pt idx="4">
                  <c:v>22</c:v>
                </c:pt>
                <c:pt idx="5">
                  <c:v>20</c:v>
                </c:pt>
                <c:pt idx="6">
                  <c:v>26</c:v>
                </c:pt>
                <c:pt idx="7">
                  <c:v>34</c:v>
                </c:pt>
                <c:pt idx="8">
                  <c:v>28</c:v>
                </c:pt>
                <c:pt idx="9">
                  <c:v>28</c:v>
                </c:pt>
              </c:numCache>
            </c:numRef>
          </c:val>
          <c:extLst>
            <c:ext xmlns:c16="http://schemas.microsoft.com/office/drawing/2014/chart" uri="{C3380CC4-5D6E-409C-BE32-E72D297353CC}">
              <c16:uniqueId val="{00000003-47E4-448E-A78E-E88EF8B9B3B8}"/>
            </c:ext>
          </c:extLst>
        </c:ser>
        <c:dLbls>
          <c:showLegendKey val="0"/>
          <c:showVal val="0"/>
          <c:showCatName val="0"/>
          <c:showSerName val="0"/>
          <c:showPercent val="0"/>
          <c:showBubbleSize val="0"/>
        </c:dLbls>
        <c:gapWidth val="40"/>
        <c:overlap val="100"/>
        <c:axId val="1444971504"/>
        <c:axId val="1444970544"/>
      </c:barChart>
      <c:catAx>
        <c:axId val="1444971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0544"/>
        <c:crosses val="autoZero"/>
        <c:auto val="1"/>
        <c:lblAlgn val="ctr"/>
        <c:lblOffset val="100"/>
        <c:noMultiLvlLbl val="0"/>
      </c:catAx>
      <c:valAx>
        <c:axId val="1444970544"/>
        <c:scaling>
          <c:orientation val="minMax"/>
        </c:scaling>
        <c:delete val="0"/>
        <c:axPos val="b"/>
        <c:numFmt formatCode="0%"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9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Charts!PivotTable10</c:name>
    <c:fmtId val="29"/>
  </c:pivotSource>
  <c:chart>
    <c:title>
      <c:tx>
        <c:strRef>
          <c:f>'Pivot Table &amp; Charts'!$B$90</c:f>
          <c:strCache>
            <c:ptCount val="1"/>
            <c:pt idx="0">
              <c:v>Profit Concentration by Product</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C4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Charts'!$B$90</c:f>
              <c:strCache>
                <c:ptCount val="1"/>
                <c:pt idx="0">
                  <c:v>Profit</c:v>
                </c:pt>
              </c:strCache>
            </c:strRef>
          </c:tx>
          <c:spPr>
            <a:solidFill>
              <a:srgbClr val="556B2F"/>
            </a:solidFill>
            <a:ln>
              <a:noFill/>
            </a:ln>
            <a:effectLst/>
          </c:spPr>
          <c:invertIfNegative val="0"/>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General</c:formatCode>
                <c:ptCount val="5"/>
                <c:pt idx="0">
                  <c:v>7240.4499999999989</c:v>
                </c:pt>
                <c:pt idx="1">
                  <c:v>7813.3499999999976</c:v>
                </c:pt>
                <c:pt idx="2">
                  <c:v>11561.21</c:v>
                </c:pt>
                <c:pt idx="3">
                  <c:v>20008.09</c:v>
                </c:pt>
                <c:pt idx="4">
                  <c:v>35230.37999999999</c:v>
                </c:pt>
              </c:numCache>
            </c:numRef>
          </c:val>
          <c:extLst>
            <c:ext xmlns:c16="http://schemas.microsoft.com/office/drawing/2014/chart" uri="{C3380CC4-5D6E-409C-BE32-E72D297353CC}">
              <c16:uniqueId val="{00000000-1FA9-4986-9548-74ED60422057}"/>
            </c:ext>
          </c:extLst>
        </c:ser>
        <c:dLbls>
          <c:showLegendKey val="0"/>
          <c:showVal val="0"/>
          <c:showCatName val="0"/>
          <c:showSerName val="0"/>
          <c:showPercent val="0"/>
          <c:showBubbleSize val="0"/>
        </c:dLbls>
        <c:gapWidth val="40"/>
        <c:axId val="1495563072"/>
        <c:axId val="1495562112"/>
      </c:barChart>
      <c:lineChart>
        <c:grouping val="standard"/>
        <c:varyColors val="0"/>
        <c:ser>
          <c:idx val="1"/>
          <c:order val="1"/>
          <c:tx>
            <c:strRef>
              <c:f>'Pivot Table &amp; Charts'!$B$90</c:f>
              <c:strCache>
                <c:ptCount val="1"/>
                <c:pt idx="0">
                  <c:v>Cummulative Profit</c:v>
                </c:pt>
              </c:strCache>
            </c:strRef>
          </c:tx>
          <c:spPr>
            <a:ln w="28575" cap="rnd">
              <a:solidFill>
                <a:srgbClr val="9C4F4F"/>
              </a:solidFill>
              <a:round/>
            </a:ln>
            <a:effectLst/>
          </c:spPr>
          <c:marker>
            <c:symbol val="none"/>
          </c:marker>
          <c:cat>
            <c:strRef>
              <c:f>'Pivot Table &amp; Charts'!$B$90</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Charts'!$B$90</c:f>
              <c:numCache>
                <c:formatCode>0.00%</c:formatCode>
                <c:ptCount val="5"/>
                <c:pt idx="0">
                  <c:v>8.8456226906907326E-2</c:v>
                </c:pt>
                <c:pt idx="1">
                  <c:v>0.18391154536129678</c:v>
                </c:pt>
                <c:pt idx="2">
                  <c:v>0.32515428788122386</c:v>
                </c:pt>
                <c:pt idx="3">
                  <c:v>0.56959215417597397</c:v>
                </c:pt>
                <c:pt idx="4">
                  <c:v>1</c:v>
                </c:pt>
              </c:numCache>
            </c:numRef>
          </c:val>
          <c:smooth val="0"/>
          <c:extLst>
            <c:ext xmlns:c16="http://schemas.microsoft.com/office/drawing/2014/chart" uri="{C3380CC4-5D6E-409C-BE32-E72D297353CC}">
              <c16:uniqueId val="{00000001-1FA9-4986-9548-74ED60422057}"/>
            </c:ext>
          </c:extLst>
        </c:ser>
        <c:dLbls>
          <c:showLegendKey val="0"/>
          <c:showVal val="0"/>
          <c:showCatName val="0"/>
          <c:showSerName val="0"/>
          <c:showPercent val="0"/>
          <c:showBubbleSize val="0"/>
        </c:dLbls>
        <c:marker val="1"/>
        <c:smooth val="0"/>
        <c:axId val="297771455"/>
        <c:axId val="297776735"/>
      </c:lineChart>
      <c:catAx>
        <c:axId val="14955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2112"/>
        <c:crosses val="autoZero"/>
        <c:auto val="1"/>
        <c:lblAlgn val="ctr"/>
        <c:lblOffset val="100"/>
        <c:noMultiLvlLbl val="0"/>
      </c:catAx>
      <c:valAx>
        <c:axId val="1495562112"/>
        <c:scaling>
          <c:orientation val="minMax"/>
          <c:max val="40000"/>
          <c:min val="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563072"/>
        <c:crosses val="autoZero"/>
        <c:crossBetween val="between"/>
      </c:valAx>
      <c:valAx>
        <c:axId val="297776735"/>
        <c:scaling>
          <c:orientation val="minMax"/>
          <c:max val="1"/>
          <c:min val="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Cummulative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71455"/>
        <c:crosses val="max"/>
        <c:crossBetween val="between"/>
      </c:valAx>
      <c:catAx>
        <c:axId val="297771455"/>
        <c:scaling>
          <c:orientation val="minMax"/>
        </c:scaling>
        <c:delete val="1"/>
        <c:axPos val="b"/>
        <c:numFmt formatCode="General" sourceLinked="1"/>
        <c:majorTickMark val="out"/>
        <c:minorTickMark val="none"/>
        <c:tickLblPos val="nextTo"/>
        <c:crossAx val="2977767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Charts!PivotTable14</c:name>
    <c:fmtId val="20"/>
  </c:pivotSource>
  <c:chart>
    <c:title>
      <c:tx>
        <c:strRef>
          <c:f>'Pivot Table &amp; Charts'!$G$104</c:f>
          <c:strCache>
            <c:ptCount val="1"/>
            <c:pt idx="0">
              <c:v>Top 10 Customers by Revenue</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&amp; Charts'!$G$104</c:f>
              <c:strCache>
                <c:ptCount val="1"/>
                <c:pt idx="0">
                  <c:v>Total</c:v>
                </c:pt>
              </c:strCache>
            </c:strRef>
          </c:tx>
          <c:spPr>
            <a:solidFill>
              <a:srgbClr val="556B2F"/>
            </a:solidFill>
            <a:ln>
              <a:noFill/>
            </a:ln>
            <a:effectLst/>
          </c:spPr>
          <c:invertIfNegative val="0"/>
          <c:cat>
            <c:strRef>
              <c:f>'Pivot Table &amp; Charts'!$G$104</c:f>
              <c:strCache>
                <c:ptCount val="10"/>
                <c:pt idx="0">
                  <c:v>James Brown</c:v>
                </c:pt>
                <c:pt idx="1">
                  <c:v>Mia Johnson</c:v>
                </c:pt>
                <c:pt idx="2">
                  <c:v>Charlotte Garcia</c:v>
                </c:pt>
                <c:pt idx="3">
                  <c:v>Noah Williams</c:v>
                </c:pt>
                <c:pt idx="4">
                  <c:v>Olivia Garcia</c:v>
                </c:pt>
                <c:pt idx="5">
                  <c:v>Lucas Williams</c:v>
                </c:pt>
                <c:pt idx="6">
                  <c:v>Ava Rodriguez</c:v>
                </c:pt>
                <c:pt idx="7">
                  <c:v>Amelia Johnson</c:v>
                </c:pt>
                <c:pt idx="8">
                  <c:v>Oliver Johnson</c:v>
                </c:pt>
                <c:pt idx="9">
                  <c:v>Evelyn Martinez</c:v>
                </c:pt>
              </c:strCache>
            </c:strRef>
          </c:cat>
          <c:val>
            <c:numRef>
              <c:f>'Pivot Table &amp; Charts'!$G$104</c:f>
              <c:numCache>
                <c:formatCode>General</c:formatCode>
                <c:ptCount val="10"/>
                <c:pt idx="0">
                  <c:v>2050</c:v>
                </c:pt>
                <c:pt idx="1">
                  <c:v>2077</c:v>
                </c:pt>
                <c:pt idx="2">
                  <c:v>2230</c:v>
                </c:pt>
                <c:pt idx="3">
                  <c:v>2283</c:v>
                </c:pt>
                <c:pt idx="4">
                  <c:v>2374</c:v>
                </c:pt>
                <c:pt idx="5">
                  <c:v>2490</c:v>
                </c:pt>
                <c:pt idx="6">
                  <c:v>2496</c:v>
                </c:pt>
                <c:pt idx="7">
                  <c:v>2588</c:v>
                </c:pt>
                <c:pt idx="8">
                  <c:v>2808</c:v>
                </c:pt>
                <c:pt idx="9">
                  <c:v>3215</c:v>
                </c:pt>
              </c:numCache>
            </c:numRef>
          </c:val>
          <c:extLst>
            <c:ext xmlns:c16="http://schemas.microsoft.com/office/drawing/2014/chart" uri="{C3380CC4-5D6E-409C-BE32-E72D297353CC}">
              <c16:uniqueId val="{00000000-44D1-4C23-A383-8080D3C2A915}"/>
            </c:ext>
          </c:extLst>
        </c:ser>
        <c:dLbls>
          <c:showLegendKey val="0"/>
          <c:showVal val="0"/>
          <c:showCatName val="0"/>
          <c:showSerName val="0"/>
          <c:showPercent val="0"/>
          <c:showBubbleSize val="0"/>
        </c:dLbls>
        <c:gapWidth val="40"/>
        <c:axId val="1518700704"/>
        <c:axId val="1670835104"/>
      </c:barChart>
      <c:catAx>
        <c:axId val="151870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35104"/>
        <c:crosses val="autoZero"/>
        <c:auto val="1"/>
        <c:lblAlgn val="ctr"/>
        <c:lblOffset val="100"/>
        <c:noMultiLvlLbl val="0"/>
      </c:catAx>
      <c:valAx>
        <c:axId val="1670835104"/>
        <c:scaling>
          <c:orientation val="minMax"/>
        </c:scaling>
        <c:delete val="0"/>
        <c:axPos val="b"/>
        <c:numFmt formatCode="General"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70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&amp; Charts'!$B$122</c:f>
              <c:strCache>
                <c:ptCount val="1"/>
                <c:pt idx="0">
                  <c:v>Return Rate by Product Category</c:v>
                </c:pt>
              </c:strCache>
            </c:strRef>
          </c:tx>
          <c:spPr>
            <a:solidFill>
              <a:srgbClr val="556B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Charts'!$B$124:$B$128</c:f>
              <c:strCache>
                <c:ptCount val="5"/>
                <c:pt idx="0">
                  <c:v>Bags</c:v>
                </c:pt>
                <c:pt idx="1">
                  <c:v>Cleaning</c:v>
                </c:pt>
                <c:pt idx="2">
                  <c:v>Gardening</c:v>
                </c:pt>
                <c:pt idx="3">
                  <c:v>Kitchenware</c:v>
                </c:pt>
                <c:pt idx="4">
                  <c:v>Lighting</c:v>
                </c:pt>
              </c:strCache>
            </c:strRef>
          </c:cat>
          <c:val>
            <c:numRef>
              <c:f>'Pivot Table &amp; Charts'!$E$124:$E$128</c:f>
              <c:numCache>
                <c:formatCode>0.0%</c:formatCode>
                <c:ptCount val="5"/>
                <c:pt idx="0">
                  <c:v>5.0228310502283102E-2</c:v>
                </c:pt>
                <c:pt idx="1">
                  <c:v>8.1967213114754092E-2</c:v>
                </c:pt>
                <c:pt idx="2">
                  <c:v>7.4712643678160925E-2</c:v>
                </c:pt>
                <c:pt idx="3">
                  <c:v>8.0808080808080815E-2</c:v>
                </c:pt>
                <c:pt idx="4">
                  <c:v>7.5221238938053103E-2</c:v>
                </c:pt>
              </c:numCache>
            </c:numRef>
          </c:val>
          <c:extLst>
            <c:ext xmlns:c16="http://schemas.microsoft.com/office/drawing/2014/chart" uri="{C3380CC4-5D6E-409C-BE32-E72D297353CC}">
              <c16:uniqueId val="{00000000-259A-4182-AFDD-CAE2A0CE5B95}"/>
            </c:ext>
          </c:extLst>
        </c:ser>
        <c:dLbls>
          <c:dLblPos val="outEnd"/>
          <c:showLegendKey val="0"/>
          <c:showVal val="1"/>
          <c:showCatName val="0"/>
          <c:showSerName val="0"/>
          <c:showPercent val="0"/>
          <c:showBubbleSize val="0"/>
        </c:dLbls>
        <c:gapWidth val="40"/>
        <c:overlap val="-27"/>
        <c:axId val="1734223455"/>
        <c:axId val="1727706415"/>
      </c:barChart>
      <c:catAx>
        <c:axId val="173422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706415"/>
        <c:crosses val="autoZero"/>
        <c:auto val="1"/>
        <c:lblAlgn val="ctr"/>
        <c:lblOffset val="100"/>
        <c:noMultiLvlLbl val="0"/>
      </c:catAx>
      <c:valAx>
        <c:axId val="1727706415"/>
        <c:scaling>
          <c:orientation val="minMax"/>
        </c:scaling>
        <c:delete val="1"/>
        <c:axPos val="l"/>
        <c:numFmt formatCode="0.0%" sourceLinked="1"/>
        <c:majorTickMark val="none"/>
        <c:minorTickMark val="none"/>
        <c:tickLblPos val="nextTo"/>
        <c:crossAx val="173422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Charts!PivotTable11</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rgbClr val="556B2F"/>
            </a:solidFill>
            <a:round/>
          </a:ln>
          <a:effectLst/>
        </c:spPr>
        <c:marker>
          <c:symbol val="circle"/>
          <c:size val="5"/>
          <c:spPr>
            <a:solidFill>
              <a:schemeClr val="accent1"/>
            </a:solidFill>
            <a:ln w="9525">
              <a:solidFill>
                <a:srgbClr val="6B8E23"/>
              </a:solidFill>
            </a:ln>
            <a:effectLst/>
          </c:spPr>
        </c:marker>
        <c:dLbl>
          <c:idx val="0"/>
          <c:layout>
            <c:manualLayout>
              <c:x val="-2.8516700178031068E-2"/>
              <c:y val="-7.4185627067807236E-2"/>
            </c:manualLayout>
          </c:layout>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D8D6CE"/>
            </a:solidFill>
            <a:round/>
          </a:ln>
          <a:effectLst/>
        </c:spPr>
        <c:marker>
          <c:symbol val="circle"/>
          <c:size val="5"/>
          <c:spPr>
            <a:solidFill>
              <a:srgbClr val="D8D6CE"/>
            </a:solidFill>
            <a:ln w="9525">
              <a:solidFill>
                <a:srgbClr val="6B8E23"/>
              </a:solidFill>
            </a:ln>
            <a:effectLst/>
          </c:spPr>
        </c:marker>
        <c:dLbl>
          <c:idx val="0"/>
          <c:numFmt formatCode="&quot;$&quot;#,##0" sourceLinked="0"/>
          <c:spPr>
            <a:noFill/>
            <a:ln>
              <a:solidFill>
                <a:srgbClr val="D8D6CE">
                  <a:alpha val="98000"/>
                </a:srgb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8D6CE"/>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D8D6CE"/>
            </a:solidFill>
            <a:round/>
          </a:ln>
          <a:effectLst/>
        </c:spPr>
        <c:marker>
          <c:symbol val="circle"/>
          <c:size val="5"/>
        </c:marker>
        <c:dLbl>
          <c:idx val="0"/>
          <c:layout>
            <c:manualLayout>
              <c:x val="-2.8516700178031068E-2"/>
              <c:y val="-7.4185627067807236E-2"/>
            </c:manualLayout>
          </c:layout>
          <c:numFmt formatCode="&quot;$&quot;#,##0" sourceLinked="0"/>
          <c:spPr>
            <a:noFill/>
            <a:ln>
              <a:solidFill>
                <a:srgbClr val="D8D6CE">
                  <a:alpha val="98000"/>
                </a:srgb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8D6CE"/>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15"/>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16"/>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17"/>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18"/>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19"/>
        <c:spPr>
          <a:ln w="34925" cap="rnd">
            <a:solidFill>
              <a:srgbClr val="D8D6CE"/>
            </a:solidFill>
            <a:round/>
          </a:ln>
          <a:effectLst/>
        </c:spPr>
        <c:marker>
          <c:symbol val="circle"/>
          <c:size val="5"/>
          <c:spPr>
            <a:solidFill>
              <a:srgbClr val="D8D6CE"/>
            </a:solidFill>
            <a:ln w="9525">
              <a:solidFill>
                <a:srgbClr val="6B8E23"/>
              </a:solidFill>
            </a:ln>
            <a:effectLst/>
          </c:spPr>
        </c:marker>
      </c:pivotFmt>
      <c:pivotFmt>
        <c:idx val="20"/>
        <c:spPr>
          <a:ln w="34925" cap="rnd">
            <a:solidFill>
              <a:srgbClr val="D8D6CE"/>
            </a:solidFill>
            <a:round/>
          </a:ln>
          <a:effectLst/>
        </c:spPr>
        <c:marker>
          <c:symbol val="circle"/>
          <c:size val="5"/>
          <c:spPr>
            <a:solidFill>
              <a:srgbClr val="D8D6CE"/>
            </a:solidFill>
            <a:ln w="9525">
              <a:solidFill>
                <a:srgbClr val="6B8E23"/>
              </a:solidFill>
            </a:ln>
            <a:effectLst/>
          </c:spPr>
        </c:marker>
      </c:pivotFmt>
    </c:pivotFmts>
    <c:plotArea>
      <c:layout>
        <c:manualLayout>
          <c:layoutTarget val="inner"/>
          <c:xMode val="edge"/>
          <c:yMode val="edge"/>
          <c:x val="8.4656079013051434E-3"/>
          <c:y val="0.18743630439507253"/>
          <c:w val="0.96275132523425733"/>
          <c:h val="0.6689581931705324"/>
        </c:manualLayout>
      </c:layout>
      <c:lineChart>
        <c:grouping val="standard"/>
        <c:varyColors val="0"/>
        <c:ser>
          <c:idx val="0"/>
          <c:order val="0"/>
          <c:tx>
            <c:strRef>
              <c:f>'Pivot Table &amp; Charts'!$C$105</c:f>
              <c:strCache>
                <c:ptCount val="1"/>
                <c:pt idx="0">
                  <c:v>Total</c:v>
                </c:pt>
              </c:strCache>
            </c:strRef>
          </c:tx>
          <c:spPr>
            <a:ln w="34925" cap="rnd">
              <a:solidFill>
                <a:srgbClr val="D8D6CE"/>
              </a:solidFill>
              <a:round/>
            </a:ln>
            <a:effectLst/>
          </c:spPr>
          <c:marker>
            <c:symbol val="circle"/>
            <c:size val="5"/>
            <c:spPr>
              <a:solidFill>
                <a:srgbClr val="D8D6CE"/>
              </a:solidFill>
              <a:ln w="9525">
                <a:solidFill>
                  <a:srgbClr val="6B8E23"/>
                </a:solidFill>
              </a:ln>
              <a:effectLst/>
            </c:spPr>
          </c:marker>
          <c:dPt>
            <c:idx val="0"/>
            <c:marker>
              <c:symbol val="circle"/>
              <c:size val="5"/>
              <c:spPr>
                <a:solidFill>
                  <a:schemeClr val="tx2">
                    <a:lumMod val="50000"/>
                    <a:lumOff val="50000"/>
                  </a:schemeClr>
                </a:solidFill>
                <a:ln w="9525">
                  <a:solidFill>
                    <a:srgbClr val="6B8E23"/>
                  </a:solidFill>
                </a:ln>
                <a:effectLst/>
              </c:spPr>
            </c:marker>
            <c:bubble3D val="0"/>
            <c:extLst>
              <c:ext xmlns:c16="http://schemas.microsoft.com/office/drawing/2014/chart" uri="{C3380CC4-5D6E-409C-BE32-E72D297353CC}">
                <c16:uniqueId val="{00000004-9413-472E-9E0F-E66C18FFE672}"/>
              </c:ext>
            </c:extLst>
          </c:dPt>
          <c:dPt>
            <c:idx val="3"/>
            <c:marker>
              <c:symbol val="circle"/>
              <c:size val="5"/>
              <c:spPr>
                <a:solidFill>
                  <a:schemeClr val="tx2">
                    <a:lumMod val="50000"/>
                    <a:lumOff val="50000"/>
                  </a:schemeClr>
                </a:solidFill>
                <a:ln w="9525">
                  <a:solidFill>
                    <a:srgbClr val="6B8E23"/>
                  </a:solidFill>
                </a:ln>
                <a:effectLst/>
              </c:spPr>
            </c:marker>
            <c:bubble3D val="0"/>
            <c:extLst>
              <c:ext xmlns:c16="http://schemas.microsoft.com/office/drawing/2014/chart" uri="{C3380CC4-5D6E-409C-BE32-E72D297353CC}">
                <c16:uniqueId val="{00000005-9413-472E-9E0F-E66C18FFE672}"/>
              </c:ext>
            </c:extLst>
          </c:dPt>
          <c:dPt>
            <c:idx val="4"/>
            <c:marker>
              <c:symbol val="circle"/>
              <c:size val="5"/>
              <c:spPr>
                <a:solidFill>
                  <a:schemeClr val="tx2">
                    <a:lumMod val="50000"/>
                    <a:lumOff val="50000"/>
                  </a:schemeClr>
                </a:solidFill>
                <a:ln w="9525">
                  <a:solidFill>
                    <a:srgbClr val="6B8E23"/>
                  </a:solidFill>
                </a:ln>
                <a:effectLst/>
              </c:spPr>
            </c:marker>
            <c:bubble3D val="0"/>
            <c:extLst>
              <c:ext xmlns:c16="http://schemas.microsoft.com/office/drawing/2014/chart" uri="{C3380CC4-5D6E-409C-BE32-E72D297353CC}">
                <c16:uniqueId val="{00000006-9413-472E-9E0F-E66C18FFE672}"/>
              </c:ext>
            </c:extLst>
          </c:dPt>
          <c:dPt>
            <c:idx val="5"/>
            <c:marker>
              <c:symbol val="circle"/>
              <c:size val="5"/>
              <c:spPr>
                <a:solidFill>
                  <a:srgbClr val="FFC000"/>
                </a:solidFill>
                <a:ln w="9525">
                  <a:solidFill>
                    <a:srgbClr val="6B8E23"/>
                  </a:solidFill>
                </a:ln>
                <a:effectLst/>
              </c:spPr>
            </c:marker>
            <c:bubble3D val="0"/>
            <c:extLst>
              <c:ext xmlns:c16="http://schemas.microsoft.com/office/drawing/2014/chart" uri="{C3380CC4-5D6E-409C-BE32-E72D297353CC}">
                <c16:uniqueId val="{00000009-9413-472E-9E0F-E66C18FFE672}"/>
              </c:ext>
            </c:extLst>
          </c:dPt>
          <c:dPt>
            <c:idx val="8"/>
            <c:marker>
              <c:symbol val="circle"/>
              <c:size val="5"/>
              <c:spPr>
                <a:solidFill>
                  <a:srgbClr val="FFC000"/>
                </a:solidFill>
                <a:ln w="9525">
                  <a:solidFill>
                    <a:srgbClr val="6B8E23"/>
                  </a:solidFill>
                </a:ln>
                <a:effectLst/>
              </c:spPr>
            </c:marker>
            <c:bubble3D val="0"/>
            <c:extLst>
              <c:ext xmlns:c16="http://schemas.microsoft.com/office/drawing/2014/chart" uri="{C3380CC4-5D6E-409C-BE32-E72D297353CC}">
                <c16:uniqueId val="{00000008-9413-472E-9E0F-E66C18FFE672}"/>
              </c:ext>
            </c:extLst>
          </c:dPt>
          <c:dPt>
            <c:idx val="9"/>
            <c:marker>
              <c:symbol val="circle"/>
              <c:size val="5"/>
              <c:spPr>
                <a:solidFill>
                  <a:schemeClr val="tx2">
                    <a:lumMod val="50000"/>
                    <a:lumOff val="50000"/>
                  </a:schemeClr>
                </a:solidFill>
                <a:ln w="9525">
                  <a:solidFill>
                    <a:srgbClr val="6B8E23"/>
                  </a:solidFill>
                </a:ln>
                <a:effectLst/>
              </c:spPr>
            </c:marker>
            <c:bubble3D val="0"/>
            <c:extLst>
              <c:ext xmlns:c16="http://schemas.microsoft.com/office/drawing/2014/chart" uri="{C3380CC4-5D6E-409C-BE32-E72D297353CC}">
                <c16:uniqueId val="{00000007-9413-472E-9E0F-E66C18FFE672}"/>
              </c:ext>
            </c:extLst>
          </c:dPt>
          <c:dPt>
            <c:idx val="11"/>
            <c:marker>
              <c:symbol val="circle"/>
              <c:size val="5"/>
              <c:spPr>
                <a:solidFill>
                  <a:srgbClr val="D8D6CE"/>
                </a:solidFill>
                <a:ln w="9525">
                  <a:solidFill>
                    <a:srgbClr val="6B8E23"/>
                  </a:solidFill>
                </a:ln>
                <a:effectLst/>
              </c:spPr>
            </c:marker>
            <c:bubble3D val="0"/>
            <c:spPr>
              <a:ln w="34925" cap="rnd">
                <a:solidFill>
                  <a:srgbClr val="D8D6CE"/>
                </a:solidFill>
                <a:round/>
              </a:ln>
              <a:effectLst/>
            </c:spPr>
            <c:extLst>
              <c:ext xmlns:c16="http://schemas.microsoft.com/office/drawing/2014/chart" uri="{C3380CC4-5D6E-409C-BE32-E72D297353CC}">
                <c16:uniqueId val="{00000001-9413-472E-9E0F-E66C18FFE672}"/>
              </c:ext>
            </c:extLst>
          </c:dPt>
          <c:dLbls>
            <c:dLbl>
              <c:idx val="11"/>
              <c:layout>
                <c:manualLayout>
                  <c:x val="-2.8516700178031068E-2"/>
                  <c:y val="-7.41856270678072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13-472E-9E0F-E66C18FFE672}"/>
                </c:ext>
              </c:extLst>
            </c:dLbl>
            <c:numFmt formatCode="&quot;$&quot;#,##0" sourceLinked="0"/>
            <c:spPr>
              <a:noFill/>
              <a:ln>
                <a:solidFill>
                  <a:srgbClr val="D8D6CE">
                    <a:alpha val="98000"/>
                  </a:srgb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8D6CE"/>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Charts'!$B$106:$B$117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&amp; Charts'!$C$106:$C$117</c:f>
              <c:numCache>
                <c:formatCode>General</c:formatCode>
                <c:ptCount val="12"/>
                <c:pt idx="0">
                  <c:v>12522</c:v>
                </c:pt>
                <c:pt idx="1">
                  <c:v>9126</c:v>
                </c:pt>
                <c:pt idx="2">
                  <c:v>10068</c:v>
                </c:pt>
                <c:pt idx="3">
                  <c:v>11214</c:v>
                </c:pt>
                <c:pt idx="4">
                  <c:v>11006</c:v>
                </c:pt>
                <c:pt idx="5">
                  <c:v>7062</c:v>
                </c:pt>
                <c:pt idx="6">
                  <c:v>9817</c:v>
                </c:pt>
                <c:pt idx="7">
                  <c:v>9506</c:v>
                </c:pt>
                <c:pt idx="8">
                  <c:v>7099</c:v>
                </c:pt>
                <c:pt idx="9">
                  <c:v>11384</c:v>
                </c:pt>
                <c:pt idx="10">
                  <c:v>8308</c:v>
                </c:pt>
                <c:pt idx="11">
                  <c:v>10166</c:v>
                </c:pt>
              </c:numCache>
            </c:numRef>
          </c:val>
          <c:smooth val="0"/>
          <c:extLst>
            <c:ext xmlns:c16="http://schemas.microsoft.com/office/drawing/2014/chart" uri="{C3380CC4-5D6E-409C-BE32-E72D297353CC}">
              <c16:uniqueId val="{00000002-9413-472E-9E0F-E66C18FFE672}"/>
            </c:ext>
          </c:extLst>
        </c:ser>
        <c:dLbls>
          <c:dLblPos val="t"/>
          <c:showLegendKey val="0"/>
          <c:showVal val="1"/>
          <c:showCatName val="0"/>
          <c:showSerName val="0"/>
          <c:showPercent val="0"/>
          <c:showBubbleSize val="0"/>
        </c:dLbls>
        <c:marker val="1"/>
        <c:smooth val="0"/>
        <c:axId val="858994847"/>
        <c:axId val="858995327"/>
      </c:lineChart>
      <c:catAx>
        <c:axId val="858994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858995327"/>
        <c:crosses val="autoZero"/>
        <c:auto val="1"/>
        <c:lblAlgn val="ctr"/>
        <c:lblOffset val="100"/>
        <c:noMultiLvlLbl val="0"/>
      </c:catAx>
      <c:valAx>
        <c:axId val="858995327"/>
        <c:scaling>
          <c:orientation val="minMax"/>
        </c:scaling>
        <c:delete val="1"/>
        <c:axPos val="l"/>
        <c:numFmt formatCode="General" sourceLinked="1"/>
        <c:majorTickMark val="none"/>
        <c:minorTickMark val="none"/>
        <c:tickLblPos val="nextTo"/>
        <c:crossAx val="858994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556B2F"/>
          </a:solidFill>
          <a:ln>
            <a:solidFill>
              <a:srgbClr val="556B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C9A227"/>
          </a:solidFill>
          <a:ln>
            <a:solidFill>
              <a:srgbClr val="C9A2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9C4F4F"/>
          </a:solidFill>
          <a:ln>
            <a:solidFill>
              <a:srgbClr val="9C4F4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D8D6CE"/>
          </a:solidFill>
          <a:ln>
            <a:solidFill>
              <a:srgbClr val="BFB8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556B2F"/>
          </a:solidFill>
          <a:ln>
            <a:solidFill>
              <a:srgbClr val="556B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C9A227"/>
          </a:solidFill>
          <a:ln>
            <a:solidFill>
              <a:srgbClr val="C9A2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9C4F4F"/>
          </a:solidFill>
          <a:ln>
            <a:solidFill>
              <a:srgbClr val="9C4F4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D8D6CE"/>
          </a:solidFill>
          <a:ln>
            <a:solidFill>
              <a:srgbClr val="BFB8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tx2">
              <a:lumMod val="50000"/>
              <a:lumOff val="50000"/>
            </a:schemeClr>
          </a:solidFill>
          <a:ln>
            <a:solidFill>
              <a:srgbClr val="556B2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2"/>
          </a:solidFill>
          <a:ln>
            <a:solidFill>
              <a:srgbClr val="C9A227"/>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FFC000"/>
          </a:solidFill>
          <a:ln>
            <a:solidFill>
              <a:srgbClr val="9C4F4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rgbClr val="D8D6CE"/>
          </a:solidFill>
          <a:ln>
            <a:solidFill>
              <a:srgbClr val="BFB8A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23745959710269"/>
          <c:y val="0.20176087306764851"/>
          <c:w val="0.78996417418625609"/>
          <c:h val="0.672209891815996"/>
        </c:manualLayout>
      </c:layout>
      <c:barChart>
        <c:barDir val="bar"/>
        <c:grouping val="clustered"/>
        <c:varyColors val="0"/>
        <c:ser>
          <c:idx val="0"/>
          <c:order val="0"/>
          <c:tx>
            <c:strRef>
              <c:f>'Pivot Table &amp; Charts'!$M$27:$M$28</c:f>
              <c:strCache>
                <c:ptCount val="1"/>
                <c:pt idx="0">
                  <c:v>Delivered</c:v>
                </c:pt>
              </c:strCache>
            </c:strRef>
          </c:tx>
          <c:spPr>
            <a:solidFill>
              <a:schemeClr val="tx2">
                <a:lumMod val="50000"/>
                <a:lumOff val="50000"/>
              </a:schemeClr>
            </a:solidFill>
            <a:ln>
              <a:solidFill>
                <a:srgbClr val="556B2F"/>
              </a:solidFill>
            </a:ln>
            <a:effectLst/>
          </c:spPr>
          <c:invertIfNegative val="0"/>
          <c:cat>
            <c:strRef>
              <c:f>'Pivot Table &amp; Charts'!$L$29:$L$38</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Charts'!$M$29:$M$38</c:f>
              <c:numCache>
                <c:formatCode>General</c:formatCode>
                <c:ptCount val="10"/>
                <c:pt idx="0">
                  <c:v>59</c:v>
                </c:pt>
                <c:pt idx="1">
                  <c:v>52</c:v>
                </c:pt>
                <c:pt idx="2">
                  <c:v>55</c:v>
                </c:pt>
                <c:pt idx="3">
                  <c:v>66</c:v>
                </c:pt>
                <c:pt idx="4">
                  <c:v>62</c:v>
                </c:pt>
                <c:pt idx="5">
                  <c:v>54</c:v>
                </c:pt>
                <c:pt idx="6">
                  <c:v>64</c:v>
                </c:pt>
                <c:pt idx="7">
                  <c:v>80</c:v>
                </c:pt>
                <c:pt idx="8">
                  <c:v>54</c:v>
                </c:pt>
                <c:pt idx="9">
                  <c:v>56</c:v>
                </c:pt>
              </c:numCache>
            </c:numRef>
          </c:val>
          <c:extLst>
            <c:ext xmlns:c16="http://schemas.microsoft.com/office/drawing/2014/chart" uri="{C3380CC4-5D6E-409C-BE32-E72D297353CC}">
              <c16:uniqueId val="{00000000-7E16-49B0-8D1A-D06756F8D0B4}"/>
            </c:ext>
          </c:extLst>
        </c:ser>
        <c:ser>
          <c:idx val="1"/>
          <c:order val="1"/>
          <c:tx>
            <c:strRef>
              <c:f>'Pivot Table &amp; Charts'!$N$27:$N$28</c:f>
              <c:strCache>
                <c:ptCount val="1"/>
                <c:pt idx="0">
                  <c:v>Pending</c:v>
                </c:pt>
              </c:strCache>
            </c:strRef>
          </c:tx>
          <c:spPr>
            <a:solidFill>
              <a:schemeClr val="accent2"/>
            </a:solidFill>
            <a:ln>
              <a:solidFill>
                <a:srgbClr val="C9A227"/>
              </a:solidFill>
            </a:ln>
            <a:effectLst/>
          </c:spPr>
          <c:invertIfNegative val="0"/>
          <c:cat>
            <c:strRef>
              <c:f>'Pivot Table &amp; Charts'!$L$29:$L$38</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Charts'!$N$29:$N$38</c:f>
              <c:numCache>
                <c:formatCode>General</c:formatCode>
                <c:ptCount val="10"/>
                <c:pt idx="0">
                  <c:v>9</c:v>
                </c:pt>
                <c:pt idx="1">
                  <c:v>9</c:v>
                </c:pt>
                <c:pt idx="2">
                  <c:v>11</c:v>
                </c:pt>
                <c:pt idx="3">
                  <c:v>11</c:v>
                </c:pt>
                <c:pt idx="4">
                  <c:v>7</c:v>
                </c:pt>
                <c:pt idx="5">
                  <c:v>8</c:v>
                </c:pt>
                <c:pt idx="6">
                  <c:v>13</c:v>
                </c:pt>
                <c:pt idx="7">
                  <c:v>4</c:v>
                </c:pt>
                <c:pt idx="8">
                  <c:v>11</c:v>
                </c:pt>
                <c:pt idx="9">
                  <c:v>8</c:v>
                </c:pt>
              </c:numCache>
            </c:numRef>
          </c:val>
          <c:extLst>
            <c:ext xmlns:c16="http://schemas.microsoft.com/office/drawing/2014/chart" uri="{C3380CC4-5D6E-409C-BE32-E72D297353CC}">
              <c16:uniqueId val="{00000001-7E16-49B0-8D1A-D06756F8D0B4}"/>
            </c:ext>
          </c:extLst>
        </c:ser>
        <c:ser>
          <c:idx val="2"/>
          <c:order val="2"/>
          <c:tx>
            <c:strRef>
              <c:f>'Pivot Table &amp; Charts'!$O$27:$O$28</c:f>
              <c:strCache>
                <c:ptCount val="1"/>
                <c:pt idx="0">
                  <c:v>Returned</c:v>
                </c:pt>
              </c:strCache>
            </c:strRef>
          </c:tx>
          <c:spPr>
            <a:solidFill>
              <a:srgbClr val="FFC000"/>
            </a:solidFill>
            <a:ln>
              <a:solidFill>
                <a:srgbClr val="9C4F4F"/>
              </a:solidFill>
            </a:ln>
            <a:effectLst/>
          </c:spPr>
          <c:invertIfNegative val="0"/>
          <c:cat>
            <c:strRef>
              <c:f>'Pivot Table &amp; Charts'!$L$29:$L$38</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Charts'!$O$29:$O$38</c:f>
              <c:numCache>
                <c:formatCode>General</c:formatCode>
                <c:ptCount val="10"/>
                <c:pt idx="0">
                  <c:v>3</c:v>
                </c:pt>
                <c:pt idx="1">
                  <c:v>3</c:v>
                </c:pt>
                <c:pt idx="2">
                  <c:v>6</c:v>
                </c:pt>
                <c:pt idx="3">
                  <c:v>7</c:v>
                </c:pt>
                <c:pt idx="4">
                  <c:v>9</c:v>
                </c:pt>
                <c:pt idx="5">
                  <c:v>12</c:v>
                </c:pt>
                <c:pt idx="6">
                  <c:v>9</c:v>
                </c:pt>
                <c:pt idx="7">
                  <c:v>5</c:v>
                </c:pt>
                <c:pt idx="8">
                  <c:v>10</c:v>
                </c:pt>
                <c:pt idx="9">
                  <c:v>8</c:v>
                </c:pt>
              </c:numCache>
            </c:numRef>
          </c:val>
          <c:extLst>
            <c:ext xmlns:c16="http://schemas.microsoft.com/office/drawing/2014/chart" uri="{C3380CC4-5D6E-409C-BE32-E72D297353CC}">
              <c16:uniqueId val="{00000002-7E16-49B0-8D1A-D06756F8D0B4}"/>
            </c:ext>
          </c:extLst>
        </c:ser>
        <c:ser>
          <c:idx val="3"/>
          <c:order val="3"/>
          <c:tx>
            <c:strRef>
              <c:f>'Pivot Table &amp; Charts'!$P$27:$P$28</c:f>
              <c:strCache>
                <c:ptCount val="1"/>
                <c:pt idx="0">
                  <c:v>Shipped</c:v>
                </c:pt>
              </c:strCache>
            </c:strRef>
          </c:tx>
          <c:spPr>
            <a:solidFill>
              <a:srgbClr val="D8D6CE"/>
            </a:solidFill>
            <a:ln>
              <a:solidFill>
                <a:srgbClr val="BFB8A5"/>
              </a:solidFill>
            </a:ln>
            <a:effectLst/>
          </c:spPr>
          <c:invertIfNegative val="0"/>
          <c:cat>
            <c:strRef>
              <c:f>'Pivot Table &amp; Charts'!$L$29:$L$38</c:f>
              <c:strCache>
                <c:ptCount val="10"/>
                <c:pt idx="0">
                  <c:v>California</c:v>
                </c:pt>
                <c:pt idx="1">
                  <c:v>Florida</c:v>
                </c:pt>
                <c:pt idx="2">
                  <c:v>Georgia</c:v>
                </c:pt>
                <c:pt idx="3">
                  <c:v>Illinois</c:v>
                </c:pt>
                <c:pt idx="4">
                  <c:v>Michigan</c:v>
                </c:pt>
                <c:pt idx="5">
                  <c:v>New York</c:v>
                </c:pt>
                <c:pt idx="6">
                  <c:v>North Carolina</c:v>
                </c:pt>
                <c:pt idx="7">
                  <c:v>Ohio</c:v>
                </c:pt>
                <c:pt idx="8">
                  <c:v>Pennsylvania</c:v>
                </c:pt>
                <c:pt idx="9">
                  <c:v>Texas</c:v>
                </c:pt>
              </c:strCache>
            </c:strRef>
          </c:cat>
          <c:val>
            <c:numRef>
              <c:f>'Pivot Table &amp; Charts'!$P$29:$P$38</c:f>
              <c:numCache>
                <c:formatCode>General</c:formatCode>
                <c:ptCount val="10"/>
                <c:pt idx="0">
                  <c:v>16</c:v>
                </c:pt>
                <c:pt idx="1">
                  <c:v>23</c:v>
                </c:pt>
                <c:pt idx="2">
                  <c:v>20</c:v>
                </c:pt>
                <c:pt idx="3">
                  <c:v>18</c:v>
                </c:pt>
                <c:pt idx="4">
                  <c:v>22</c:v>
                </c:pt>
                <c:pt idx="5">
                  <c:v>20</c:v>
                </c:pt>
                <c:pt idx="6">
                  <c:v>26</c:v>
                </c:pt>
                <c:pt idx="7">
                  <c:v>34</c:v>
                </c:pt>
                <c:pt idx="8">
                  <c:v>28</c:v>
                </c:pt>
                <c:pt idx="9">
                  <c:v>28</c:v>
                </c:pt>
              </c:numCache>
            </c:numRef>
          </c:val>
          <c:extLst>
            <c:ext xmlns:c16="http://schemas.microsoft.com/office/drawing/2014/chart" uri="{C3380CC4-5D6E-409C-BE32-E72D297353CC}">
              <c16:uniqueId val="{00000003-7E16-49B0-8D1A-D06756F8D0B4}"/>
            </c:ext>
          </c:extLst>
        </c:ser>
        <c:dLbls>
          <c:showLegendKey val="0"/>
          <c:showVal val="0"/>
          <c:showCatName val="0"/>
          <c:showSerName val="0"/>
          <c:showPercent val="0"/>
          <c:showBubbleSize val="0"/>
        </c:dLbls>
        <c:gapWidth val="30"/>
        <c:axId val="1444971504"/>
        <c:axId val="1444970544"/>
      </c:barChart>
      <c:catAx>
        <c:axId val="144497150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444970544"/>
        <c:crosses val="autoZero"/>
        <c:auto val="1"/>
        <c:lblAlgn val="ctr"/>
        <c:lblOffset val="100"/>
        <c:noMultiLvlLbl val="0"/>
      </c:catAx>
      <c:valAx>
        <c:axId val="1444970544"/>
        <c:scaling>
          <c:orientation val="minMax"/>
        </c:scaling>
        <c:delete val="0"/>
        <c:axPos val="b"/>
        <c:numFmt formatCode="General"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44497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9C4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9C4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D8D6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9C4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tx2">
              <a:lumMod val="50000"/>
              <a:lumOff val="50000"/>
            </a:schemeClr>
          </a:solidFill>
          <a:ln>
            <a:noFill/>
          </a:ln>
          <a:effectLst/>
        </c:spPr>
      </c:pivotFmt>
    </c:pivotFmts>
    <c:plotArea>
      <c:layout/>
      <c:barChart>
        <c:barDir val="bar"/>
        <c:grouping val="clustered"/>
        <c:varyColors val="0"/>
        <c:ser>
          <c:idx val="0"/>
          <c:order val="0"/>
          <c:tx>
            <c:strRef>
              <c:f>'Pivot Table &amp; Charts'!$C$91</c:f>
              <c:strCache>
                <c:ptCount val="1"/>
                <c:pt idx="0">
                  <c:v>Profit</c:v>
                </c:pt>
              </c:strCache>
            </c:strRef>
          </c:tx>
          <c:spPr>
            <a:solidFill>
              <a:srgbClr val="D8D6CE"/>
            </a:solidFill>
            <a:ln>
              <a:noFill/>
            </a:ln>
            <a:effectLst/>
          </c:spPr>
          <c:invertIfNegative val="0"/>
          <c:dPt>
            <c:idx val="4"/>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CBB2-40C7-9623-0EDC00033F76}"/>
              </c:ext>
            </c:extLst>
          </c:dPt>
          <c:cat>
            <c:strRef>
              <c:f>'Pivot Table &amp; Charts'!$B$92:$B$96</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Charts'!$C$92:$C$96</c:f>
              <c:numCache>
                <c:formatCode>General</c:formatCode>
                <c:ptCount val="5"/>
                <c:pt idx="0">
                  <c:v>7240.4499999999989</c:v>
                </c:pt>
                <c:pt idx="1">
                  <c:v>7813.3499999999976</c:v>
                </c:pt>
                <c:pt idx="2">
                  <c:v>11561.21</c:v>
                </c:pt>
                <c:pt idx="3">
                  <c:v>20008.09</c:v>
                </c:pt>
                <c:pt idx="4">
                  <c:v>35230.37999999999</c:v>
                </c:pt>
              </c:numCache>
            </c:numRef>
          </c:val>
          <c:extLst>
            <c:ext xmlns:c16="http://schemas.microsoft.com/office/drawing/2014/chart" uri="{C3380CC4-5D6E-409C-BE32-E72D297353CC}">
              <c16:uniqueId val="{00000000-CBB2-40C7-9623-0EDC00033F76}"/>
            </c:ext>
          </c:extLst>
        </c:ser>
        <c:dLbls>
          <c:showLegendKey val="0"/>
          <c:showVal val="0"/>
          <c:showCatName val="0"/>
          <c:showSerName val="0"/>
          <c:showPercent val="0"/>
          <c:showBubbleSize val="0"/>
        </c:dLbls>
        <c:gapWidth val="40"/>
        <c:axId val="1495563072"/>
        <c:axId val="1495562112"/>
      </c:barChart>
      <c:lineChart>
        <c:grouping val="standard"/>
        <c:varyColors val="0"/>
        <c:ser>
          <c:idx val="1"/>
          <c:order val="1"/>
          <c:tx>
            <c:strRef>
              <c:f>'Pivot Table &amp; Charts'!$D$91</c:f>
              <c:strCache>
                <c:ptCount val="1"/>
                <c:pt idx="0">
                  <c:v>Cummulative Profit</c:v>
                </c:pt>
              </c:strCache>
            </c:strRef>
          </c:tx>
          <c:spPr>
            <a:ln w="28575" cap="rnd">
              <a:solidFill>
                <a:srgbClr val="9C4F4F"/>
              </a:solidFill>
              <a:round/>
            </a:ln>
            <a:effectLst/>
          </c:spPr>
          <c:marker>
            <c:symbol val="none"/>
          </c:marker>
          <c:cat>
            <c:strRef>
              <c:f>'Pivot Table &amp; Charts'!$B$92:$B$96</c:f>
              <c:strCache>
                <c:ptCount val="5"/>
                <c:pt idx="0">
                  <c:v>Biodegradable Cleaning Cloth</c:v>
                </c:pt>
                <c:pt idx="1">
                  <c:v>Compostable Plant Pots</c:v>
                </c:pt>
                <c:pt idx="2">
                  <c:v>Reusable Bamboo Utensil Set</c:v>
                </c:pt>
                <c:pt idx="3">
                  <c:v>Eco Canvas Tote Bag</c:v>
                </c:pt>
                <c:pt idx="4">
                  <c:v>Solar Led Lantern</c:v>
                </c:pt>
              </c:strCache>
            </c:strRef>
          </c:cat>
          <c:val>
            <c:numRef>
              <c:f>'Pivot Table &amp; Charts'!$D$92:$D$96</c:f>
              <c:numCache>
                <c:formatCode>0.00%</c:formatCode>
                <c:ptCount val="5"/>
                <c:pt idx="0">
                  <c:v>8.8456226906907326E-2</c:v>
                </c:pt>
                <c:pt idx="1">
                  <c:v>0.18391154536129678</c:v>
                </c:pt>
                <c:pt idx="2">
                  <c:v>0.32515428788122386</c:v>
                </c:pt>
                <c:pt idx="3">
                  <c:v>0.56959215417597397</c:v>
                </c:pt>
                <c:pt idx="4">
                  <c:v>1</c:v>
                </c:pt>
              </c:numCache>
            </c:numRef>
          </c:val>
          <c:smooth val="0"/>
          <c:extLst>
            <c:ext xmlns:c16="http://schemas.microsoft.com/office/drawing/2014/chart" uri="{C3380CC4-5D6E-409C-BE32-E72D297353CC}">
              <c16:uniqueId val="{00000001-CBB2-40C7-9623-0EDC00033F76}"/>
            </c:ext>
          </c:extLst>
        </c:ser>
        <c:dLbls>
          <c:showLegendKey val="0"/>
          <c:showVal val="0"/>
          <c:showCatName val="0"/>
          <c:showSerName val="0"/>
          <c:showPercent val="0"/>
          <c:showBubbleSize val="0"/>
        </c:dLbls>
        <c:marker val="1"/>
        <c:smooth val="0"/>
        <c:axId val="297771455"/>
        <c:axId val="297776735"/>
      </c:lineChart>
      <c:catAx>
        <c:axId val="149556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495562112"/>
        <c:crosses val="autoZero"/>
        <c:auto val="1"/>
        <c:lblAlgn val="ctr"/>
        <c:lblOffset val="100"/>
        <c:noMultiLvlLbl val="0"/>
      </c:catAx>
      <c:valAx>
        <c:axId val="1495562112"/>
        <c:scaling>
          <c:orientation val="minMax"/>
          <c:max val="40000"/>
          <c:min val="0"/>
        </c:scaling>
        <c:delete val="0"/>
        <c:axPos val="b"/>
        <c:title>
          <c:tx>
            <c:rich>
              <a:bodyPr rot="0" spcFirstLastPara="1" vertOverflow="ellipsis" vert="horz" wrap="square" anchor="ctr" anchorCtr="1"/>
              <a:lstStyle/>
              <a:p>
                <a:pPr>
                  <a:defRPr sz="1000" b="0" i="0" u="none" strike="noStrike" kern="1200" baseline="0">
                    <a:solidFill>
                      <a:srgbClr val="D8D6CE"/>
                    </a:solidFill>
                    <a:latin typeface="+mn-lt"/>
                    <a:ea typeface="+mn-ea"/>
                    <a:cs typeface="+mn-cs"/>
                  </a:defRPr>
                </a:pPr>
                <a:r>
                  <a:rPr lang="en-US">
                    <a:solidFill>
                      <a:srgbClr val="D8D6CE"/>
                    </a:solidFill>
                  </a:rPr>
                  <a:t>Total Profit</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D8D6CE"/>
                  </a:solidFill>
                  <a:latin typeface="+mn-lt"/>
                  <a:ea typeface="+mn-ea"/>
                  <a:cs typeface="+mn-cs"/>
                </a:defRPr>
              </a:pPr>
              <a:endParaRPr lang="en-US"/>
            </a:p>
          </c:txPr>
        </c:title>
        <c:numFmt formatCode="&quot;$&quot;#,##0,&quot;K&quot;" sourceLinked="0"/>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495563072"/>
        <c:crosses val="autoZero"/>
        <c:crossBetween val="between"/>
      </c:valAx>
      <c:valAx>
        <c:axId val="297776735"/>
        <c:scaling>
          <c:orientation val="minMax"/>
          <c:max val="1"/>
          <c:min val="0"/>
        </c:scaling>
        <c:delete val="0"/>
        <c:axPos val="r"/>
        <c:title>
          <c:tx>
            <c:rich>
              <a:bodyPr rot="-5400000" spcFirstLastPara="1" vertOverflow="ellipsis" vert="horz" wrap="square" anchor="ctr" anchorCtr="1"/>
              <a:lstStyle/>
              <a:p>
                <a:pPr>
                  <a:defRPr sz="1000" b="0" i="0" u="none" strike="noStrike" kern="1200" baseline="0">
                    <a:solidFill>
                      <a:srgbClr val="D8D6CE"/>
                    </a:solidFill>
                    <a:latin typeface="+mn-lt"/>
                    <a:ea typeface="+mn-ea"/>
                    <a:cs typeface="+mn-cs"/>
                  </a:defRPr>
                </a:pPr>
                <a:r>
                  <a:rPr lang="en-US">
                    <a:solidFill>
                      <a:srgbClr val="D8D6CE"/>
                    </a:solidFill>
                  </a:rPr>
                  <a:t>Cummulative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D8D6CE"/>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297771455"/>
        <c:crosses val="max"/>
        <c:crossBetween val="between"/>
      </c:valAx>
      <c:catAx>
        <c:axId val="297771455"/>
        <c:scaling>
          <c:orientation val="minMax"/>
        </c:scaling>
        <c:delete val="1"/>
        <c:axPos val="b"/>
        <c:numFmt formatCode="General" sourceLinked="1"/>
        <c:majorTickMark val="out"/>
        <c:minorTickMark val="none"/>
        <c:tickLblPos val="nextTo"/>
        <c:crossAx val="29777673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[Greenleaf_KPI_Capstone_Remake2.xlsx]Pivot Table &amp; Charts!PivotTable14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56B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D8D6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c:spPr>
      </c:pivotFmt>
    </c:pivotFmts>
    <c:plotArea>
      <c:layout>
        <c:manualLayout>
          <c:layoutTarget val="inner"/>
          <c:xMode val="edge"/>
          <c:yMode val="edge"/>
          <c:x val="0.21551651650790826"/>
          <c:y val="6.5162907268170422E-2"/>
          <c:w val="0.71434314740019433"/>
          <c:h val="0.82898111420282994"/>
        </c:manualLayout>
      </c:layout>
      <c:barChart>
        <c:barDir val="bar"/>
        <c:grouping val="clustered"/>
        <c:varyColors val="0"/>
        <c:ser>
          <c:idx val="0"/>
          <c:order val="0"/>
          <c:tx>
            <c:strRef>
              <c:f>'Pivot Table &amp; Charts'!$H$105</c:f>
              <c:strCache>
                <c:ptCount val="1"/>
                <c:pt idx="0">
                  <c:v>Total</c:v>
                </c:pt>
              </c:strCache>
            </c:strRef>
          </c:tx>
          <c:spPr>
            <a:solidFill>
              <a:srgbClr val="D8D6CE"/>
            </a:solidFill>
            <a:ln>
              <a:noFill/>
            </a:ln>
            <a:effectLst/>
          </c:spPr>
          <c:invertIfNegative val="0"/>
          <c:dPt>
            <c:idx val="9"/>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1-8B33-43F6-B909-75B20C39E19B}"/>
              </c:ext>
            </c:extLst>
          </c:dPt>
          <c:cat>
            <c:strRef>
              <c:f>'Pivot Table &amp; Charts'!$G$106:$G$115</c:f>
              <c:strCache>
                <c:ptCount val="10"/>
                <c:pt idx="0">
                  <c:v>James Brown</c:v>
                </c:pt>
                <c:pt idx="1">
                  <c:v>Mia Johnson</c:v>
                </c:pt>
                <c:pt idx="2">
                  <c:v>Charlotte Garcia</c:v>
                </c:pt>
                <c:pt idx="3">
                  <c:v>Noah Williams</c:v>
                </c:pt>
                <c:pt idx="4">
                  <c:v>Olivia Garcia</c:v>
                </c:pt>
                <c:pt idx="5">
                  <c:v>Lucas Williams</c:v>
                </c:pt>
                <c:pt idx="6">
                  <c:v>Ava Rodriguez</c:v>
                </c:pt>
                <c:pt idx="7">
                  <c:v>Amelia Johnson</c:v>
                </c:pt>
                <c:pt idx="8">
                  <c:v>Oliver Johnson</c:v>
                </c:pt>
                <c:pt idx="9">
                  <c:v>Evelyn Martinez</c:v>
                </c:pt>
              </c:strCache>
            </c:strRef>
          </c:cat>
          <c:val>
            <c:numRef>
              <c:f>'Pivot Table &amp; Charts'!$H$106:$H$115</c:f>
              <c:numCache>
                <c:formatCode>General</c:formatCode>
                <c:ptCount val="10"/>
                <c:pt idx="0">
                  <c:v>2050</c:v>
                </c:pt>
                <c:pt idx="1">
                  <c:v>2077</c:v>
                </c:pt>
                <c:pt idx="2">
                  <c:v>2230</c:v>
                </c:pt>
                <c:pt idx="3">
                  <c:v>2283</c:v>
                </c:pt>
                <c:pt idx="4">
                  <c:v>2374</c:v>
                </c:pt>
                <c:pt idx="5">
                  <c:v>2490</c:v>
                </c:pt>
                <c:pt idx="6">
                  <c:v>2496</c:v>
                </c:pt>
                <c:pt idx="7">
                  <c:v>2588</c:v>
                </c:pt>
                <c:pt idx="8">
                  <c:v>2808</c:v>
                </c:pt>
                <c:pt idx="9">
                  <c:v>3215</c:v>
                </c:pt>
              </c:numCache>
            </c:numRef>
          </c:val>
          <c:extLst>
            <c:ext xmlns:c16="http://schemas.microsoft.com/office/drawing/2014/chart" uri="{C3380CC4-5D6E-409C-BE32-E72D297353CC}">
              <c16:uniqueId val="{00000000-8B33-43F6-B909-75B20C39E19B}"/>
            </c:ext>
          </c:extLst>
        </c:ser>
        <c:dLbls>
          <c:showLegendKey val="0"/>
          <c:showVal val="0"/>
          <c:showCatName val="0"/>
          <c:showSerName val="0"/>
          <c:showPercent val="0"/>
          <c:showBubbleSize val="0"/>
        </c:dLbls>
        <c:gapWidth val="40"/>
        <c:axId val="1518700704"/>
        <c:axId val="1670835104"/>
      </c:barChart>
      <c:catAx>
        <c:axId val="151870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670835104"/>
        <c:crosses val="autoZero"/>
        <c:auto val="1"/>
        <c:lblAlgn val="ctr"/>
        <c:lblOffset val="100"/>
        <c:noMultiLvlLbl val="0"/>
      </c:catAx>
      <c:valAx>
        <c:axId val="1670835104"/>
        <c:scaling>
          <c:orientation val="minMax"/>
        </c:scaling>
        <c:delete val="0"/>
        <c:axPos val="b"/>
        <c:numFmt formatCode="General" sourceLinked="1"/>
        <c:majorTickMark val="out"/>
        <c:minorTickMark val="none"/>
        <c:tickLblPos val="nextTo"/>
        <c:spPr>
          <a:noFill/>
          <a:ln>
            <a:solidFill>
              <a:srgbClr val="BFB8A5"/>
            </a:solidFill>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51870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 &amp; Charts'!$B$122</c:f>
              <c:strCache>
                <c:ptCount val="1"/>
                <c:pt idx="0">
                  <c:v>Return Rate by Product Category</c:v>
                </c:pt>
              </c:strCache>
            </c:strRef>
          </c:tx>
          <c:spPr>
            <a:solidFill>
              <a:srgbClr val="D8D6CE"/>
            </a:solidFill>
            <a:ln>
              <a:noFill/>
            </a:ln>
            <a:effectLst/>
          </c:spPr>
          <c:invertIfNegative val="0"/>
          <c:dPt>
            <c:idx val="1"/>
            <c:invertIfNegative val="0"/>
            <c:bubble3D val="0"/>
            <c:spPr>
              <a:solidFill>
                <a:srgbClr val="FFC000"/>
              </a:solidFill>
              <a:ln>
                <a:noFill/>
              </a:ln>
              <a:effectLst/>
            </c:spPr>
            <c:extLst>
              <c:ext xmlns:c16="http://schemas.microsoft.com/office/drawing/2014/chart" uri="{C3380CC4-5D6E-409C-BE32-E72D297353CC}">
                <c16:uniqueId val="{00000001-EBD8-4A04-ABAF-0AC6B3FBEEDE}"/>
              </c:ext>
            </c:extLst>
          </c:dPt>
          <c:dPt>
            <c:idx val="3"/>
            <c:invertIfNegative val="0"/>
            <c:bubble3D val="0"/>
            <c:spPr>
              <a:solidFill>
                <a:srgbClr val="FFC000"/>
              </a:solidFill>
              <a:ln>
                <a:noFill/>
              </a:ln>
              <a:effectLst/>
            </c:spPr>
            <c:extLst>
              <c:ext xmlns:c16="http://schemas.microsoft.com/office/drawing/2014/chart" uri="{C3380CC4-5D6E-409C-BE32-E72D297353CC}">
                <c16:uniqueId val="{00000002-EBD8-4A04-ABAF-0AC6B3FBEE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8D6CE"/>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&amp; Charts'!$B$124:$B$128</c:f>
              <c:strCache>
                <c:ptCount val="5"/>
                <c:pt idx="0">
                  <c:v>Bags</c:v>
                </c:pt>
                <c:pt idx="1">
                  <c:v>Cleaning</c:v>
                </c:pt>
                <c:pt idx="2">
                  <c:v>Gardening</c:v>
                </c:pt>
                <c:pt idx="3">
                  <c:v>Kitchenware</c:v>
                </c:pt>
                <c:pt idx="4">
                  <c:v>Lighting</c:v>
                </c:pt>
              </c:strCache>
            </c:strRef>
          </c:cat>
          <c:val>
            <c:numRef>
              <c:f>'Pivot Table &amp; Charts'!$E$124:$E$128</c:f>
              <c:numCache>
                <c:formatCode>0.0%</c:formatCode>
                <c:ptCount val="5"/>
                <c:pt idx="0">
                  <c:v>5.0228310502283102E-2</c:v>
                </c:pt>
                <c:pt idx="1">
                  <c:v>8.1967213114754092E-2</c:v>
                </c:pt>
                <c:pt idx="2">
                  <c:v>7.4712643678160925E-2</c:v>
                </c:pt>
                <c:pt idx="3">
                  <c:v>8.0808080808080815E-2</c:v>
                </c:pt>
                <c:pt idx="4">
                  <c:v>7.5221238938053103E-2</c:v>
                </c:pt>
              </c:numCache>
            </c:numRef>
          </c:val>
          <c:extLst>
            <c:ext xmlns:c16="http://schemas.microsoft.com/office/drawing/2014/chart" uri="{C3380CC4-5D6E-409C-BE32-E72D297353CC}">
              <c16:uniqueId val="{00000000-EBD8-4A04-ABAF-0AC6B3FBEEDE}"/>
            </c:ext>
          </c:extLst>
        </c:ser>
        <c:dLbls>
          <c:dLblPos val="outEnd"/>
          <c:showLegendKey val="0"/>
          <c:showVal val="1"/>
          <c:showCatName val="0"/>
          <c:showSerName val="0"/>
          <c:showPercent val="0"/>
          <c:showBubbleSize val="0"/>
        </c:dLbls>
        <c:gapWidth val="40"/>
        <c:overlap val="-27"/>
        <c:axId val="1734223455"/>
        <c:axId val="1727706415"/>
      </c:barChart>
      <c:catAx>
        <c:axId val="1734223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8D6CE"/>
                </a:solidFill>
                <a:latin typeface="+mn-lt"/>
                <a:ea typeface="+mn-ea"/>
                <a:cs typeface="+mn-cs"/>
              </a:defRPr>
            </a:pPr>
            <a:endParaRPr lang="en-US"/>
          </a:p>
        </c:txPr>
        <c:crossAx val="1727706415"/>
        <c:crosses val="autoZero"/>
        <c:auto val="1"/>
        <c:lblAlgn val="ctr"/>
        <c:lblOffset val="100"/>
        <c:noMultiLvlLbl val="0"/>
      </c:catAx>
      <c:valAx>
        <c:axId val="1727706415"/>
        <c:scaling>
          <c:orientation val="minMax"/>
        </c:scaling>
        <c:delete val="1"/>
        <c:axPos val="l"/>
        <c:numFmt formatCode="0.0%" sourceLinked="1"/>
        <c:majorTickMark val="none"/>
        <c:minorTickMark val="none"/>
        <c:tickLblPos val="nextTo"/>
        <c:crossAx val="17342234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Order Distribution by Stae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Order Distribution by Stae</a:t>
          </a:r>
        </a:p>
      </cx:txPr>
    </cx:title>
    <cx:plotArea>
      <cx:plotAreaRegion>
        <cx:series layoutId="regionMap" uniqueId="{39F41133-1024-4D17-96A9-A9FF6CB128C6}">
          <cx:tx>
            <cx:txData>
              <cx:f>_xlchart.v5.2</cx:f>
              <cx:v>Count of Order ID</cx:v>
            </cx:txData>
          </cx:tx>
          <cx:spPr>
            <a:ln>
              <a:solidFill>
                <a:srgbClr val="6B8E23"/>
              </a:solidFill>
            </a:ln>
          </cx:spPr>
          <cx:dataLabels>
            <cx:visibility seriesName="0" categoryName="0" value="1"/>
          </cx:dataLabels>
          <cx:dataId val="0"/>
          <cx:layoutPr>
            <cx:geography cultureLanguage="en-US" cultureRegion="US" attribution="Powered by Bing">
              <cx:geoCache provider="{E9337A44-BEBE-4D9F-B70C-5C5E7DAFC167}">
                <cx:binary>1Htpb9zGtu1fMfz5UalizRc3B3hkd2u0PMjyi/2FkCWFM4sszvz1d1EtO1LHR87BDR4QI0hDzaGG
vffaa69d/d+303/dFvc37tVUFlX7X7fTr6+Trqv/65df2tvkvrxpj8r01tnW/t4d3dryF/v77+nt
/S937mZMq/gXn1D+y21y47r76fW//htvi+/thb296VJbve/v3fzhvu2Lrn3h2g8vvbq5K9Nqk7ad
S287+uvrXWFdenfz+tV91aXd/HGu7399/eym169+OXzVn4Z9VWBmXX+HZ319JIwQlDOy/0dfvyps
FT9e9rR/xLVi3NePN7BvY1/elHj+L0zoYTo3d3fuvm2xoIfPJw8+mz2+v3j96tb2VbduWoz9+/X1
dZV293evrrqb7r59/Sptbbi/IbTrEq6vHtb8y/Nt/9d/H3yBXTj45ollDrfsZ5f+ZJjTokgrm2J6
f5dlODmiPqeaSW72/w4sY44o15IJLb5f34+9t8xfmdGPTfPHkwe2Of1n2ubdfVW1czHcVOnfGDmw
jzZSGv0YOOQgcpQ60kxroxTZ20d/8429ff7qrH5so+dPH9jp3f/9R8ZQeFOkv1v3t1qJqSNfcJiJ
mh/iG6XmSFLlK8rptyh7GkV/bU4/ttHTZw8sFP4zLXR8b138dwYR848k177mhv7QPJodcc6Z4uQx
zA7Sz1+Y0I9t8/3BA8Mc/zMNc2ldl7wKb5xFGrr5BjT/e3rAxJFghinBHkFMPU9CCklIC6allHv7
yW9j70Hur8/rx2Y6fP7AWpfhPxLo3qS3SRrfVN/26n9vJ86PtOLKKP2IYkg2z2icOFIwoTLAwYd/
B3b6KzP6sYX+ePLANm9O/5G2ubwfX322Lv8bbeMfGWZ8zpi/jxFg2FPbKHEkcUVI+kj0DmzzV2b0
Y9v88eSBbS4//yNt8zZJ7d9oF3LEKUof84SgPbULSh9cYSh+1He7PaUGP5vNj22yf+rAHm9P/pH2
+Hg/3fyNFQ+jR1wyzTX9MRkw5oghiMCo/R8y6p9O58cWeXzswCQff/tHmOTlUvlpLfrszv9QJWDm
SBAmFJjY91B4GiqwDFkrVWYeIYx/C9M9DTio4P/9tH5soYPHn63k/5M88O+lg+/qyuamu9k+yDJP
1IOXrz4sF1rRwaOvnm7QM7/8tq2nd7++VpIhU3xXe9Z3PD643/TQQiy6ufuOmH88c3/Tdr++9ijx
jwhn2hjBJGW+pq9fjfePl2BRIbmEMqSNLxT4RLVyzF9fcwpb+0wYSQ3lRPri9avW9uslJo9AMHyj
pRKCKUrMdzXsnS3m2Fbft+Px71dVX76zadW1eDF5/are37ZOVRCttAZjAanBcNxwzKG+vfkAxQ13
0/9DyqQmkbd457qLmszsQG303P/mBsMrd5aRUqVNkButk+xYtZ1MxQUzRTlu49JwobpA2JnX8Rk3
kc7Zm8rzGZFz4HVJTLI60IVL2+M+z7opOs51KtL0QsTj0CTBgm+j/iRqFox1TcQwNkscxH3ZT8kF
HUoxL3kwauUFifbG0BukrsozlDGsD3M2FukcNFE0kM9+5aIutLJz9XyVNQulbKt5PKr3Opn6xLxN
0247doZHRVBq3ytD0VesCoreLd4cqNmL8jAWttF18FQFe7bdt7aeXRonj/rj9z//9dGW+O9BFvvj
y1W+/OMv0Lu97vniXaimVp9rD29ao+b7u/4Q4FZX/a7GHfj+Xin9N4Hx4sVnUfMMI55Gjc+BTf8+
aA6gZh+Iqzs+PPcYOBJ+rhiTCAsGZQFB8C1woCQcCUQA0YYJ6A76j7hR9AherACSCLQnQUM16KEP
GoLIUSAjvvpPgoaBTD4JmnVE6hPEJvOVNAyl9fOgKWjmKjrm4l7TqOvN1q957RUhqYd0+SREX+c3
3HOi3VXN3M580/mTSKbQsxH5GleOV15o/SlXZyYRc7/JjVc1J6Mpi/ZNIcoaTmnzSdRfRd5lk914
UhYZC2OlOL1Xk537D0UyqeJGa1FHt6xkjbyMZdrULChp2mIqvBaufJtQ0o3VJi6Ey+vAjqIsL6ia
G0w5Lks6n/slq7LfvXaweOaJSX+ALChan+2RIaDjBvC26nfYLnjEU2BRtEz7RCb6PhptlTUnXckL
flLwoXXqZGnjLh3DJa2hVhUkSv1o9/Lw1D8cXynQSlQEmsFSmMzz8ZeM6VYSmd5lNGd5GnaWCZYE
xvhek+3cNMau27iki3kSeNxb6urdyNnc+iHlixzZWSeTqs0Daxvm6KURusG1lycJF366R4qAakFe
NsgMEGfgls/nOCWp5yeOeXfScwPxN/GiYtXsCs07RoLKdVJ+yQWJOpSB38Pt57ZZxwXUK98XBImE
HY5b97NV1mP6Lp7hczIYSF20vyU88qs4GLO0T99WEZo3XZAk1vflHhb3vYEfDG/+tGwF/glJChlC
+4ih58uOxZB6ZErYnacK1bBQjESKGwSS153aJVXFZepRS9+wvJn7q7wlZEmCNkkLbMrLG/HnmSD/
rRlYE0NArNbs+CT7JSqJimwm7o7LESG3m6lcaL4Tbuxbvk11xOUX12MLmqCVSskvlsyDM9shtaQe
f2IV5PTn3iB86HRCaCkkTMMOvAG5lWRzXkW3kVkq4Y5tU5fRvPWisjXz8azdBBd5ef30AMkUEQbs
5CFQwVGYPtiA2CyZMHXnfU1Sp0rvZELeRkCUk03QIerHjC88TMt29utgMj7DRoiUJP1VWctsDiuP
uurKlEnpqk0jrPM/lENatV9fnuaKp3+QFK6QsQnnhAuqgOFo1jw3Uz9G2pFmmb5OrnNwAtLnBPYh
08iEF0yODd5V7efNGjTdaNePtI77n9jnT5tFqVQongj6EZxxQNvzaejGb7u5lfZrVQgPGJ4BvZYx
GGbSzeKcRQK438a9y2/KTFRAVFeXjooT7WXekAdNArRdkX9O8FSVLsVwzqe8tuVPYIUeujUEdyaV
L0HqYGEpD/LTxMaqNtXCvraRL71ym3VtXfTvmqVL6yocm7nB5DxVDrhm56a080bny+xdjXUdnbbG
FVkclstC5vMyaaouCipDJEhWL4hXfJCliZcy9JmZAIm+l820OiOLKfDWPI3GpvlJmFKQ5GcO4EuK
PpCRhDIh0Us9QAx4ZtUM1VB/UcKKTIQ10QKuGEW9MS6ki/IA7dG8R8+i57jWP8BJTSONS9PYMdns
+pH9PIb4IYr7YBsGgUTB2NfYPXCLfMrbMkps/aV2iKJmy9pc8zc+Tdh8ztp+xnaYaCiWT2UyzbMK
+sSNTRIC8Ef5IW6WyDtxJc+WT87rW3mpU7kShIkPZWGO816s5rEtM3CheVBi+FC7LF8+LYXMxzwg
RbEmrRS7v7LgyiT4koGrLp90OU2wHRPZjI92IXGnN7VoWbuTql9tl09xCoLRPAxvdOzNY6DtlOEV
FuQBM0+9auUGXS3K/GZqZdXUOzM4OlxxZpfuwrk8ckFRlM4vQy+Oyukk5kiunytdRfzTQAYKJ1M6
Bs8YmsqCoryMDYeoid1XRClUxlxJweiBa7BormJq6uLLQsvWxcHkE1W3wWgzW5yyvhkBFC+PeIhG
vgIW+RR5m3Lk7sMRW0faZCzZ+Jkt/eqMY89X+PNblSN5y6ER8kuUsQVOOPp918ZvFIAFfvryNFY6
+ywomJLSV8gVwic+B0t+DkcLG/rGM7L8VPKq7FjQ2V5497ZJGqBRkrcV3bpI2fTd0OoYiFMnwsbb
WHf+YAOt1FgMQefHzXkRaXk1MVfoOWhHKocPnfZIGjZimew5nIgkQUZ4lNYBjyRdgz1BvfbBDgnY
xWmU5d0a+QMX7K2PfF/PAcsdm4bjl1d8iGuaIUGBbmDVqw6CmuD5inMZJdXYtOp66CsCEiuc80Fi
B5RxY8BBsvhJQscJbjvlhuEj7h6YrSfr1aVZn41+dBVNcnVpv0mX0p2ktc9WiGyWltBdUwx1mx4v
Ys4RddFYrpyazrpEdCraIIxeXpJ/gGwaDAiVtw9UgwWhyR1AdcOqcrFZ5V/rLmGIra6O1wl0HuvX
0H2IYwjbM+YWJdMa4sDKFVJc3SDReAkFjaeTWL+yTd7mN4XJFD9Jx2Ldh2YerbyMmgl3pQlblzjH
pWx3uacc29XaDawNZ+QLLPcnSzuoALA0Q3GohSJUiODge8+t1U05VUVv52sWDytSda6Bay3Fktrb
jujcr4K5s83ySfnVmh9Lz1IYZJJlEc/bpZS0i3eGef14DZbqsB2jyhi8jw0L0KRKPQMX42NRr+jW
AzZPUr8eAWsdGAkGTLuI4C/UWBRbUcYcW9F1KvG6UBR9hpBIjJ/hr/3+rFCYo+/3EtM+iFENugB2
pXyhUXaSP1FdOi5czrLxPg6lskCHPb31Ez0NeYjKMomrn8HCQTpah+QMxJ4gLREJ1vR820lmwVrr
SX1sewoP6eaug0Mh92N/eFZzK7bR6NmpDWTBZmx4MUQVKAtAD7s0uqno3inZ6ijbRR3XAAME5PDB
QatEBig9BH43VUhUj2aLm7HCVk6FrhAriKLVHHE+rYbwspTiw8yZGT4QW1rMROQ5clMuu7VOfXm3
uWFY3BOmiMWvSQAgQXHW4M8VFehg68Vkmj8mySyLKOj6nNVhNJIou5T+wt28bRInax0Y3zdZEjjX
pM0ZKXo2iaAG2/HOXVx6/E1UJoqFzWin+JakBTkZo57LTa4qW9zxrFjch9LKEqfXFlqMb/lAybRs
dFYZUYcN+GPb78ZR6OHSNUk02UCWpKQXjDhqNlXlDA2zqetdFNhJN0sWJNXg+BTGUz4gGIbFjXMR
TJ7IeLYzPu35lSy6mcchmWg/9se1GRMagb9FcXfaJQrMLFRLMS4Lylq4Yn065XPUB01bZ3I3GBWz
jSi9afk4Suunn3pexNGG8c6n4Yz61M6BjLvWbEzqj6sgVsQnymfdprFkXM4jUxFyTEea+LvYa3VC
tnVuS349iyHOvWtjyTR9nLqJdW+8tqu8D8gYqr8TTkp3vaghrmxQW0uT9r2ZliI/jlKoG7vFcl3a
wOSW+Umo3NI2+istM13dJX5th2kDV5mbe9N340jCvBhbmp10UdUIvUEdIAp5HJVeLi8NVV6eHw+y
9tsiuU90xTrs8kSZdvzNwuwAl16oa+vkPZOkk2RbVbyu1WlvojQpLiox5U28zYa4G4eLUURxmu4i
Xo69+BBVPmtOZcaTWO/gK5LlQT0sBGm9aHU6miD2uGy6TRK5JZtPx7j1kvR4TEtkmzA3IwfADnXa
i9+s10vRnsI5Ri8KRwbaQi/7GqzLBN3M9CTfFr5S+Oj2X3ppWuAa+mgcwy225c3XpW+MP5xl0tWx
f0Inz1MqnDOR9+p4qjJaFoHgw5oXifBSLCdmAknlZopmSUyYicSI+O081mOt3mWRl43FTuXM8+vT
vJ+NHt7KjInUBI0xqyahXCeS/JOKI6jF55wXLXbKmxtA9hugdpOIc49FThUXNG1SWrzLsjHT0XbM
AATx1qaUYe6ArHVK8+AVxN+SOJnTZkPqPHN6U3XEE9VvfuxXGK/MCmOu+1g3TehQemNnfd2nyCAh
lcn6EswflCVoGrNyep60WH1YJ7Ricpcl47pjrOhyfNg26byrqlQr5POhi7UKzdhZOMBSgW8cd8aV
uK/eLzXpxILtazKFf8glbYTRioSiyKxoupqH1jzxxf+jxbTuc8VNBi3J6z0HU3hVrhN+3zQoaJqd
S1MwrXDUdFZNmOpE9B4syPum/9RlVZ9W2C8vWexx0i+cTm90ptYpp7B0vVxJeBZGYLjUfI28aXUw
6bzV8mL28F1hynVrhoHiVqRY3YyYw1C1GDZ8XI9zjDVfIbgl+E5MtZVXueCRYSEfDQSgoFYJxV48
ek+0tAavVJm3Li7q5ofN6OE1LnzkuEYsYv2LtSJ/w0jqvKvHrfb2t3/b5P19UAr8/I3y6xIToJWX
DF/zVNapO04rNmPRjb/g0HAQ+yxOyRUK8NiaQOwNZZehg6uh8u5dfFpRM0cioHkyzPKtKXuLXRr8
ssAtfg2NzYWQOaLBBDmZV9Ibl8LHl4WKSfPV7HfQ1ogg4Np+TYmfokYLa1vJkZ7MvV6rc7I37d49
ZJQX2B/JUzyxFapYFz/JOYGfxtStwyQ8kfhytg1RyfXipbzvzrBStm7v3pGWfu4xSyxyfQtNXYvn
0A9k8K62S9ap7zfUW8YFf9iCWa62HhFVnp0u6B9N9XFMICKR7Zj2FjFtsnhVPtoR9k0H5TdfqYwr
uE8rwFixeDeA7L5toWWvL/SH9YMPscZHUZE1HMpFrPOvehkn43VfxEWc7qpY471Jw2jMTvJ2VrQ7
Z3tfSbPWdOr4cctNNjhMZ0pZjpcgA1gMntVpjjw/0GaR5BrMLdPDpm68rkpD0sYRBhdZgjOKm66o
oW0WEAwg2cBMSX+qbLyGc4/8iu/yuZeZ3uUgi9N8xkxbTPak45aUZVgYXpRDELUxZEO00Xrcn3RN
iw+QRlFclk2P/8/lCN1OkJFCKmqg5ReXQ95FEAVGl2F0msR2+CSraEIVEM3L6vujAZRnu4k1PhBG
u6To9bYokWLL7eRVkWlPhUGqmj4TOWXAm7iwNs9PHuXkrCsSl+36pEC9ezvzFsdWTuoswXYcs4eY
aawusGFtNObR8okl2o7ddcPGZJQn3X7pk4lbbBGrpyXHivJ4bMVWLoQC5TrH1+2jU716DfSq1cX3
+qlu8xE7QHt/XW+Xpj4+HBwc9zcp1EcvSIsFurLhfl6ZAJLFLMs3rKYOd8iZrjXsIPoWfrUXWRYq
Chft+qpxkX8ao1+Hdyx76S1CWQ7VsBE8h0QZ0Rylb1midqrCroAwIc7LXK7x1PExhQgf57oDVDIZ
zch57QykyXao9dbN61O2SgV+r3No8VlRxXjczQVW+XkEPYu8szFqnUsvDctWkdL2SHdvVB4x2b3n
kLHmaDtFmTcnOznWomg3kC6o5IGCCCS/8JhRlORIhgbGXzy+YFWyKte0UYpodTfnO/RzN/udzDoL
JZqlJGXD2biIMlLv86UfvSsHMg1VYakbI78Ab+Ff3lgv2IGMk3UNUV15AH+Ul6tKVaTgq2DWprRj
/UWaOWnoVz4VsriUsqnnaMd923be72NKsynaIqOxQgRtAf3bC3VBlfsERXLMu48kbrI4DiMxs2T6
MCpwm+bODOnQ+J/bSEOaOHZ5P5Qm9PylzT8tvPe5DXpkhwnFPqUWnFIpYXraw8vLzPjhgC89NQRq
RGdq2jyuZG/Lps4gEIdoRM/rsh7gpiiGFf/MHK9oAva/Bm/alusd1YN6H2X++p2gxMMdczyvN0YM
6kS5ReW+9jbSIqoRyjHYYnS5dDOttxkCdY1KU65XHl0WnBJIZASaPWgBPEjwK5x6ceim2TEVUN8R
/a5PVDzaYCQVBHs+L5HxT8emWqM89pZVDmzRJ8IHBy3rTpuFwL85Qf/hErrlOvM8Rafxy+NAwhmk
tAau4l3tK7YqzRaVB1lV9/x9vgesfC80NpquYrRXNKsI2TrpON+UcdnYKEga2XtXfSpqrLkb0cUb
zlI/XmlcwieMoYZinVb/EHCezZFHgkj0a5DX/tpm3FTjtPqkihY/TwORtFVZbpOsQDTu9hsCHXgF
vRy/Y8B7eUu97DzxWaH0T4Svg4IeWg7wAR7sA9wk/ZOsnHQ4WAS92r9KrJWYtYrjCdEwWsBs4/E1
gooBwksSDGmzzv0n1d3z2m4dXq69GrL+lgbjHxS2rp+sN7YKUtUeGjNowJgF6gBE0stDHQjoiCaC
QzgYC5IV/i/Xsv5JX2jUeaMjUMlvPkLyydqwqSPO3+KA6OrdRiarUfs0g4UtdxwmewTHl+fyXEIQ
hMB/NF3P/6IdDj/3n88lGpgP+TaLrwy6avJLKujKx9sWvyjaLhbU+Wf7/OcBcfQLwoHEoRSIi+ZA
V8wTR2hRkuhDM1VIFHGOjH+q5hww9xjZLy+QHp5BIat2S4SivvYp2lEHA05FxuOqK+SHR8QYk2UV
7WfJZiF2E2/1sMvqaHHv+5HN2absqxXPmQM0eO3CkY9+MqPnno49RymlDZKXMoJDojsQGmdDvFHN
rPlQ7INqBK9DjE99HgHXUz2kMEHC+xmRaRiSA6iFl6wTyWrW9Es4NKjsd6JkVpBgArTMIaC+we2I
j4hepjNDPRmO+35WvYfZlxdxaEYYjhNGBDomlFJ92GVF3m06f/KGy6TNV2RaHohQ3Yqqfz97uuf4
IdJfl7oEGiCSC/J4jnM9q/7cT9UENuJr0l8+pr0pTposIBbIagPX4qz2fzYeJH+qoSwCuBGqf4ID
NkZQooc0u9ynJZDk1RoqLxAXVdusCePlAVd8+UNbgj5r0H7iiECcR+FQNA/0zHFeptQtIj9Rledy
EaqyVOyLdAiYn4Xgn4eC6TQ6eJqj0leHUFdGfjn3sYxP9lRkEFBH4Ed+U+Lj5VU9HsV4sjBohRjK
4IAMwekprQ/bhYSgL6PSpD12i0+SduuLaT2N0BPu9/b3dqnQQw9tG0NbNUEZLagWg07EHS3Pka1x
bi0ObV5D+bnwObQH8q6MRBzbkxncQNjLaEpzOs1h5KPl9LltmhJlkMt8XjXbsugXvwuJJbItN9oJ
SG0XbKKWyXdm38/LJYoR9jaqStpMb/I4GQyOzPSDTCk0kQxHNU5QaKi03BReVsMUjwRFeXgsCfI9
rQBD10gW8gHG9qVGPhJA95iUPqAbpeFKA8YB58O8E+tr1AmV3+MGUCzZq0vWFiuZ8/bcpkZzFNFO
ak2XNMjbrqRLULXOVOlG1qrI+uCb5NEgbSbBI5F5YFDorI3Y36XRaxJXzQBlCbVFLv1trS2GLHNU
FcMZQbcijcNiKlvUU9Dzi6y4ZqC9hl3KGQfa6tNMEm8VA9rBQWed93WYGeeWNZsk70vIrlBgFLoM
QZZ02kah19t4JGXQ4Hd1wn9nGlMrnOZrENzNRzGbYbEf0W9YO1rggMSXl7Zr0UT4mNZQm+MNDiHh
OMEucQ2lWVhSkM7fZ5SerT4Tchr9L1RMc6cvIZtF9fvKmCz3t1nVegSVMEG91IU4Aole+rayM2y7
GSd/cXNAPCgTQwhqRoUOZz5H40Vu2q5dArSjxxTVtNEOfdE0Ie0xJ0U3fpWkzOdkE3EQ7iooVVW6
3yooL14f6H3L7RGLGvTDY3mhS+B2tquSQvo9WPQDz4LwvfLEuerWpLN3jeKBDVaqyFGyOYMTMXUw
OCJLCiSLrcI0/Dz3gzH3BvMRIG71VV0Zr9iVqYhFkMTxeCXmVGSbOR2j45QP7CQlbDkt3TScQMmw
H5STfjgZkVyqtCsINOPBfYzg1CcchxHbANGXfM1cXfwWk9RuJkNxflEXrDtGsQtJya/Eua7JF5sj
HKuxlhdyTOuN4kkC6xLP7TI18W1m0/7tkhUd2YKVd1s9E1bAY2V5m9T9lU95fe64F5+XQ9ttRQsJ
Gmdf4pPB9maTmFG/V3XSoK9fp3dp20SbIqnjYOZVtRGRac704pe7OarQBa5qwfFqPVchzyq1G/HK
U4167KubbH+Mcw/RXWPy4jifaLEEs8nELsmIvao5tPmggETTBh6z8fU4Lfqm8CqBUr4vP47aT7fE
78gZJyZJA+t57IJDptu5rq3u20xF7yEepjiv1DFzR9HqQT1Da/ph8LMk3dVz5W1pW3Yf2oFDcAAU
bNp56s9Y6+Y8EOWow0iZKNG/pYNv5lOcQOhvW59ndGv7ukOZk5bJHAz4ofC97oQqN17kubPS4DjC
htMuez8NLEedVNpz0Xa0CSOd2BuStfXFhB/enbeSrh4aibWHGg/j2QQ6+4aofDiF+u2dpTlL/I0G
+t3RccTh1GXRNEHZXHufx7oZ7xvPm0I/pctN22bWx4mCGscHl6WF5yZFXQQ4MeX6Tb2M+XQm+7iJ
A0Lr9HKmCkCMkiocRlawM65JUZ+5qXE7v+79c1GUUwCl95MY51vSR9Elpwifoe27DaRFkgbxVA5q
I2bLtlx11WWdcPd5ridwMoL2dtwGfY4zEHmo0ljUgdczfoPOtA2YX1THFkJB4JOyez/RKn/fJnOX
h3nXxddNMje/uaku/aCZ+imMqKuzIMP80HHV0NwQeFOyhHzS4zvjt0kRVsuQ3WRlvQRo8pSf8Fvx
Jqjrgb43aCKc1r7TYe9IdMbTit+0Wk4XGfT+AW0HjjPDXdQFUe81qEj7+EJqz6ZBQXNz4zwUAxsN
fpYFImubd3KU+Q5AL2Vo0kWddNQm73BOB2c7xsRd+7aqj4d+osdZPcgbx6LrEXXy9dKUiz5uaj4H
WVPG9zM25DjpVN9vQQPnq84ZEQWON+jY5nEXkGQYTqXJ6+MGPJQGsWrNtak685VNNfuYuch+HZZh
ue/h4JtBWf8Nx8GCY4JMsWmmprsCv/QCMVbDhefa/MtCbHXMChrhZBbk5MtkJhy5bAIikSzV0INE
Lk8UGjNh3VbZcS56d42zXQzzH/wzSiq2yyRrP0OXa96ZKnEndC7MVVm65Txus2Y7KUAuyuAyvaw4
6c5cz8d3VRu5j05rfsvyAeDgN/NwyecSwQNN6y1lXX8+OTWepuPELHQbXR1HsuQblMc4YQnZw5wu
nosuoihx7xdfJ9ca0snnZtHdRyT8+ATBpt4s1Otwhkmmu8JE4gIdbsrCrjTFRi9zxeDvrtotsWff
5ZDg38WTrZsQJ0PIzo1Z87nueh6juF6WC2d4f46DSjnUgdJ+jNliSmB2OW2Zyv+HvS9rkhPX1v1F
uoHEIHhlyLEm1+SqelF4aoGYhAAh+PXny/be99jlPnbs83jjRr90RHcWCUhLa31TxgcKzi+zegtu
Yyt9IPOGfCWCQYN2tYbBViXZ2jr0ujmfAWnHV3XoWz4VHhxvzZQ2iRZXC9HyDihLc0OCtXtuJvMJ
n5EAeiv6PLboYNTM1Y1LFOSXoabVKek1e5uJmJesKRfvGlKf+ali1g77kjV+kCUl5edA9CbeJV7b
Jae2jHUOHjfYUgu+O4+TreWp2qbEpq0vupuegO8/r2TgeNaRt0zmakgsiB7qDF2OXTC0t74LyAfe
JZXOImfKvigTbe6VrGxbgPJdy3Nb1X2VE9OFECEKQcme23Hc7te4M3O5v7QeXp4MDk6JGk+tX2R9
qjGTmyajHJ1LFrazsNdAS9SY+TOVjwvf+jXrvSa6glxP0HyhaBHPEwbx6TmsMP0Z1BGjpzBC4yQ7
yIoOdor4KWTO69Tj5q+C2XR1g5fMJ4Zi5x3jAIzAfmjWzuSlHcP5ISGyVlDgyCYxqSFCNnVGgsQ9
VD5UMykrg+ZDv1Ky7RcMmirz+MC8qyVRrsuYAY5/zRuU0xwCuS3vgWydFJuqDEb3+jSR1Y3qtllJ
lGw+Hn/nuTYHTtPWF5WWZmF7O02Biqd8jVTUMADsY4/9EIPezGa6srYI6NyUV3UJdjZtO8C82Ta5
oUv9dgXxw2dVH7oqCPtCgii8rivApLlylTv4EokWeRR7JQckpgw91tJo0JFzyNeULWC/o4lNNyRM
HM9aJYIx5UHtA4oDZvdMNTFfbYLWxIdhgu37XsAwIW3JZpahhStJn4GbhxRtSXkZ3a8k6Dkaszle
qyZDJZ3wP/QeqVz1BUVoiKOi1I1OQzlQlxR1yykvC81cH4bXFLaN+QlkbisOaoiDT9Lat20r5ZMs
9ZtMdKhSjAntwwJtRyFiYfYeDg8PRSIyoL/4dm5W1twYv5p3tjRJpge96RS+HU+nbRu2D6ZrotwY
mE7muApQX+3Ufpmk2Ha8b0DjSSeuwTDGXkbduAz5hsMmuEvG0n/gEBCZvLLAerAesGBS6OGWr7TX
9Qc9dGNcjJzLq7Hv+od5GCdZzE5acQRqLHlKWpcc214NOeuGZlcPInzoao8WyVT251qE5JrVLjgz
DdKylyPI6wRjUc6YQIzGzOf95hhrUo/jEM69xA5joWnU30A/uExHbRaRJuPiuWyopcqCaLQ6TWgr
oCGFIHI+jhFurlgBcj9sApE2Arz3sFfg13KDTbmk21qbG5zyOPyrqG7ySqG/wFcQ9zh1qt3Mkyib
O10+q0rSNyBvbgfRTrLvvaTdcc3VHVGeyWwblS9e1z41CkowicFtx5lQr/3Cpj4N/b5/9T1hTjPz
hUuFcSrOKoCjJ6EZblp6QLgrZzMMu/6twlhysgutvtSlz99qIelLTf3lyoK5zUM99EcfkPEzwHdW
X2qa06mvvOE6EsJH34rieFmEwZegvgzDa9deTm3Hxs+9jUlVNFEFIhRgch8du7Cr+mw0lZvANW09
wEK+KJr5DepIGpFKhdeNHtnnsiynOmUNvkOqGl7GWY2/mwH+wpooVx0e22hmPJ9KCDkNeq1anlrd
Tx81prYyq7Xve284eBeTJiRe7IFMdZRPWpFDNYTs6aIb2NHN1nNarUTfhqFTn2cbaxwPmDx3/Syg
hupF6F+BujNnvUJUkhqJlubKjbP+XLPJVdkImNGmlW3cl2lasVewKTGnzRoo5lcL1sqmYORs0Snr
nwBSS0imKrehmYds9FsACanYtbyczsGK+S0laEemvBEDCQsytND8epsNn6exaV65ti6rR3/MG48M
3s28cPoAdi1OoApCD5dG01I2+wVN1QnVr1sKN5SlQiuXoPWEioP0N365UJLN4qLEW1sv1IXRFg4D
KFKwiLKgbEsV1HYnbQQqpa0zVaNJM8VljLWZWIeKoaf2O7G9dOPc1besp8uYY6oQNUpaEvWbzgyd
ZbPuicdUF9xGsy/itKZD5X9qIBslXWZJ7JTYgTCrnXddl33UJxmmbRfodN7KdpwzjgM3XPMS/FXc
pDPU3MGad3YVbX1eY8F8LxtnDGD6rrFAh/zUQeadzDsz66F6kbIOepkv2CqgUeDG8TuTWjfAkbaT
6NW641zOpP1rHEZnw6KE/qntinAA1/YgPAbuZa8hlJq63KwB8dSdmnWN9xAQyKVmBSUzOAALmTtu
/1tLEu7hOY6qW/NEly58CcEylQ/fwVqiL4TD1CQXaJRR4fQZ5r8LdQ+9wIUHwT7c+FcZCM9Fe+iq
N+y3gY5J9TrrpSRl2sUAuggmW6GWCEcEyvH0PJcAFOKrCQ2lu/FU4q1BNstxHur9BnYLbwtHnurV
Zz+eO9vmYTPNa3f2Z9zeliKAirExg+jFb8WDP4W6iooIQtXKP3nzPKw9dEjVhB4Hs4McdlrHCvWY
TH1eQ4V0zSDmQuuuE1TMNanQRMXBvpp4u64aKKwFklplkFTNzRIUsnNB1RR6geImAXbQ9fHVhtYv
LgRpIgEWzIpEzykNhiQo+Lr5wR68X/us47l5IlDXTCnrYT5Lgxl7p4DapP3qdTW6LKjfS1MXfTQm
ZW4NdCou3dgA8nGL5vVvlf0pqaS9A1hqD8CBq6veE35Ws2i+VnRd20L7LcRaNgERrEnzoBK38OOA
Fo6nfqfXIHXdUnd7M3lQMbpYLx3MObb+qjdP1CitQSvSCOfonE/+tt6PFVkcGgTSFOhAMSEKpcNw
b6JganPRxu4z2YRbdUrlMtD7uK7qMEfcWvfFIMjCpKOyGA26jVhMI0bRskA7YcbDXIa1/SqJuyAu
6KhZl211KXfwaVlBdu1MY4hz2JB0mfCCvi+C1RsPdOz5a2ObgI4ZF0z2GQDFKsSEytfxpo0jb86Z
F87TC6QPkE1AwwqVXQZNx2DRIFEGXRHArRuJybtNgwF9+LUD4ebSxa95weuoORE59pCyzyHMFdDW
6RbSDbbOYx53YQJKCsbTPXwLeDHcSZL60NYdBt0MKpsBmH3eIFjA2hDJh5l4Pe5z07uIane34mXn
FxNrUihoK74RiJcAHiotrwjK8PiG4XIpP3DVmkvX5bPqgA4mOpmAh9VnlEh/3fs2UPf94otryCTl
V2konny8bA5yNTEDGdm2yqW68pan2IXz3WKaErcAGxvYYd72qKa8hVmhDpN7CviQ54nqlyMFaFHl
C7QxHxc/gI8wrMfg0AVKQZ5owodByH43sc57icxI04RDh1iaZoNCf9zWFJaj9QaeSlblbB4tTF1N
B4F8UtnEHmVkoE4buw1yUCkWh6+bNBdpBKbhTHd8ZTswROBZPR/Gwlxa36L0EvgdqnTSHPJCX44w
88puHa/9Wc9XklEb514oNd9BCKEfF8cnqI6nDncJNQB/C0wZy7RFA347kEvHOyKuoEvRU69VGtUi
gRylHqoyx4GuoLwCXHK3tUAA0i3SOipqC4Fd7nttVWyDw2dkCDkdZCOtzq2v/1rGsiuYGF22TOH6
ylEt7NlNndF5M9j4fgzNNONyYThgIKiAArWsv/Ybwc5x2dQcMiGxtqmhIjkTUrLPa1PVJ0f0eAet
nsqgAWOf4IqZO/AMPFmzKhyVyfgSVGs+L6sa08bATl3MZRU3qL/Gb86KsjXcTdESPhNRancD5Kr2
AQb07Zo2uqWvVQLFQ9pCiHHTQ2HiFXyBBTrbEgZXwyC8sC1aqsrHOnRmyXBuoqtDf56Xvhniy3OL
bhd/AQzts17cxE3rvwxQWcjUzs2rP7b9i5n6Pi0RsXfPoaiEUEpaLPnGvEqyeBK9lSMZQedxbWbY
e0bgLm+dnMnRKGzq3FQ1v53mqT9N4QCvh+H1FXABfiDCi5+BGFccy0BGnzXb/MIF3nhvzcqO9dhP
LFM2Xi7dmtdCOtMB4uHjGB9Gv+yifEsIGqe2Sty+C5lt7uGWrXIDcCs3WOpBNvjhXKB9oedu7Uto
Axf6UorVvSRioqkeZw/WybAu2rgRf0FW7OVBGExPMdr9PQ0E/dxDgf7i4SNhShweHCT/L/DcxNcO
JP9e2wm7Lp4/QaA83enZW0UaT71HsQ+2u0SSGh0NDdo9zgPTYcwY/TzmEKfg01fLwMxHBbAjjx0G
lQFG/C11Je2fSdwED6r0gzYLgOofte4oqDAoLWvf/7LOQP9NUWvgQeYzDqi6tTk4cLiYXjDR9q2+
N8HYB+HtpMoBVX5EDh60SWaA/xkiAbeqdgDXAMKxvw1WSGnW/cLg1WC533tuKo/eXLZqO0LIvU5P
onJL+CXsgr4+qD5upyATgfEmksc2DBaD4lVDzQJOC/oIldAq8nII7+iGtjH21iozdWQ8d5xXBxQz
jZgLd0HQLfFb1HUTisqg68Y1qGNh6YU5+jzoFHKyRlJC0BJAYwU5Mtp4qKpWeKGxaSBjD0JIQUvd
f/MGsvIxB6EJoV4x6mWtSzCWlayhFtJSXETkWIMDaBCp5OYNH6wfTxhhKt9Fxjz38SKsykHExpj7
YBmqnLpRqh/nPh+XKI5o4Wl/HofPc71Zuqb4K7pas6UP0JKlmy5RGQ4CfmaVZECsL3cSRNJLmn0p
neXDx5nIjYVphZQD/Ddo4XnkzmQaMTCf1TqKJsqcl8Tc7v5Az/1sEAH5BwM1YhnQY4KVRlTEO3K8
8zBzKKeTL56Ci+RfrDeL6hD0k/FbCbXnEtuuzbw2MIyn3DQwIqUNeJQxm/zO8Sf1N9H1++/1M7uM
r4WchQh2VcRagDwEV/Qz21uFK6xJsuJf615fvE3td+FHWycNFiLpQZf9gaj8mZO/XBE2bjyNi3cY
lO8lYuBHTQZAw3jy4Jf41n6/ov2uqvHDzoCaH3kZzBDBWc8RWD4qBbLy+6v4V+rI3XdG9Ht4xo95
Cj/GK/y/nObwP2agYOkleBn/VwvwSwjKJQLr8KnVsGCbbz/lQHz/5L8SHbiHFEiQ9tjFkJX8O82B
XNIcQrQfsRdDbwGSHSv83zEo4f+B2Jcie5XD7QUtDjYH6OS/E1IQagg1FsS8yECBi9zz/5NEh1/4
ds7xh8C2IwERmoL3DHhAIicHgE2HugvLzN8ikbJIPv/wUP61fH7MWvl5y4SI+MVFkNsC+RLuE6LM
nxfw1FsCRXa8HeYag5jjI9o0biHTroOp+P2lftYvfb9UgMfCIdeCsua9ZqhvhYNQ0N8OzoIUq9C/
nBnAmRTIVouGqpoOLTVk77YwSJH30v/h8r88zhgaMdQGGLchXKLv7bqs2eJwgULsoLrlkbX8Y4ze
8fd3eCl7P2gWIFPAJcKE8cTDe4Pm+eeHaQxZZ0/Q4RDS5dGF/vOYUBjWGUWrug3ffn8xlLRfLxcw
6F2DKOAI0rzk0P5YfHw5BJFLxvEQQGt9knVLddYnpAXSLdpTY4OnAL5nDC1ymKB89HsFDrZJNrQ1
tWlNPvaiSjmTkCyUKq6P88KTNrO9TYbMNY3ETDMmqgN1QjVE2SWEudBmHplq/c9MLXsJcvavLgDA
lV5mw2cc9xq9WjK3eU06/6ZEpkful7UP1cbqnlclzFUVyUWiG+SmzDHsto8RhumP1crhtmmN/wFj
Q3gbTl19H4VEpTYwbTrLSd7MtgMZ1SYi7+MZhn8vhCR43rZjHcvrGV72nd+2fwW8ue+r4Eu0xR9A
gLfZAiPPSXvuTdoA9oxWRQVBCgm4CLXltd6GfT2EaCQ6mqNhXr6ZMoHuQZW3eo1IXiW9KQLWzsXS
L9GNc+BTExKJE5P+MydUnMDkThncnxoImP3mRyR5hA+tyleq1A102/JxioImg344A5gKpUIP/Muh
MThskJsWCpET190YZnMpUk/E63IOpRfVxWLgWsjkssrkOMVqdruq58njwDHHlHFIMxZX/Ep7Snnn
DoZyuusc8OanoOPkY1lbc9v1FH8ndo499rS2Z4QezQdkfY1pZczU4q2G5Vm0g7nuGy8sABfXuxbS
mRRSGHU39GBD1AK7rl1ntrMwmz2jTYvz1Q4IjSkrNr/OlTdQ4HMrvSIICXmsymErAG7S9H8m0vTW
mbvWjFciWf3vZFow+/UBSjV6TZ0fHdoOa+FvRm2eOjTfrf9a1iZc07qaJeQDvjsEY5V8gCFD7Ymv
zfXf9NrcrDmDsf36PcXWR9D9pLB2yBSW1AoE7r95NoiGoruKjzuAuH0LVwnHoErlm5rr8oiPfXRW
ngBuDLnTywe91k+KjjIlVpF90Hb2PI0RDJ1gdjDOyOUDEQvdM4izDxTZJSC4p+AY6nE4r0BcAKlD
QXHbrjg3sKKhskpB/3gffDGsnwBMelmDTXNlpSLnSUZs7zsAOlED+1Gu2q7e1WLg+eANuJqsAW8D
1CX+JbJH7IQuV8yCsXiN6wnoRyyTPTxRy9kpzOO8B30XJaTcj9YT2PstSVmA2SoQYLjbsIYnKWqW
08ZKeuWQx7ETKkqe+76HlKZGSn3Ey0++8D8mdFsLOU3efeVW78Cs/8ZBkGKkkA917wUphfg29avt
BDfEnFlRm3QLyATLsq1zSJLLLNoUjHiD/qAG0eTdsH2tZDzGaenVaxoLaY+CyLmgxPvg1nk3uV4e
FAHe2Cd62W81/qyE2vHJUMJblKeFwMRh+t3Mev/TaJtLRACm8dHtBi39xzDUCaCc2nTHjtvxbiba
/4S6HR+rdgFnTcHfO5BMRVnOeENhoLcb0dQTS32h16eexs0VCtJ2pA4AAODEV9MvI/Q4oK2XWPQZ
OGmoNrzySoI+LnEApC2gsSmVEphY09LuZmzjY2PZU92WsJMI2mUyNqfAxCTfNiJyUZP4Wor6mwDv
mm2gWzjk8Z+gc9Of1ezbWx2Amk3DBnsPJSG6rVblrpAu1ByjlpmDD4tV3i/b8vK3qgHdEK7sJWpd
sybCBkpJ59RfiSLNR7oM3qPgW/DB3xRg1AZGRIhqAQ1ALO3veVNORdRhfVEXua+wTJDbeugaPOYu
qw1Xz2EZdgeAnX2TDaaZMxq4IFMBqkcTD81+3nhw1fjVMqS+3uxtO8bkAB92lA0D/8KpD3mBTfDe
QUqpY6xi/tiMECx0YQVelwVrxu1aHVgdMCCcSQn3Rd+fezeHh3AKw1uI6+pDSaR8i8OildW6b1YI
VEZbuieKypVDAxbv8JCaRz+WNAshNoEGZarZQzAA3F3a9uO01sGbs1F5E5lo+ziC3oEYdKmgkTXm
ZqZ62tWtwspbuToENXiVJsIiw+H5V1ePLBUwuO8iKcYjzsflaOH9Ti88M4/OkB6CFcxZM87f+4r/
3+T/Y/7xD9FrcEujx/qfm/z/ziD+5UP/6u9j/IwFYtk40r4uBoEwQoP7r6jDBDGwELEnSBgMI0hn
IzSs/+7xY6RbJ8ihusRg4Uy8DLj/7vHppceHKDUOKNgcdLP/SY9P3/Vw+HUNitwrpGagy4eZ/b3M
fHDETUMzAkTSAaCNzMoWbLpBGtVelF4XtShoa9tfqZqS5alyXXB0ei01YHLw1J94ZTtG89WDNNNB
JxRtKyRvCDVTZ8kQqANJVgegCLSxGfc/POl/mBzeNbuIbscXRlwW92I0vez9N4/HeWlgKzZnX3ru
npaIhwkXlVxBI+LdLGRFPf39BZE08HPDi0vC6EF5AMMHRpVfFMgEYVv6IhU9R1Fy1U+cKAAwCEiC
xQk9LtwmAxkO1Hj6NVkG7MpsDixiJ5JoBscYSuBfR8ErtKub5XgqXSTmbc+myN3FXQWFdt/N7g7Y
GH1sGJ22fSC6/qxGCvpPAkGzsHgKE6WDgaYKplWwfzu5APM+k8i6+wba2ZzRDalhSK4YIbe6dMYJ
2Fkoi7lQbQ73NoU+M4JTPYvwRoasncZ53omRrNdrVLFHA10SFPiwWkHB1VZ7cG+JKbZJ0xsTo1Bl
HGVPwmqZLLKgl2/uQTJi8qGU7JFSUoHY4iPuDQbH4ZWUq7uTqF8VZNowCRd+yPQrs0u9ZbDbD+Wt
K1t8o2QN/SMwVtRRg64Q4uEBPN0jZIp0PDMYPtnNVi+c7CK+RvoFZtGuPE1mxPqTY7PB1wUq9x4w
JHskfsPcRyiQHXnz2YU4rUaH74NQDdcfQY/AJGkhSdoyERFcutEW/1XPNb4dUxfIyG2DZ1NQjqq8
E5ZCigSWtMW0AL6lAhvbhZ/UIsXzvKJJsQi2kmmyUNPCSRh9KCOYNDNvHPCQqjXAWwDrNCFGDnI0
fQg2eDQLPEekdYZQ3FRIEmqGJXfhNGwP69bjtVoWMnqWCI4qT5B1sUd+eTjJUNV4f4A1zwlgQZpX
zUR4tlm7XJdy2T4QKF+gWfxvKcwAw/lUQMqJTYiDFt8SjvGFgz9gTYEQApk34UBBKf6jNGYL5/6T
VFN4/bc8hlhObxarmzvfr+UnBlT/gLiYAJIGEH6fOlnbj9r3kFxANyxZMMfuzi52irNS4dTL2kbU
64m5KHRFiDniGU7AcfrAqo1EeWg5lo0FdF5liAaIzK03YXjdjaEkXZO1Myy3EMYG8CD7ucKKZF+W
i9QsrXwdLH+tap31K/61VX9pt7j7qvXoI/RFTXURmISfRgbNelb2CX2E5RqvB43uEKH7XfBu62Vr
2mLjvX7Fk8Hm4jCgb3sEkC2wknngN15GEbp7zPXYCBgzUB0RqAJ/fN140LWyrdTAnUdzkFb1EEgK
5u4CPxwuNNrqrvxuxqNHC4yrRAB7t5RityWFcwrPBdgIuqU5NP25K2tmHsGGEfJMZr4NVxMzxNyt
6PzErll9lF+4VdbkqQogN7wHtItYmJYYyGrBvx83G6BAbGAcQCFOgIEBvUL6jGxHiQehPWSaiCZu
HABqgd2jBwCYGLCwkGtH8OJ6AtIjj+xlU8BKi78CkSpqKMBx9ljNBLJCQJBl9IJMk5ndKpGgUKDL
qfsvHAzLTRnFSkKK3eKa4AaUO3AhjXoDdbpICKEwRH+FDGGqPxpUCLTiTmyhue3brsMoAlpSJAVv
JDEFqyn+kofldBoHjnc+NfDFqmnz3cd4FkP9LeTgzuFbXCHmKFrPMnbb4vzZhpTNSkZH5FLEUNDC
kOd5R7j+gDggRQ/JuaSS3hsIC8yg6PtvOkB1L6GdRdZv9AFpHG7JaNvPTyvcn0U9jSXmZX0R6Mny
iHYVjLwQENK0lV1S6tM1BFjVhgcCOH256gMF4uSjBOY67gIdRh3GBjhZEaqrexAdsfc8hpplfuu9
EZh00qnDvFBDY48ZbnGQWNZMfm5Gwb85CVyqg3TzFg6wq3kxw1qgF3Qfop7Lt9C3XdHikIICb/Tv
40F0bxTCkR3oTimQd9KCv564AUuzQoGskQGYsq1urpH/1zwxNfI08cZpt5EJ7bl1LutAPBe2XfQt
ItnaK4RkzAXQmOYDyrp+U8lcPtiguVu459TegJrfIS7PQT8LaS1iH6sHOUbN09IGo4T6vOuuEhxg
eVMP26khSQ03c1ClFpk4YAE5R9mzfv+IQ0e/dIh2LXO1jd0urrz+YxlBYUdx9CRpHCGSOLuEst3o
yPnpRX6ZS8HHvxDLaHJoqYID25TcLQ1jN6EcOcSzCAZYU7eiHchHw+x5AMe3j5thbTKF7IAjLx2i
WkL6QYle74F+zDkCKvSLqg0wJoc0gGO3CmqLteXzzTAF4gGCkmgPSx0iMKGRRHwP2eLdukbRDYG1
/oyCvR68rkO8CblodpGuUayjAezOILAe5lUdSiQDPcKQvH31vEadEwi4zgZpN80f8L9fmrmLEQv/
IOMHziXkT/8MyIEf82OFkfDkJm0A2wrE7y4+DqGAIEtEebZHYk1jDr/vi94Bm+iKYI5GQieCOhEk
HLyHcAPAGNAKhclpaFBFq6BCYdATQ4/x++u8g4r/vk4E+xfaZQZb1vsMJwuR0jwmEkp2JHqhpnoG
NbuDET6EwV3+odn7p4txz6N4nNSPwTX9/Cgp9jCRaAJPMTJTir4vg+NYRgiIrBCx9vv7+rWRRdAq
8NPLL93BkvgeGB5kwjVxXnTykTRw081ovUMIDrIRdOt55H38h1XyD9cD+gzQF+FbMDDF71BiGiMF
sGva8LS5Ujx/P4I6ACBVFsIiuORjteLx/v4eL4/rB2Qa7w43BzIDhwr0jL806yvMJ8iTmYKTiTp0
V5xAKou2ROAE7hzDGRhAPeJnpLUX9IAoHB+//wK/LtIYjmU8Z+jbLhG/726674LBc3Aunea5Modl
If7R0aU//y+uAuoF8c40RMzou1UDtcTSiWqMTnKCTWCtumrPgan+4WH+071goITvPEKCPrLyfl6b
0eQDO4XG8pRAephHyAbOmNP/i2USJoHvwd+Ol8ffL5MaMCzsTX14YpDR7itTYlHYFfEKxQqBwQ1i
mOz2h5Hu1/qFmo5qgtsCkYrL/nxjXWWRKtREwQmh4NELnWN52jzEh6dz0ydFF8PLmkbjhiXy+9f2
62aHqxuhlRR3i98ceH+rCVsqb9MhO9UzdrfoUSenCEA3UKr4D4bgf7hFLA4osSFHR27u+2LJm8Xg
Ui2D16lsYZmg/XkbJ/3aBFgw9WWCc5dV85/f34XHo4DCIkTBsZ+fq/UQKVQCsjs10WAOXRv4x8aL
yz0GnT/u9L+595+3OtgncGxBcPlVqF93Whmb2EM9OW1mTOIUqVvhkobca+4RDQYZj2rKDrG0aJPd
gr5uQa813tjBAkcOyBhguOjDT41k41ekovnoOreuKe/iOtLNHx7Lr4XwkvMMly8q0iWO/bLPfgg0
6KpwgfBYYIVDnupnFbI8X5WDwDS1ABVZqhK09b9/E/TXvZuAr0df6YPVBKV2+U4/XFM2wEuQP4wl
HhP0ug72Sp1Ozk1fY0NxZJZaXNY7IgJvhrkZXq0NNwohaOLuh5EB5BzkvCFQFbbGPRJCmjL//Rf8
p2eCSnn5KRwf7469q5MwG5abjbHr4dpC0+2F6o1K4p8QvNJVKQDcP8E4v+y9CFH02A2AcrBEwSf+
/ECGarw0/et2soGAP81T8mJ+6LBMncY0/vu7+6eLATcCf464ahwH7y4GW2aCtJgEZIV07k51dXLl
IdQRyDsIk+oPF/vlVePOYhi8qOdfTrzw3a5ra0L1KLz1FIkQgyUIZqwsbERMib+/q3d5qSFDWjsE
1mgeQtwclATvFnLjl5WDwXpBB2HK8c7DDDdnJB6n+kmQfhvPWlkgIYEM4qsS3m6HiYT7BmTs5Rjs
B3dfVjVwArJgWMpGuunXjRtz8JAR+5oA9fJ3MCBexvOhxnAM+9B6N3V9AtLq93fy6/vBz77A1Qfj
fejD4vFud1TdGuuLPerEthUm6G5G0u6CxEDprf9x1wXZENZAAGc2ID3ItX5ed5P02GRdaU7Gi/xj
jMhT2GL6ISkITDrnoHN/xA8vp9cPhTHAsXb5QRnoRpBc4v3ylrqt9elgwuAUDS74dskPhVBWJM9/
AyKIqwGqM2xN+NSDMv1DpUPU5/uLY3tBmwTdgcd8dEKXjNAf6k7QiKkKlkqdKAWStOWeiqN63K/R
NvssW5yIP0e0roPc9iMd/4u981qSG7m26BdhAibhXgFUVVe1N+wm+YJomoa3mbBffxfIuRLZpNih
edaDFCMNWagCEmnO2XvtKz9peAMtMjnPTLXUKD/MfLnTh4oq4lps9Zqud7eDxQBTO9hQ48cegm5+
GPj8G5SUWs0nTZl99t1xZhSe1dziIwUZvA2vUmMxOCyqN9oTgkikt6Yj5xsbL+QQ4mSg7ldQOIqD
rBsTN/KSCVgenPWij3SjqG6Rr+VXvaOQa4jMufluWWvcuthQhmgNv/vWKEvrdShde0BhIPr2QhXC
NcLXFrbJywwIcKWNHHkwUgTcwdBlNj3qRh+n5pluVd3wzhgATsOhNUrjC1rggqI44AMr9OnOUgxd
kiK9GZeZf3a1bm2OTkOJ8uD3WKjPHPBqWGe6lX+7du7fm88RP8G898ttX9O1vGspEP3lhWo5OSCF
kfQc3Jd+9otj4mnzHXa4KkVui6nwoki6Ud1iReGBmGiO+x3Qyba4a1ad9aIfsFvvDcACd4VueheJ
A03szm0N+WWWOr9isnJ7RS5QD+ISaMFWippKHvOsZ/xFfrr9jIOWoiQwNYF/zczFxcjdHKloDNTm
skKRDOG06C0j6iBUrtRGwDh41eJYu9GK+cTBSVGZrhi3j928AYHmBsoavq2VVcuHSkUJJy0taV7X
02iru435KKMCg2J6w3m1gWG/uBOKDsCBx3HsUfBFgxpBRbZ1O0WoLRkwa8IIqmkaYl50JyQJYoyx
cUKF3kC3szFmJH2W1LS8dpDrYUaHbwZm5lNlTAZ97h8MUiXKAyFMDLA69RzzSst61oZv+wBq9oy+
NXEoNaROQ90MggIE+5hCiNdRbWvmF1+t8Y23jvPN9xIcFGW+DCgy40GgTnzO4jSNd3KQU3v2/bVy
TOYWfXtnJtfKvWf6j5TeJojMD8ZspNkZ1V5q86YSTOO9YzOKMBRyMksJwiFiQG41cyuXw6cla6Zx
P2fU4b+3ZgzchBimto1EItjbeY0rnlFIb5VYetYZ3EWOP7OhU4H/tvy5WGP6m5TalXthI11fYUSi
E903HmkS52Qa8JoSvkOnoVwEN1bEo8AP7ZtJdivrji9i6NRO9m1pyrt6Nbr54wBaQxsp9AA1vvMa
fx4u7bk0HpwcMxJe9DhbvnoanYxdDvFC3MI5owqcLuyNLd4/RP+sx7QBUnTZlCsYK4JuTsEbrCz3
iY15oZIAufqGzS+zEZsQmQdrRW1eK+38VPaSav1SUpTcU0FbPUoSuYhPla7PlNqokCuPAtk6jPn0
fcX/X5/0jT4pmjN6l/+5TfpjHvW/G6Xf/9bffVLDEH9RaAGWtMW8bNHy/+qTsjGnUcpmjZ0NFRdD
sLb9f5+UHDkD2SC9S2KsYKqz5v7dJyXg2bb4QA6u3yWUxn/VJ321fm4gJ8OECMjrrVPCENvO5Yf1
k+IzxvmBUmQ9WUTdTNgVgsaCSxsW7jTeOpq9nPJ5rIudrhfqg2rE+K4Qcgay59fd0w937zetz9dd
229YKdKbXATH+rZxfqW8E/XSFn46jFdmVxtXSbEydQ9ug+tyHhWY2HESwweXVwNlXOWx8kCeYzaA
YusKLA5u/cVHRnPNZ1D/NMvSeAetyzPYDtjxVwOI7vzWFvXVZvjbN+bYu52zOeshTf35/okM/yiU
R3VlzcihIgfY9bsRuYS1V+7S2FQWZiOPMhej4uo6+FeWQrcOFXsDVrOxUV/SWUojzLTWjuAFNFjW
ELRQSertAn5sw5pRDNj/caHJiMKe/yjT7hwwNh0nwr+cSwoYY/XGtsr9eVPFj9qOci4PgnIaBapX
+25C8nCZtaW8Ig0GwVKCPDMQhcnQaLdO7jT3/n0bG+X7Pz/+V7tkHa84nC+XUsW3eoW1fa0fxqKt
z4loZVJf1d5qXIH9Ha7orwNSjtPHP1/p1Zb125WQIXBixQ2w7Vt/vlJbg43sACBcwdQRz3DfWSpj
5S1mULTpTueEuoaWvnhNCC1lqt4aNNug+GHHzOUZKPQ7BbxBguVeX55id4a2HayG2xX2M7IY+7kg
erI82Gsld7i0mmDRefSHiS4qW6iicb9i8wQj7i/iYnYwaobWRFsuzMEgvcPab1qoF5fla6uNbaRr
sCFCG05Kf2Zb7ITfOM0Yvz4oDvhMG7DRTMpaYlMk//CgdGewa9uOtUtjiKvnDHcTGkANiZwIrIWI
lhNnm+IT5GGAOGsHoRXnRRaaxui+KHddm3Bh+4FPJh+/ZnA9v4x2m7qnPz9iCr6v7zL6DxMFCJ7X
7fDlvjoaOD2NFyC91mUugDn6XqT8lJ0S6DJ/r8aBLQhMidsR5eBA9Fnq4i6uD9Ls20MpaGcVZVfd
texM5oAVPHma8qo5LhL3S2t37TtgJl4Ugx0NhybPaf0oC/9anMv6amo1idsNY1SCBjgPsGVy4jfH
tDoDelHemXlykwAxYes9uN0VWZwPyqw0iy6lyY3MFnpMvUCDG+iTl1+Uqe19iHUs9vQijYsVj4of
TugTKrDRS3bUvB4H27R4a2RMNvK3fP6MOlLdD7rmYu+rlIsSohvY45jmQ5caEzh+RLbINdIi/uST
UoDPvO60j0MF7KhtJT4uqDdHo/PLL2xEHN57qyruMz+eXdpdIjn1cT+EC/cBy5XpXwN1mHcYi9ib
s9MbdyX8R6gqE0R3Gv9sEytp9VjX/esUHaIewaZVZyw15hRCpnYwYLnl+7nS03Oz99t7G9vwYUBb
Z+5BV63PntP0O0mPbt2PyJL3Gs6nZ/gH0wucutYOocrpQ1An5pjsZ5U3vBwTzapkHLx938RpVCqr
Oqv5o5A8Rd9wo8EcBbnMcw3z6oSRprHnNRCqjENLaXWFq7bYJRvz8XbCrRBlsgdpljOS1N5Sky8P
s+XOFw597TK+HaZOVVUAMgMiyZc0Tk1z/YCGct4cnn7PVN58NpcqV1YfDGoYWv1KFQrwGw7ibj3A
uFMxsLCMFnNuls39tz10vlicGQeeQUzhSPdxuaYAaKI6jlkPVVlM3Y5QqEQP+1IZ8XXa6Q74p4Kz
BdvEufTVhSMpqRPyFzeGnMKBtXDvaGkeX4+8Ok4SEoKKOdOwClnt6zLr/QBnFL7YHU4CGoKxj8gr
WGKONBABt6NP6hPPRl/SpesvY3YFe7tOEHd4q82MWaMwHMIq7Sk5jHJJ5A2WZYQhTZJ5L9qAHEKP
9MZUENK8wbuy0enGp9pylWvnYT3Lbl3OJFWLHqJIQgN6F8uRmqDfyzrbL6VT0Y+UsmpD28SlGbqz
vZSHngQCLeSxmk9aW201RctBUsJ/dO0ahoUGsorO7ROyBL86Wr2vyl0B3fZuHRT1nxy/s4GwI5Vu
DQHFTNUh7se2vmcxtk7Yz8xiP7R8g12jSprJCHBWXGP50k6XlQfkbKfxqvTg84zh1BNhWtLKtZIh
cumEI17/JhqqCahcv+IE9J3I4wtwtlxIHzkaeibO8FUVTghhrrMiWs5xtA5xgXVx6lufsIYpF6EF
YXfFLZoT3YviWeyNNgbz5KZ02DigkyhwTDODI3jhixQ9LX8uMHw8pgyfBPLoPGU484FKaB97TJUL
WHDeI/MKUUuGKMkbhWY9LOVkDldO6y9NVGM+vKRLzZJE+7ngL/hbKXlPcoZRfwBXwYmxI01g3svJ
XrNzwnvU91MhPUuqG57B4IUizolpJ52VUgouco7UpUVqUYh/b5eRHPGhnCZ2FlRGx3tpO9Ontk8t
8BWIN3ZeQcEHPkHM59hlQzmh7kfjCkCIJW6lsjlSKjAQf4u+FCfqeQenPs/Oejgr8I5QUJnXmYYm
p9a7bXDmeSfR4koKifMiODjq3cTeEQUTX6wBjGWcs4L5j5TUGN0Vs2QfoXJEXaWkH5s3eQ/67M70
ah+poMin4VLNatt8bmIwu8BVtGumiks3zYpihe4fSjf9W02p2r76xPzE98L9eyXsml8xdGDGg7Ro
OLP6xcir05ZJkd3WBGtAthnYFST8O+ZUU9XpdWeIBUOq1aY6j5vonuGy0lIqTJk+dLBc8AZZO1wE
nK3535yz+UVMIJAstn2yqqvHmBC/kzeSUhGQTVEwLkAEPU/1ptWZe+pglpo5HCdsc/PzpgWyeu+x
WhxkrVO195PuA90Dh+KGwKZwalDDD+dk4WEsXnq3g0ADRffQmtzWkDrV8rkoC/tmHiTe+44ozeJp
cqpEnsG0qV5g729zSNZxDuYc4Fm7DGSg3LfkDT5pelzhmWgTPP6CaW7pp/QuA015DjgktyPb7E2g
4CU9twCVuf/Y41NJdqVZ85og/rb8o8Cm0X2tmJCXk2cwpHaU4BgjuQ0FY0+Lb9yxyEzdudEPphNy
HlcjK6016my9O+Q9PqxHbWGbflp9ynlfYA8uksRdwx1Bm5l81FwZG7FuAt16bHksxFbjqiXjZhzV
5cyx/z4fZRd4LkaiCufp2YpNCjSdblCwacuiaS5rZxYXmoKqsEu7uhrPk2Vq09CzOeo/sBORX3Qg
o+Ao3UyOQZFKRPL+NHodq8DS3ZdQmLL3RrNaHhIpdmDLu1YBvOLDoLTtUiJykpMWt9MnArq1kWAM
jBXHDMfT7Sy1eD30gI6yXbYOvKGZqXLrZkZIZl9VNKUoG7ej7lwKIwUTubC7kbsJ+BPcVFSdG/bF
rZg7pCx3+EvmPhpLqGmHlXwjvqqYKTAtMaSIMG5hFz19KwPl6aaiZ6XzHxnrlbypfVwEuAxan2iA
KkUjMw8fyH6ZPCMoitF9Z+OfmaghJUrAwyu98a6LJYq1JWFE79rM4mlycECRllmK0qXbt6l1Y87w
xo4EMfn8rnnWksui16itVfQt0JrX1aAuyzLm+/eELexl6hUpbFJUVUsneO8RwaDmEXHqXn7blf6v
kvJGJYVSBWes/1xJib6Wz9Pzz4bS73/n7zqKa/+lE2OM2IJKtoNA/N91FP6Vy3kEyhz7/O9u07/L
KJb/l2dhP0XrITidE/nw7zKK95cQGBbpmNkIVP5LSymRqz8fNnAJbuRt2lTo2zdb66s6QJGPaW7g
SztbiIp5r3Kkyvj1rWkIKG434ez2ldq33XJTNua6Uf/GUOcEHtax3u7zMUNTt1qr8T7OBvaMdc2W
gPd0+jor7HIeHx6yFOL0TtRNTYeV5aH8+E39ZA1ZS4YLO9LF0hFEzz5wNG5idhYjpbvPyQS/oA27
XpW5rQj8HPT1zGV6AAkA3uSEDZvqcwPKi3wEGKQbKoptSn8ONDQPnAp8rDbb+WHiy1GcJU3t6K5Z
fGy0Xt3VfoLyRWYfc7fT3mdlpT0kXe0EAj4R+3czYR9HMbP1ZHsNdMSLqlnejl7yBZUHPxIeTGCk
5q0wl2Lv+7yCSIKhqsOHP+hJ8dICgpvw3IAGqvUVXm2b4ffvVLvvVq6ejuatY83kS7jqUkGfDAbT
vM0M7yEeh0uAHnWQzvX91K3YryZwo2VRj4EJsYv/qi6apboQXvs+riBWrIaaT8WSfPQdiG8dZRia
g7fFUnzs7DHneNDcz+jjPhQk6UStlaZRQeF9j/9yDLOsDhmCD7MV72KX0wx0ju0rAKC2+Wj08niA
Vle/tgpN4+RZNMgK/fKRaHfxyNQJxbMuiZFj3wiexpuJNVYssjoQqbW9oXq4AivQ8H4t3XMjjP6h
9dUI2oPlPLTakunYhFU12Wext7Kyo7m+BrTQvxeF9+DIrAHLitDFYEN+AWjVRRTsG5TiHQ/mo/eu
XFsNyak1vYMTtdnyGumihpfVrenHw2dN7/o6dDvdulWQKa+qjANkNJnp7OGgwJeI6uHeorC2s1D+
sZY31p0slb+n/UygjZWytvLmBHk2ZtT5WYTGau78Ay2glvZPa2A+zRZAGRicA+WNEPFMYx7OE4J+
yNTrNfsdW4DsXFSO/lHwwyO5AGasshzEjc29bPaGx2kU+M+in09LZxMrTns/sO1cLS9QhVft4FFR
iV8W350uS7MHqJHUotiVbsZ5zCiTsK1y4/5/E32tMrW8MdGTarrJcP7zTL+nkJV9ef6RHPD33/l7
pvf0v/gI3SYIg0Mbrn8Wjr+dRZ77F9VIh6o8xSekJniE/r9ibhl/oWqkZ2fxBQg8tKhZ/l0xp8y+
2WjQLHAAdlDE/FfOoldVJQAdlk3dzsDXzz+Sj/Jz7Sthl7B6bTOcmSbSbzT3Pudi6N3+BX5bH1Kd
3dcXhUPYW+SnaK1+uFe/qZC/qrxx5qEs7hncn01QCUfh56tD+VuBts/qMA3muHOXyiFcDHPcAhL/
7B9cyt+ETkQgc+teXaq3cixAla0OTDkA6U2DADOZtjvKmd0/+FXcSjxhVEY3zcfPv2o1CJpZhFBg
7+eMysraRT1S/1DN7lu57ltp8ofS67cbuAmAEMswKH7RGNJGGIrS5gb6WUw/YTE5bg3OC87FKKnj
zdTLCtTFcYG1QDTf+2hAQ5KvzW+e3lY3//XixEpso5jayavfqdClxlarFMgU4QTkP6W7GjTdG1K8
X8eIbTIuXSQ6jvmrFEsmniXHLh42R7ZDRpBZQ7mzZyzuu7yt3tQevWoWcEcx7vBumWyvGCZi+9E/
FIPtDiRfaqjhkCwOTPai/0qszYuXIKLBBHvuQKl7o/78620k6wd1G0JKmma/7LXitMgnZBfDgXne
ZgeFprjV/be4FtvD+PlhcRWKl3B8dB8cyXabf/hdYsBTXKALOljZSMa1pl2QhHq9GCYgf51G65/f
tt/dxR+v9mpo0CKE4k6L/eCNEz5/aOXJWFFqzgv6cb6vgr4oPv35kq+1M9+enEeXEaoPhXwK+j//
wiUlkQFyIhkDqSOuRSPKxwQqPAKP1TvDDsjGsLvDOuyFXSnkF0fp3gn66NmQ9A1IdH/cDbM5Bf3k
tp9BOGjHxRE+XmzV3W8hD6BVk9DAK/HGxPRaa7h9b5BArm6w5990869GnCcTx2zAUB2yCZIWJoCp
cIN5tscdzn22gxIkf0vKXmRx93ZmOYuP+urON4AM2yuXlmeYtIl/TdEheeMFt38zNDmioK7nDScW
9nXnLPdLSsIAMWkzpGDpUjuiPwfT13PwrHWJfEd6IvTpycEj0ZRrfSJCpb+gtoqRv5rZ1o2waumv
wlYFnxZYFPqiuPb0oEabdp4MZn9lOqt2xDbYRChliC90twhiaPOPA1W+RwXfOPQpGIa90Nw9Cj4M
Klbv7YZmPqmilwH8yCFUse2T4kx0vCjecdqWV4VYEOVYuEF6jhTRpKnrxgeS02XuZlID4oZyLL7Q
00V/wpw1HpBZaFs43UuxWHcKAxQwwqQ4U06qrvnkev/n0frrC4IunI0Bbz1rMGL3nwcrEFZ7sKft
ocv0SiuGlL6gfjSy+WFY43Y3DMR1/IMrUkJCT7khi15Lmn3COzC0FOrQx/HRADtVGslnvxYXvUVB
nFLP+z9f79d52+OYsGWH0/Nn6/PqCCkTf6x5NuqQLxC2zVFMR6zw1s4z+7fi2n8dpkgqTcfUaY6h
4nwdOZQMHGomus8Hsn/t80brjGMzDe4bN/C3VxEAezhgWxb38OdHRqqYVqmJG6hBk0OV6fraGQVp
7+bP983YurU/z9T8GoS9+KVpIbMc/XydguK2Qd2ansxsNBG9jnzvzBXNeEkKtYglIckWA193LRpX
3hO1w0MjiuytaelVCYBpCXWHhUECGSSae/Hq+XVdQ1zA6JJXM5fuDqN0uad6r/ZiUpkXWmIVR6MG
mt7rzdeymdy7Qm2wH1sfL6t1tU50id4yAJi//U70kylKQEzEWPHzrUmEpkGgtOQBtmN91Ht75+sD
ldpadVexbLGPugOqRcrXIZGGy/WwgfKcDK6g79UNTYzyK5mc4xU2YrAa00eAQGbYZaq9X8gzDlqF
EhIx2XSqF9IPdPWWsPn3P8BHtI1hCRHNVkX6cRUmJ8SvFm/ipqbLXdK77X6YRPIuZRYL8XrmUSwN
PaxcR7Fi9dWJZsgzBJ8H2Tv+cWjjOJy9ftxRM/dvG+ywD55Yv652XJ8sL/X31JiXaCpyjbVClSQ4
Q0J9Y3Ruj/316OTA8q9f8Gp0TgpQcYIX4LBoeXKKV78+KXsGPqPpkcp6JvmBig28oaPVUE2QGH7f
eA+t344CLELUqDz8Ua9fd29hLqHLLTdcvAKEXXr2J7ZVN66QmDh9/UtTjvOTaxrpZ/QWahiTkNgZ
ahwQO4MxkXtTl03UIzre8jumCrjV0IYpFzxQG4JWnyfG16U2DKZK9961ip2NhTIC2oRjHTuvMdr6
hWYb5dnaNM/uqN87OAlDog3oedBMtd+4579u3cAL60Dk2CE4eN1e3XIKfgTF4nI4dHn5VMcHd8zL
SFvh2Terbe3+/IB/M2077Eg4eeLXZ6/46pwkMV/VPZPOoU3qFx+xCqs2JSNBn/CNK22f9GokcaVN
aiSE4+qvPRagfwcUsTYjqU8ewOgnTwh3kVxWC6cJeyko2euO5p1ihzShP//I36y+DhlUqMQQicH0
ePUjVZJ1hABgkhjc5QNKmZvZ7e6IlnkpXfWJI68T/fl63/aev/xWG+CPgb4bXferRwjSXM5ZxpDl
GF7fDRb7niW2oqWmcGqRkkOH6AHZ7RwlS8vmRnhZOMoEFTW7lT9/ld8OJpwjrCwk5v3iHMmQ5trE
jcjD5DUq0luX+iYtfjzXTRLaaf7y58v9ZtF06HHzmLE9/GoVcIhQS6ph5iGjkD5QIIvDlZjyN86I
v72/OGFwM223V3jb1/jhdAN8I2kM1FYHzsjEqOMYiMYaHqoTe9pxQq0RJnQkI23pKDDGSRVSDSjR
BWjn6+q8NUf+eihHhsWpkEM5usZffFzTMtgrwZV8mZHkMrRBtGT6lVScJQmTiliBVlZgoFz4UU0x
6G+8Vq/lTNvC/Y0q6Nrs25FqvhpripQP06r1/rDgNv/UuhQdA5Dl6lpmho2yxmnIhiKjRCcGZPHR
Ho5OV9pYDVpS4arOTYsQLst0OaYWEDpTqQFGUmLLL38eGb+ZaDw8dqBx8HoadEF+fmSp5mWLXTvd
wZnjfj+ARdgJibGDvXz2xi35zaVoAmJ0Q6qGzPR17SeDx9ZihOgOaMCB/1mLe7vWaUUYhqP/g5/F
HhR2pbOV1H6Z1dC8g2HxRHewzay/xUTj7JvFjc/zXlFF/Feh8eb77PEjk/M3kxhXoizCFhHV2utz
o7nGSd4MXCmjUxLFtGjuq4RsQlY3pFZzJQIBFOiN6eO3t5LztSDE2BDIbX9+akmik/GV2t2BdvwY
VvY8BVlemVGvm/KNS+El+nWFYKehg1BF1GgxY/18Ma+AD5cgVj+gctJx0y04UcIsFdMaoTUAOuL0
0owc9uSQxqxx0vacHId5tyLUqG4rz+blyixqjMdYLuWj2Y6058nS8AibKwlbCdCqpc8NKrPLAn+t
3Cdpia9N1kZGP4efZIWu0yBS8kcbmfqEznM5t7XUP2RIBNYdikRiQzCUoJofTMQ6pZhtc4+XcnZ2
FkAC8z3Mmaz66pAYinKJSBknPcfNZMUbkrxP38myMZZjSYwAaWuZUZHFrbcGrj66vAc5FKO8sqt6
8C6FGpb41pFoVfb8b21CUEBs2hwMwi9I2kZwkVx6bm27EcaPJt8Pdlfej5AQ4lNfaw28I0ADwZL0
JjkvafZYEQRAZMOAbPFIAHnSht7Q4Hlbio0cVBE72F/kI8dJYqP8dioPUk5+EdH4X2boNMioziuN
/jN1h6o1o7ayt81V5sGXd+nWL4EbqzlcPdH0962NcuWA4CFfbqbYHe8Jh+rVjnQv373Tm8ojnGgZ
k+HIJhYknzf72V6AYydvsE3WNSQ20D/UPUvUroy38h/BoX4RdNL23gEYB85XVg2OOHK0aM2gizur
vOGWOu9+QIv5RJRP+b4EvXOnagdRY4VtXVvycmd1/jVAyH3dyf2cuvVd7FJEFSnKI6REB1MUE5nH
RbVPhvFk4aoOzVY+54UjAKWYcTTks7VHSfRFgH3ZjSgq+A69e3DkpO98HE8H4a9NwI55JXfOT86l
aOdPrkICIABOBMAGn9fOsc9GC7neOC8BFpNHFPY7B/LOjQ3qdEewXXZTkNMcDph+zr2qTC/RA+Iw
dZFpyix+nFfLPtiacZtlSJqR78TH2BdFOOfFwKaC/lfJKhFJ6a63cM6P0DJAmazw5LO1uCZvBkGV
6E8FfrZo1QuC8lSPOBAgFaL5gpxcKyVnKvNuYk/codGZd8bkpft17ddwoa0VxSZRXCtb1zuCytqP
tSf1izp1vWhRnRPNuupfHK2rQ02h5vUoWB9oQNrHHsZs4NbxfLT0zDzKhdB3ihQnGmZ7+NjGvrCX
9xVqoPd1Fp9hZb7PhuU9iqx6N+lwFvshfl8RctTzBkJPHAe33o8aKZ8IAx8K34tPMraItE0ab6fn
QuM5dIgicx92MeeGu6zXxpsu6b07AnJYFy15QTCRG5QzIjKccV+hLLRnnqWys0xWCC4rb3wRkvwF
clHJQ4oKAMXrgmC2q/EdBOw0e6ReTeaT/NeAQQpMBs9TRbN+jlzcZKQ0KSaJPBmmD/R+iytIKxnl
EdAzXmEc9SFZkN+phrbp6p3zDw3GY253bMMukRcQCpJJfiD+yJWEEpmxmIpoReH7AerPHkcu4kcN
uVJ7cDWz+TxD0mnPrKI0h6jytnifpcGkcaFpjsqDwvX6JCiX0dZOlGd1SZG2Q23Wc6cCVdRltHrV
+JBS1b8xy9x8iIGLZscpd/qdjczzyphMb99A2IFA1FGMSzOpf3L0mP0k9d125656ed6yyH5W0kuc
XbmQqZJP8LTo30vnXuCqe/Ep7sPYgl/H4Tse9Qg/6fyOPlP10rcwKIheksZHdHd9xBHNvvZrE3SJ
X0O/SOVyUOxYHrxF5B9GyefA0EK0pszutEK9Cr9ZrRCtyyeqcFsjHs/0ppRmJKSW371PkfN+7loB
M3XWuvduRy4KuZWqPFoo4fYZYp8nu0EXSL98wsgW25WKhlXycpSmZqN8EkWEZc8OoUlZR/RvRQQF
x9xxKvX7fcG5qTojaYs/r0jWeeziaVNc2rT0Az+ZYrhXOmzjsKI1eGwJ9t3GoDadEj9P7/UqLYPG
Rc21J8K+1R7R6fEToQT5Kcy+la/qFOPjaM7DBBc0Tq4zDypBo7frZaMIdhQp+AB0XNlB6JlzPyrT
XgN2It3JadP0GvlT+5HSnbmjcGZfJz2vKqnG1bpfh7nYT81MZgTGluS6hL0G6Buo5zUvUcdLxdOl
CN+disoX126atp/6MelJEuqNB5lxv7O8WIg7qpeDl3JTtV4spJGY3W1r9+0ncjzrnnyytR2josuz
A3c2O7Pnio/V8GMYvehOrQEjcB1l+0ktbf8edqdJp9/tPjeb3xJbGCkx8Aqr+EQm3II6Q8kv/iTt
a7F22hSMjZ9cz9kWWYtKr1q+IFkVaBFakxiaMrAmckYvDJblNiI1MYFU7HUdffQ0r5mhhlhiMgZP
1sKOuiYDPn7XOmlyBemo+egkThEpsGHk7iGFN4LRYxNp488Feut1p4UU1yhBH3zeV/x4QgHmdx7p
3uSRxNmZ1fK3W11Lrgc0C2sApJkdeI1O6FpYXXnsi01wqnyKOFFWTPEprRR/IB5hNBDMXCogTG0z
BCvvOWWsWj4tC0VrD2ztFzcRdhjHS3k0YLgwyoeUsKgWd+M9EcAjYGY1EL7c8CVLW8f0p/r22cpT
517z146I63pKrxengqAtRd2/L7t1vvEcOTzq7VwAbONxm33sXdi5Ed+R+cyFCm3Z+667iVu1Jr0W
krvm5elyoyfa8qKvTXbQZgSiaG28+A5Fqzh2elpfONbEJzYrdldDn99BgJBf1gnlLjwKSuI7jczi
F7elzBfGQK+bgHqLhFnpaBOwKQ0PMTP5WmlYjZz4TqQcuQKso91yrEawrfx2RtKqdT1TryMYacxZ
6XVZ5I1B8Pfa3GgE8xF1tpQ8a116KWm2VuPVIbHdLw2SJLxOekVKUTV1L1qTG48iQXE3TtL46ow5
dgteve6W2WJ9acy87UPHrMF49bk9fEXxt9o8M1RLWttyWxxWcnnQp8LoA2RfxsNqltqdr0BQZq4z
fgUL092quKbw35ntlRqX9gPBb92tobzkGpIxFAl/8NDte9aReWxTDHq838SLqqcOxY5+2wMSYI5v
iso+NoiiX9hRu5ecieN9O8SgzNESuNRNlTXQELa8jyvgoqu4apPDSOr8mXAqHg3L5oXVi2IIbBCS
N46Q7R57kXzXtyMi3jV9UUnD/yXbto3isbU+2X5CmkqLJLkVSK1NiwhSe7Scg8H9CuhoiqhQPe8h
noXlzqgw7bIJISZJ5PGjWSYiLLXmnnyry9FlSkS0mHGW6THa4pi46qj/kAUznkhOxr0qC+dan5Ac
I6dn3rBW2ut6pl3ODsGE9WLH905sNkd/hgHOpFuB8atpNnYI545EbJ/GZSFJknfzUk+m/qJO3PqU
pKDI2OqzBYQwE1BCffZt1OyFW2PLbkbrC6lgpy7TDaY0zHerJbtd7QDRn5U4BxAonthvkw+kz80n
f9r6TI0iG1wzj13cuHTLUjakUAeXJw/X+R3QlWnvzu2Z05Rd5EPdBDveNWeEbT1T/6s+kEJKpJrb
cJNMjTTz3OGEE7rLIlK4loU8FppObmus4QysRLsHDUrjyxhIkFqm6UZgCT5YeS7vh07D4Tz5yd0g
uchgx+7NgAIXjIa1EGwGyANVvfOIr6I8yzL3cc716kC5NGUfyFYOgB5Spiab0svMo3DTGOYxRjj3
KdXjaU9ipX5QgEwjLxusaBp5GWWbKuL3KBUmkNfO2VyIp1zYoJvnZs/rxATcABcIEgfNlF/6/gux
kubT3Arjyq/8FdVCJR5IBszhDvpibzN3nVexLB8N23Vvl5GnZI9y7vYu+8KgVz2mwnluv660msyw
TVR21eUMg6wmKQKpXw3ZuQWEG4CdlOHcknVFAyHwV5Rsg+uwoRcJsdzLXJxAtJ6poitJ5BQacrp8
vl1180nh+QAX2RHXA18APRpOxRjmXCX+j70z2Y5UO7vtE3EGddENiFKhkCKUqZTUYWSmUsCmrjZs
nv6f6BT28R0evu6748Zxqgpg8xVrzeXEX1E9U2bYcpdzBAqUgUN28/WOyAAQb3c9ZCky5tJtCpZ7
k1ud81A2Tl2H6RQYLC2K5ahULe/XCIOKGk3LeeDc6tQkM/m8AgTJBqPEKp7vKtrSgqDFZsMOTd6T
HSVeStN299AzKl45M5CHFmARhpxMmx8DcivPimE2XZ0nQSGOnchPAfykm+OhcRTefIjlEEq/z+8L
rvJdX2Eb6u26YDk6DZtq6oczc1+1gRZxgNIavATsTOlzvnfgb3HFOCAC1nBYLHupv0EjbrzgQ+iO
ten9MBb3V9zV7RsVa/FWwPbj0Oq1r16BZccCgr8dvLG8KpeKpSDni6U39vyQtNu0oRyaD1gfZHbS
rHqCdOHpvXfwcgPBZmW79YNGSjNUXrIgHhjf1ODSQVrWrAEKDqHaAIVTlqK6mq1fXl0gaQW5pRyg
Ip2G96I39R9VL9J3UslI4DQ1vmGLCuDkdKJ+UjZ6ypeOiofrltHkoOGG7S012CNF4/NGgSLxytuS
2dkCrgDMPAPJIwEZ5hfqYzpT+O02GRtz/17m2GHhCTBE6NVYfuR2xVShX4b4Te+F8SP/FI/XNnaL
vp3jNzMnMzW040wjKHiJ+3fNaTTyFxYZIHLMneqpaGcOhj6dp3rnJYOsd3YwMdEY55TbIzVHChyQ
cfVT6o5YbqAYxG+O4fA1QTODLvBEQISiXencRpVFEGoke35LTATIpaIKlZZHEzPzQ0VmV/1dtjgD
faNeSTigUzNlyY7ile+8aD4+Enti/BildqC0PRFYlAADG1IcznMZnEWq20QCdCVFaxG7XCVt4VUX
FvMYv8lOEpGVjOCSNjh/yg9zHPmpEGSxEU+2Fbz9/mE6Esr/xmI9mYVLD5Q39Ixlrjf0E/XeCpwk
tFqMiyGzID56jG3Vk4N+rNoXmWDcg7KA4BKiU/NDYzAFeoDHNhu7wVmcOwWY4AkQdd5wCdm3hlPc
8vflnsM8pGv0XNz1qBjkvlQIP+4DOcgPScIBj5KJvfMeKjFxdkqa+2rEjlViy73mXtCSTg9B9AvO
gl4dZsbw8YM98kcfTAnLk1G7zW+dVTEXz1VzpbH/g6qPbTDj2WX2n6qIuQyfoiSga+CQALCV0b1k
m9+p2b3sf2U4/Yp9MHY4gMYA7Si+nIyg5ELn+dlMXM4FLFNpnyYs1eCu64GKzkntRhx1t2OIAli5
EBwuGXgGnikabl7CvL+A+K5RnRVBqBg8F8zfD6m0dGzplJAFNFfyF9EGfjWEbm7BSOondtLdYSpH
61om/nxGy5Q9E5E9fZ1MW/6+Bvuf2eA/aFChGKzkgL9Gw/9PhtVD9yupq3+WoP7xJX9BG9zfYNgF
DFAJo1qXMX9JUI1VTeoyRIYeyEb1b3B79zckFTgTQLd/mg0YBf8hQbWN33Ah2+siniWp7erBfwNt
QCz49zkvCziWNh5TDMossH7/KhXJ+xEB0BhkjyIPLLY2iGIhMnQJ1V4QN7Z9td2W+pkAmqojheXT
xzmtns6c52iaLy0yBnLVkbdt8Dnmg3VL/YJhwDfHl1quhy45RpsGf+chWSp9ehyKVn8v9WbSp42H
G9PHK836d2OORp2wVU3N3Jf7OrAZhKatOPE6MT4sukPSVPrW/6GZK7fZhXvo5XYLwDhZKAbJFHLw
Au6TpV4iKygoz/KslmFluSM1Nzm9OS+NpuP8tGxehrr2w5/dNCrXBKPKCryLm8rsmC2LOM+5nR09
6YxvkxjNra03gUsesJveOm819/T1rB7JNYqDiJaWMaHV8Bdjh1gGgt/booHck6Z3bQx6XmZJOCST
+yOb5PC1pzsSF4djHoJo4z2wsrcnJlpzmpEEopxwoKMnozGYA7np9SFTT54zEPDMlVAvsaoroOuB
ZAg2x8mTZ1voTvsa8Euo+PWPmRund8s0zy92xrqJyf2sH5PKktsAkFUV6vgmjZ2HrAo0LGTwb9Qu
LOeSlvKMUqU8adjz1m7PR81Rxov/4IOU5yXAaL3diCUzsS/MKfljwul7SNgFG1xm4y0RPQzsdZyn
KPIjeDRzhJMQv6beuZtSE+kH6YI227gsP/SZjRg/sYCat9mIXyT1ru2Cx2sD3juJTDXU19zFTqJq
G85p2RpXzQmmLfHQ7im2AUpQkjnu+9QERjTz0FwQGyzr7LUueUMkij3wrq205mwnulD3ejXqXnPC
Tzz5TRjAb/X9LR+ETbUj06p5tPM2rY/MnA0bojYDeLwefuZSzZW9fZ7inI3EJq3QreabxkDPHZUg
zq3r2Cdr1iQkgqeyqbIp8rQ5aJ6LTnpkX9W9HimAkhSQekrIlTXPa1ClmfT1SdRxF5xdjMnvrPxU
A3bZQ3ZY+KrUztLJEoxuvOQvPWu6s6yGFOVrNX03KYga0lancavg/qnjnKjUCXtSltmmFa6eHhis
m/WBhr4wNoOhBiOcSF4aDnpXejh7sgwGkjKWMG0ly5O6i0ue7Nj3EBo0KiMklKXWFDZxI+WZ0OGx
jeiCSDBKuZpRg9PdCPVK65ioa4zUHwHVZn3YlZj97/EmTZeid/R9l3tjlCZWorjjbGwawoO8Wmhe
dtFq5CE7Gcf4g1Dtu11UFhR9ZtbXNNlzi2lE72+I0sVyDUbtp4bEhWeKQnHGySiUcxlIiGSS2DKa
YTOg6pc5XmONfDWmX5bFN2sSIZqu2vMfAR4HGgaYAyeRIl5m9d+itMTCmhUFdPpCT3HReiK2kMs0
3cek2V+d0aUJz5x+eZK5SR7BxIKJUARCYyO/0Yw7q+/1+yUWWI2qieeR7E9RbkXCacbGC8GlasV+
mS3/JDRf5ZGPdX8+zytH17PIS474Sfne9+N+1QDGzFC4VvUuaRYRmYttXbVG6QSljWkRscA372q3
ChDKC6yYWtasIQsp2KxmIdpZJ8iB65zTRv3oWEl8F/qgfbW6Qr5COCCwuqttm2eNrNJIEzAkSsMl
pbVL1sbfGgV8kBShwx3/wCbYXCNZfOOYEMuSjevDUTvZveaYIFhthKH6Bi2hLaMZZllo9i7hVI7b
JdaG1AZ5YNhj1dt4KCcChGqnhJmGl33EQwRh+wvgN+uZafU3m1uY/cdn3ERQ6eYB1bB3dalso2SI
VTSYNP9eUBFVX9EmbonWipOQbny+VXFvX4rSHCWmT6807iecOPfLsLhi77e19dIO8wv9qAw2g5sx
6jcyPJ6hlPqAbV+K1eO8GqYXZfS3ksz5Lqx5fyVXNGlxh3XcLhTQgPIPhoD9SRQA4z75F7p6Y/dZ
JPyvnvoP9RT0lDUj8d/XU4hDWcX/g4D1xxf8UU2RB7QOGyCh2p+OnT9jgtzfELmyFTdRvCLjXrWJ
f+KvrN/ooFaQMMLFVZyCOuXPSkr/DZdIQNHjsshHm+v+N5UUndC/VFIBwlQMJ+C74QGhblo36v+k
g1HlMMjKyxiatSUZv6Jnvp2b+W22nPydLLrlOMWDjSOuWNPucl7bF8squ1ch3J6ADK/XHo3E47lK
GyUJyBjInVjYNN21+I5/pkMmkiPWRNqcuBotLaQjTXYj5sRtjEr0WeHJvI5dY/UbIC4F02vhF+9S
Kucs29F/TmfueYqgzi9xxxmmiiA2luFggQJkX3qUjiy2xE6344Yjx2EwXlruO7Gsxa9K944JHf5F
BLNkKtPatzzWxiUaZRN/DNZSPiSavM+LkT20qjLxujAE+Y4JUH4jIJV+RvXph2ZZDUdy4jDt72bv
sXElgWCzsvpH4STzPTxVjEEBC4sPr9S0a10J/JXUJclFaiZeArthwZX0Pu/jqbbss5mKHAW8WEjH
nKcx/b6gmzsULmerI+P0FXJEMoeWX/r7fhXsQJ5wiyeCD9KH0RmPTo0x4ZBNRULZGPgnIEtyr9dg
IaKlLN2nMk2YcSJWKbyNIsWMBp+pA2sDKoIkIvQjeFcUy02o2PDpYVrI8c6F4B6acd6eIG+ILdoo
9gwmKRtoYufgrmN1SQSUYrumBw0ni6pZtzOsHm/SK9sDL3SwK5re/0g1gkDCICuLOrSRST21xTSc
2CFqa54gH05QFMNGa6riwfBgLdKXL+Ihc9Uav+d48qXAULpxR+gUd0ZaA+9Zs1bWlt8LTpbuxgPj
vklsC5rIhyolAjmbsxZzitu05PjMlNu824fTQJJounHTOXn0h+aDNZ4ionJY2izSMM58MA8qQDUR
EYMYxV6Gn1VHwuYhjv3imexCcZRW1W6XQIl1z+bK7w3I2Ud36iRvwsrZBZrVgc+xWmtn1IGVAB80
pocFDJR4bvU8nuWViQdxdluDLI5h74GrvE3KSx9LMwDu/M7VNSc7ZNkJiGQz21Wq9Wcd00idXTDx
lfEl6dsggiIOh9Ee5OtExOzRx3zzNfH5GeCMIrSPT3Y/A3aooMOGg2HI6hBXRrODsl5u4H24oQRx
dlIDG0vmNiWPN7o2BYCzSXIaGYJImKPBXuj1psRDYcQ7kZKXqCE022ZzMNJRWUBLcuPOHALjngUX
PpPaRvgYHIpJd85LY8eh0jt9O+uVOrhzy+c+Ml8tUUWoOKr8jjvQrlr9ojm1ctEUjJh2uzjYZWIZ
TmbZldtMKI8NajCdR+bz0dSW+b51xpF3crm0d27fjidTjOVNGZVdbTISNPeuqIabFvTXJeXBzGvx
sfjWV0PjGCj8HOZ2bUeMwWnNmH180UbC6otp9kLQlilEBMd4YmfBqeWX5BAGPbYd3RVzGAN5I7M+
4RVsonmQY/5o2dVzYHdFmLBt2pD1fRBDcnPdKt2WtSFCEFhVKDKdZPW5L/xDt7hkTdEM8GnX0xfc
B2mkSxUcPeTxmHFcuQcvYt5clk8Rx1O+ZQjqHFErECTkBM68SewesmaQ61vwqvNZlc7yjW7GfiGS
RkQYzIrNzEb25I2D98XznPGumdxi5pDqOVMw8HFWZtDJfuqMvugx8mR50FmhwrhKBDBTzsY8afxD
vUA/HbVAnCdDC+Zt0ifzLjYX3DGVTsItOU0hzU97KdfoCgz8/l3emd/xVCiCRjP4pDH7EgdUDngr
qec8hlV6Zb6Yb+MFS3foJgWftmkJHlRfC4KfGY0Kn7kls5aLgNoHGlZ1zpy0fxC9P71L3dFQxeSg
SQdT3+p+g0zc9sZd1/vlS4uw6jEdkob8Wi7/i/CdnemM2sXJ5+rBkLh2VJHoX3CyFB+9sodXIFz2
k4cZ/9oSZLZVRqvvisYe7yVd71GwQoQokGvItX1cUiG47fEps6365EOo/07lqw6W1U7nGRzjvQ/1
+zCzVXzoewexzNCOPFWTekqMkqSjEqAYezioU3oQy3PvFPFBTwE7SdETpIlAdxcXyYMRMB7PYi17
xMPj+Ztc+l6YcOavAnwTNseQLie9aJgk56K84G2Nv6bVMqXgj5z+TWUmw/lFk9nZlHl/6M247enn
5h8lxs5wIR/ziyUhPzex8MiYLDKYquAOvraQls9LGk/nZaolQg5XF9xvbXpz3NF4MhNpQm4RTaRg
eWGBUEP6rWmb/pF88PkxJdKZ+no97Xmjz99T1h5frNT2qFJdvO8TGWoh3l3gs9yVjMaHKy12L5AJ
WMYwvOitG6AVVe5k5PoLeMWiOtSINLJvqFHjaggHMmB4E+W6Lx6WGrIB842x3I6G20aKCChQJ/q8
vPuDdLdEjlVh12UcwWumnqS1nuJNkqpxP+nlF0YJKBxziDfcpPGRS1lETFyLK93iEDmVdxoTrYla
Bpv/mzf+XtP+p/r499Cef18f73/VEMX/XiL//jX/8Lyv6BAmhLr5WSf/Y+DoO78xLrRZJXiAzvFH
83/9iTf5x4DRoixmEbXGzWMg43H9b6piYnr+XhUjsWCMucZxIlm1aa9XUes/VcWBWUPeqv3iQN7r
K930vBl69h6YEl4qzX3qpHaoVp2ZXxovrFCN3eipXY8UbVg1aagIzKM1MezoV8VaZUzOMVhVbJ3S
GyYuKNs4KLoPFeO6ZpSECmdVwPFUNG9YWPSb9qmPW5VyVoGOr/EzDg/ydrmjvRuwFP9x4kWZ+0N5
V00gxdEorRKVtmXqYJo8wqjzENGFrSwfVG86+JR4mwmkfMC2l6tD8l1Ue5MHiHsav0DNzjmCUAGm
GesAG2HgtCoE+yH55tpltjFX9SD05vR+WBWFYtUW6qvK0HB7xF2r8hDpwNZGijgiSRxXbSLzNUSV
yBXrkTBCidYWpCNaxmxVNearvtFalY5N0bKSXNWP3aqDnFZF5GSjygI/8j6sakl71U1mq4KSJep3
k431Kgs8sZkCkZUhjBSr8nIZqmTLVd1MqyqzRJ45INNE1fUQr7rNUWvnQ2OhAZy92rgFq75zWJWe
+AB3ZTBdF2Mobzkuu3NW+N24IUM4zxGSFPf0Jsm0NX3JVoMo85cRhcoVY5B9tHptCC2rYu3eJLJ7
ai0tfjJtw7mzc8UOTSsd0gMHt2XL0WSXri6mlzhgPYMxPnieSyuvmASPCMVqVHYpfcW2n3I0FfiT
rt40sVchnIGj2oSdNVh+8+plgo2Y8GTxXJFXeecUKIt1s4CoVn1uGI0CQW6iN90ZcZofgYcy+PAC
xtToWyiUerOpANbEMbSdWq9OQDrZird+xfQvg6gINq8Gy6qjJLxTCKx35uSJN89knxkxva22aNTj
509Gow8LfjuXWf1EVKBxsdw1XWHNaWWcId6ahlccoeceK7IsX4xdKbR5OyBsfFRk0F5GyHHQ+Bni
wEDruX6MpA+AJXHzONjNo64FeA50pXhWyOp+dCNofVqxUYRJP/CpdjX/JpXzIx+gFiKEBeAVYIn6
gjYNU/HAt8SjpcZIrxL1CNS8eHbGWOUHp5f88cR4qptXrGFVZU3KLLwKNtq14+ahpbgOzMb5hjBx
0nZLvn0FV65U0TyUoPx5/vaZi5AfyzUKm3gmFwoU4VA8N0aVXVSLMAmqpdwbo9X8cmb0K/FYNw+f
v5mABuDv5Gjw7Um3867JkjJOczrHDa049a/2zD1Itnn5UayL4cqpxi+9sKewdoFyhdn6hw+rMAbP
yPDVm0v+YcFk7+hIDpGI7kZt9aDHnjzZ4u3zToN7xE9bsNcyL1PoI7KZ6DOCy+oH5tGMg1kGo6lE
0PXMetj8NlWrbnoobe/aOYl9rGlobgY75KjrUEGYyUj2LTEPnHqjXZ20cvVgmfHU7ApYq++sA7IL
I3n3gTZcsVEwzFtMLMVtarVym3JHUsAETvwWmOjyJqdM6drjmW9EKXTtPLUy6ZNUe6oXXNZMyuqn
NkH9UUPVoeTmapVTWT9liYKG3+dr9WDg+g5rwSenPNs5G0zAYqaBQKYQ8/LtxwkjjVfM3PUL/4Pm
/NWnYw/Nts7CXiyXvkqJKlLkuPdfZIs2QDr1G2ueTVK6Kgz8e3MY0RElj+la5xZDeihF9+FMwV1g
oYAY2MBXpnebewu1Qrof3OU56Xq2BcQJnF0ExYhVnW3eaxuzUXXom1V9G3iPjVTHcByMzHBvbFu/
9oYwLlBwzSg3/CRyvcYKDQ+3dVaqCx1ZNM0i6uP6ZFVe/GgM2vxgzCbouDpBHT75bronEEJs/EDa
zNtzRFz4WA5SwlcafHYGkQbKr2LAACfxV1vJ+q5Ns+ZOLGO/rczSOGLr/9kZw6HynSuvySLM5Wix
B0/iVy0xX5ju/1QjaIulgplaSNr5UlWAB0pLRQh1kK3AJpRh47r102jZdsjMfnkvpcN6mDnL6nPa
NcP8VImxOQVejvBoSEPHWbjAmWvs5naM6cBUDkPG+OoqRAIsyY/5rMojXEbrQHpFHun+2GznKl8T
6UfkL8va9NavrT7iUKhq/Qxl3Dt13PiopV09YrLyqhtlSxBduxkN9WGp5tZkvvcrM9HcwVjU3zxE
ghFRKV8GDNTfldKsLc86eEmrhZU5EnEJeG84gYdlgyeXhfPAksUhYUbNspxVabigZgvip7bs31M1
xFudZLML5o0JaAxLtSGs6GrUplq6cbtIszrXhsv2Ycqv3FbdlvmGQbmt7O1kjlXNbl0ThD3mTcRI
m9WaYTa/euIstktpHsnupuFqmu9EqJlR6/dBJAz5oscLYLWat32AdgHj+fgTFMxrm1p7XbXx18lo
GJdYudw46CnD2sbJ0tnO11hVbD15DFFyVMkLfNc+rHoiWrFHnScfAQ5Fgv/OTF3ePCbfX1kZrDUE
5DkcDK46TUM8oYA02QHhnBNf6QMQ6fR2+YvcU/ELfV5xCljoQCnu46iWGhIo1552ec/XJiXkzmXQ
L6RZ11fYvNga05bKylqdaE3nXxrZTG+Vroq3CarnxR1g0zhUWJuOsXlU8BRxkg8ZatW0ckjORd8f
bNxZJGeJNNs40ScZ84YtoHsxAxo3nwGfziORPA/urD24RueHuWXOLRex1sO4S2hEczGe8Xba3DEV
7U/dOg0c+GXiNTiP9aWGq3my8RVtY0imwHrb+JmEj+GGni0T26VnMrAZgkq7DInvHKkU8r2h1y2j
FTDLAMtqtovd/FGVpvlglMnwdeqy6QAKvP3mtgM2EM7CiCkfWhpv6iPNbjLAossxL6nCUK1qJ73m
AGsMsz3U+GLDphsE2nIVo7M3fH6tAtuVXfzwGExs+i6eHnJX0++7mK04oandvjWxk45THofUDPfM
Wolq0/aJmTD685dX0XV1E4lKYpiZ2g5KXG6QadsXu9LWh7DucnvP7vp+zlK175DQsxAH4uYUvXxc
cmq8nNQh3lzSf6CtLJ7Y2U74I3Lt1RqCi1E1/a/JYxbQ0m7ugsZlMlzExAxbLXhNcNDR2C084kA8
Vs30jTdo/VB5MxLlYFTsmifn2WrmPZuWJOqt5YmMGu8yZ+t+yffFHkf2njy1PiwMYnRknfxqZ7W3
Bl55smU4JzMxMria51MmjT5ktxQfpzY+Z0l7s2PHiUgtEOSXu/NdLHDLI6XW0tzYIiO9BTmnq3Hn
jZqbrVyhtDCafc5wMrlarmghxI39lGAhmGy67UDTEl4JSaujriGqTH3m8qj5OFP/LmeHUgWWfVLm
zpaumX2V37C2dsZ8Foyn5DjWUelmdNB9IlP1M819lM8b14pr88Db8Bvaneu6ZN+VVbBKzMbpKQY0
vzXU0l8S4dQgFh37HiHTS7tY2XZp3FsW1FrIEA6QIC6JqAgc8dB6jfOjn2sVCrNafhi9MdxPJQHt
mSF/dYlC/O+Y8t6X0opgUtone6b7QSrUPyIsM8+T57a3hFJla8YsX5XmvYHWijdtOYrv08ByNUPb
z/otJrdFyxiMC10P85Y9v5QZ8zf0TLwqSQREKpvtdT/4Eqxhxk5u3xETPTHQEO+eySDObsvuQrJV
WNT2z5SQGjTAWXBSyeJWW2GsRX+CZOsHWoXh3csdhlykFFPH9/bBcjPMRCJ40oH46JuWWkbDmzPk
x2WJfcYpi63ONm6fK7TX5VsB+vy+T8ufNKAJNG+zHRFNDasmrIrrKKvSn21Z8tbX2vLdk0SGQBwf
BvDPzMg6Q+9eKV/crYnS+UaeBItsy7hZmXAeLLEk/caAK3hipNpGnlp40sZqenbHabxrG6s6L4VE
AtCqoXjIq9YD9k604A8MaEwvY5HNOyi8vAr0oEPhTmtYUwcUgf/uJzoHh0wc44a22f82dF7zulhl
9WNJMX0gB0ZTwpHP4jIc9an6Uq32IWc1EsWrpajnYIT2vRyz1W7UrMajerUgZQlmJGO1JbmfDiWn
QgfSCTHVyCprbqGEokR8upmq1diESHA1OcGn/PQ8UT2vFqj5d0OUtZqjUKXJj3Q1THmrdarDqMCc
rfqVr7aqfjVYoeI9592IJCfBfOWSDP6YpENzQ/qDcnY1aS2rXctZjVvdauESq5mLX+wrjV8ceUFa
7zSB5av4dH/9byv6/0U65MllFvPvpz5HposVdsG/b0Y/v+jPsY/3GzWkCTHPoRUM2Gj+pTMLDFag
4DpWckvwBwXxz+0oCUAMmXG4AMLll7DZzf6xHbXc31Y2Eo7twIUgAAz3v5kDARn7lzkQG0XiWMDl
MZli1xasjup/mgNlLhFThdGnp7mllaUUIdFm3YTdNa0HWJ9sGxtjJidJk7f4YVYnOq9S6TsUMD23
/KEzShAsfl24p2Xx7HhbyHqZNoOuz1fK49LeGwJ10DUPRPetRa3shJKBgwhVXKCbkWYPlXsq/XZT
xM5oIu/RFyYhmPHPgSDuYNNP3XJcjGWw2fgQprsUBEBuJS68lBSIGktjjzBmY/ta+yNg0fLzsysa
/AAd/KJbyIaaYujZBiK2i4xkss1zYA7oxVg73k82XW4pR4imprbzepAbG1VI3YoQIGZPjRDqOqf6
cCFqvUSfgHx+6821hu3AnxNnUzl64m9c0dwKp6EhTmCZY6VRB8Rlwclsuow1n7/njd1hPqqzmjgF
GmGzT9FgD0QDIpZyUNLbg2d+K9YJcoZQ5MkwcUsHqf2WYHt5YK8URJwt1uNoiu4oa0VcvGE+pu7S
M+51va2meNPMCEUeLU8rLlY13Rx96kOnKNilNLOX/sQF0uxtdichx2h+R3Aetg/WWTfZETS7GdMs
uUeabV+mtAIJPIzLeNanbcuW9BI3XfkhpBsQzmEzBnSQByad199MN/jpxLwijBgzBMkTEHFJL9og
hf9G9pmxQRJSAb13TqQRUhHgU3wSXW/dWIbNd1bjTY94JDHB5ekPAWTwu1O7E6l1812hOypy0Ohv
yJyzKYIb7SpZjD8VXV6GVU50kWnlpGTwicB2z69dIYaLNudjSMRC/5WjlWju3pwvCqdq1MyOuTUc
flMNwwnrqjj5svgeCuuCJLeRRLk64NsKQZPSNOiJ0lY/KX18L/j3D8loF1dPkuZL7EYc3Dy8uFef
vfRm6WIRc2gvy4WEhSEUjdT2ObaX/aKN1U03uaM9dxzOCN3sO1WYm6azSHfgtr+vwWC+yo5mY8sK
FVmPgLuL97Jo6V+kHbV5Pu1HEZOG0rLCBj160lP3Xsq+RWrvstZjXwQ1msC/A8so1qw99yDmYuyZ
Y8zkzl2GZ00rdjQFN8gS+i727myJwJy6ndZjFI+p1T1ozHUM1QUIBO0b+6OCuOrmZ9943hE9zrNa
CUFUH28lYsEdomp2J2Vm3jn2hEZ7vVLqXUuoaWsD8NAy6t/sMaD7VkF8aCap3U9+gBRibJKIddQr
h2H/YDblvNP6rgaumjgQ2Xv72cbGhj8bNV4Zg0zSqIhdoZ08CHsbvASvWKHa7eiV3b5g8od54rQM
2Xkoh3TTDkxjGUyhRQLp7gYbKrAS2B4KsGlqsl0+sfi0c9HfIGwX18Z3kiO8IAzDS24dIbXN13Iu
ln015Lj2mwbEfT6793YnsZGgw+iUHefRRMLKdbKHZ7prDWUVqrcJcj4JGpsaPZJOw6/ZRRC1RmeK
RxVPVnlGyH4pO/9H3dbO1nWX4IugL98B7CQU0M/iR2X52QPF5ffKbuyjQ3L5ZsmM724jHUibnT68
9R1/MtbXJupIKrxjr1TugBVxS+tJAWrZLvARp8Wj4tjdpLCmN+B5MdR4lXpbEBBTBnE+U2AP50zN
6i1QM8anMtPbJ5yAT5VO3EPiV+UDOk2WxDIoxuYxcWIGJQ2ZKfuGfKhmUzjEJvSLqI9NLrEeZtUA
3rCpgtsgvI+m1qcwMTESTKiMMcqhBWkhiQz+pnGrso5DO4N4g2RsdAS9TeZqO2PBeuybQ7lTKV4P
DneICvP4nBaqN+yDQmB5Kis9HXm3aO3PnF2zIpdCwK+Y08l0H/LOx/Qp6tk/5KMvlvNsd+6VDPL6
ifU7j0g+cesdO6bgL72Rdad0Kcl3AA7p/Bi4+7PQGNskDQ0t9mwssY13ayEimAS96N2phs9LAEoM
zjsQVXKI2+GoMit5SIuxeMK8im6FJYm3J2CJGzdgf/kK46TfslYvD0aWpN9RmOvBBp85/KwEicI5
sTo0Mt6nXmaZwHDKxuf5sKSUGzYKFOMc7R9VbqNaBNI03Q+y7x8Vu1k98rBGIBOio6TlwlmL5mBe
xm/6KuhpOz175Z3MvBnfwT19YvkQSyf40OcUNVBaxNZNw7jxTSP64VKiGgI9U/wqVyGR86kpyj71
ReMqNUpW0ZFTy2O5ypBQ9aBIUp/qpCDmUwRjlvrP4ypfKty+eNeELuh0RhPWidtk0zVubfeZ90iw
JfSVdlcpE22M5zUxpFAjTY7dKpvKsyywOYwSBgow21fYFNV+qVLtMfvUXZmfEqxPMVbRsFKXnxot
MygXFk1t/m4PbX6jZn8qelJtwowcwWNOvi7zrZSHtalhpC+fqqx+6n21McFClFtFivZ9U6TTqzOp
6Vfsp+0b2jS5qzQRoNZNggTNUqu0U2cI+Qg6BAuK1XfaT1tXoGExnaHJxVZ6YB3WdAdPm5q34P/Y
O7PluI2sW79KvwAUSEyJjDhxLmquYnEURZG6QVCmjXme8fT/lyW7W6Idcvu+L1qW26IKBSQy9157
DeFU+Ot5CfpjJeBtbZI4gbKjZJ58rv3YgQZb2t0DSZ7MsIzJrgF3quzIO4dMpbdMpv2zZnJz5VBK
ZWO+BKoLnG0Rm+m0EYNBUlbmxA+Bqsw9eiC5LvqeNAEGCCAANnwySLsDXObUkud57OqTiDqPbAIH
rvOgORgWBC0dHayd8pxtbYIfofPGbj9CQr8SbXUv+rbbtK6rzhi404ZIOqTNJJPq2EqHTJo8K5qX
tEk6uaI9Is4Q/6ryOZ2Ztmw75E41mup6+RUzFvs6MMdqY1veVyeM1CcZFflrCb96Z0PFyjZs8XB3
yIqhN8c9hR3Rxdf9GKO4uFaLI78MpNoCEUF3BYh3F5hr9mx/lWMTXXWBsJ8U6AapJLk9Oau6Ab4s
SsjVSG34bbr0qX9AJjg/+GlQD+vJisTroAboAoVbfcEAv7t3FZDVOpks86WHKhBsYQn3rCWz7eHF
SvGmaqtOtkHuhcaJhi94pssrPgHfee3OLqLpqm/7eT8khoEqtCGHJ8fI4piE6Z1JzspzXcibcIZI
FeV44fvGFnQxWhdzp+6dTpk3DBfCTahyib09c7pb5HTIFOAY7mva9oqA2MH5ijGrhQ1ZWYVPRBlK
7APzkQZQGGQWr0Ubm2hFw/Cm7awFMHUJjlaSMUtw3G6zVHa2602zPwsj2np9k/8aJZamkvWexHcH
v1rCuwrM/7yu+RSSnfvVc8pgN5Qmfhw8zUXjbHBI4NZh4E+ZBTAcuHTUcRNihRGmTvJWgcUUZKvw
S2VEGVuLPV6XeAd9zqA9PsauGe3N2DXoD4L+3FQTKXkCN2IINrlahyY1IqTkE3xmoyX4qe4Pfqzg
0uCCmz63TMAbInTHgdFN7AI0V5XlbetgWa50Nv1p9Bxx5htmZwtNxS/BEneMSuGU51U97EKlg5uz
0N5Y6fK5Iti6XwtLNK+hXcs7u66NX8nlao7/65L/my7ZsrG9+lmXfPPr+K8XkNLvu+Tff+j3LlmK
D74rLF/S8OomWcJG+J1DLNUH6cGrgUPsISSmevs3OcIhMAYiBL0rpAlkV9oL6z8cYkcpm57bNrVl
K3/h//9/P5i4t+/+/XtXMc2F+M6p0PGRg+nu2KZfV773PvlFDF49mGZYHnmZUTmlRQiwxczjBnal
v/nu1vyFg9k73dflszAGxPzfVw6Gt+AF3/fjQ0u0Z+2L4igx5LhZhlncJL2tnmbuwLmu/6njpP48
gniZw5IBYCmSz378vIY6GxmIyeflgkn8CE+S6dREOms3aTeFLiAV3Z588Th6KHp//mXf2bXpD8cA
0YN8ztPD6f3dl61h1E5l2xTHpem6tzzDgGuViYEhJ5rWhwkn1afAMv/OZPMvbrHL3SKZlXwHX+pl
8/0tRkOaNKMv82OTC+28EHVvA2cx4/WYSXZozv/4Az2h8whYRGA6BATqC/oOY0lMY6qstlEH2MPo
TXxkN3OkR72+bXyxoci8/Py2ij/dV4ldAYaHxGhwc6331o8U0OYSwtHFMHdCANhDvbZul6U2h5U/
OghZ5z4WN35WOEc5p+KhHtziifBMOa4j3M2LVShb+dDNlgV2ieJuwDAgas+Cpv15tvy/WQUoBbgB
P7xg0kWqzrsPCQqS/nvbviJXfphA7zu4GDg7j0ZuucFVG2YY3IUlgvi8DsV4Elj3ZSFyRqIBeQdn
2LFZc7Doib3TxQUknysC9SjXvBUaddZSi/PFVb74gpFJhHBmgEmSby8xg1hQcR8I5wXm7S1ozTSN
MWGDs7X4uwpN9I3RSKOh4zTLq8qY4QcAF98FJKRmdP0Mar76A3w79NzLNBBmWJOoRzrkdMcsCC5J
7A+pOiTmYGDhGim8YRrUjiiWkpoWTbYwBIGTl0iIX1mluiUTMbzDa47fwbmfink80/yQgem5Cd49
+MWihdEbASIC3lOKnenOGDt8DdKayd4U1NVLn2AFtTSmffRImsfDbBiqFwql4c5sW+AXVS9apGkm
ivlB4776DVQDvJhwEciHoHqxo256MGpDPLqddlZZYvcVvq5VHItZTS8ePlL9mpMXYwX4VdND7zR8
0woJH/VhyweSZIeBCYYcJMH6o/ua9dxHf4HEEjSOeOwVD430OPUEoO2+egQqPqCqU9vaHl17BzWc
zEY1GVC04LBMD9/WapSECOYjgqL661i7CKDThtUCrbJ6seYBg9N2HLA5MJo5jRi4B3F+TGsmFR3Q
kfJ76lMr+hwNo3ryK/bTTQctddpiqcs6GQrPeS1bmEdRWPHy1+j0FWAI4XU5QjX8CVgZZJcYayeE
/tOYoJYMpUuiBvpZm994WvfK2405DXhDvv6W5zj0OrRcRQIPrEhbVIyV/q6jozIUAWVzuNx/Z+rc
td37DEkxy8CP24haKFiUiJc/0wVBsc5nM2HfWCLs+YbqHofUYTOGSu16RkrEterXw+tSBgo4AgbB
lYCnXK0H1IgYSU2+erBNaimbcaFt9qsu883kpqtRtriU0Kk1faRBZ3wB4DoFw4401XkV2AY/QFqs
MI+j6OQAYTs3yANtURIbe1CxZNwwBJmDh4qqOgPXdClbUSt0wdlCU/BCFgVUZ7wMh/UIZSK+G2fD
Gj+33P6IrMli2LdWVGBSbqboWhEkr0vk+ihcIVE4YftYQRTaTjEeJUGhMFOy8bIEJDiOdu3s8Ju2
b1x6fwZq4yEAz7jCgGd69PIeG5EqiHnsxkwCJwFrrYzEc2ta9aaKZm/VAWffGsQXPIxR3WKHQ5f8
Be2AQqhgtyOpESqergZp4P0D4QQYzbQgv5jlcgNlLnwjShHySh7LE74V3k1lFgpvBz1LE8WY88An
oy2Z1ITxXnuevqk4gr7XGtB0NyxudaL9wBdcOUOrVkSlB082Lg3FRiBx7KIQmlRTvxZCJjcJ+Kdz
qEebLVtIm0XXmANLak4xnY0E/wKBp58eOOZYyxCMo/jgGQGnNF5R+7ntqhdXdOqJjrpHHRz6ObD+
MEyIOCPsESNqCwxmqpcZv0yifNPxdSLt8ylxPTbM0kof8S5PPifNwoulyGw7BiaEsxh51dGv0FFj
aEf4F8do+ejBDIANUGxavka4EzYmoyfCgk31eWkr8SVvDAMAP3J6/0hTv9jjGp75tAMMadITui37
6xIOrrfFhfSUqSo4k0wf3jU4khwJGH9Ee10/ZV3zOueokVmC4qnNVb9Jeu4TbQX7PM6I8UmVlfWl
NwKUsjT4tPlqlB8tz08lVo3j0bV7Y9hAIRVr3kuA0KBs/B1z4eJ26rGM2y2O9ZRHfrUpp5bB/pBH
WFLOFkCSkTku8kY7ILdeGs7XTNj8+YoTq/nkRsoiYdsfgUZqQsjL3eLjWr2ijemJkGhT45xncc+t
y8FIl84NnyHQlgfcRHyM4mwTThEcHinQn5LnGrQvAFrUIlXnongl72OdioHHWisMruKsddgsnCxs
bhq/nY9kdvqA3jPHQl4ScovcmEDRDI6iG7hsb6m3sGhqjL8e2tD0N+Fk6KXUo9uHf6JJjZZ2O65J
W2lXieLvGSyuxusIu2pHHs06y/CCI9s34ZqkP6MmqrSCF7EVS3CyQwTTWRXnm9Ai5x6RdXOYo4F9
cHDDtt3DzvPPqsoYw/sln5xwmABUSGxjKpuP91xIE3sJvnQoGz7YDhbndUGUBOqnt0kZ4dO1lYZ2
t5lHM4vuCDv0oVVWIxrwvjeJ+3UJI206o30rmAdUK0EQhMfJWruvMuN8bGmpiQXFRZTQTzgROirc
lVQMM33N/ttliQLMYV9H6GlOgWFwfEnsg67qrIFZNvfTXTdQ++Y+pEKxZOTNWgCQ0KX6OXema+HR
I6/NRpUvo1VX0a0FGYuHlaMGX4/DwkcWTTzLB6euspbTQnN7GDxEYc0QaPTNQSKQmBzv1Kdtggy6
duePgVG6L14k2FjnxmC2XzVTvELKhymA3YvwcZSMmdg3M+/sLLYP54ym+WNWGuap6iPjt66BURj1
I3A/10yVc0lKtqaRZeFnDSd5rTrxaDe1dlBqoJrtGukQVBxOsb6jEAchcLr4la57EHMOzIat6iNR
f/45SWweU5/rvOeWx2iIWjv0WQs6qY3bVka8JYAgMJ+EMTsu7KKZ0vKjZ2Mz9nHwJuZ+axy0wsh/
yFLkoRxVlULYwdFYz+SAE/cRik+JT7UcQn3pyMEWlBuZCYgem2Dx6yDL40034gM1erO1zw1FDSKt
yDyl+A/f2HlHaKMR4R0azfUGsz11yjAJvObx1w8MTaJjOkTG82QoLJU6ML2hRbLvzH5+CBG0MvaE
EZL1o8v3wK+1wEVmZUp15cxtsK5z+x5j0XhjN2G/E2YoNs0icsSTU30sB+QoYZeJh8Jhi4EX0oGZ
Dk0M+kFF0nl5+psRO+7OH8rgAEE8x3K5HuDVlQS4syv8Bhjym5HNt2oiHoZ1TWHQ1+YtjpfmrZuD
K2HCt/baOT9MGBpvqY2Dj5PXz7uEQ3ST1NG4nRysE83OuZ6g2d3ztDmXiyk7cfLleydPjZXUwyqf
bLlQZdd96rSgmtF8a85V+KmCU/fSlJZ9Uw5MgNZ2aFJAIjnJVIZ/0XBn5+KByq/YWsZo/ubiVXnS
A6sYgpqlEtT2hRydwD8gbv/VRYUS3Tg9r/DOhZGHt0dvZiWFtjFU8NwDULu5H/QOgoUaVltRz27Y
JeUVtn8GBoRzXV23acYiRfipzjhAsCKXgaSiFUATtJyZ8Q7RAJTdf9OKO++7Eh8gQmobFksAQbxv
++EvJooTrzpU7qXoHyaomo0ufH/erv2p+2EQIAAqhEvb79C4/dgeqiDq+qTsqkOGlSNUXinFYw3m
nAHxi/LKc3TrctkOf/65urv+oevic6UJBcGjMyVxSX//79pSWvLMZnwCFSXJvNfOgJ+etxOJ76OM
2L/KvJhRAUbsxfWgq9yff/p7AQofDu2BrpgXnIt473UPCQz0RHjlYWTWZK0WdJSPvt51GQGy2yOC
41c4e7QluvImNZHN/XIJ/1P7/42aSaNi3z2sP5kn4ZmJ/eQv3b/K3/61LrM+//qjsunbz/+B3UFI
MVES+Y7vYaMkrO+wO/lBIH1WWCXZ35Kb/43d2T52SUB0vrLBuBzpsej/YLj4H5iLUXgAtelULv7T
O6zuZ9jd+xgMRP+mazrogy3HxehJf/PvVzmKWqZO82Qe0gnCcfhbFhq30xwc4dJvCvwNmYSeWjPY
EoX7jHUrmuf2b/YR9f5F05dgex75QHxnS4l3MBeiC6/yYatR48zmTeA8z6o6t0O6ZZQbpla1MlFa
bhQq+ZWTBddVFSZ7aTl4elsvDqOLhQKiIuHcXAy0wf6uw+i9kuKmjvCx0aWpqJKNgUcl78svDr7d
cYlGuSDAJP2StNZW/3ZmDOXE86d2KfdxTgNvbGdXHfC/BXTHVeoMOITp54IwpgcKaW17Y8KlmO3i
acZhp2FN4N2GCBSCjGPZBNVhjojCmZEGLgk+7NuYWabrMoyyO7vdtikaj/6e7GAIqEWIbafq7j31
Imxj24bydWm5AkJ5V0SwrsnCWec1CuUo2vZltkENuW769IFq9TGpxwZdQb4duuoLidPmPs76u7CV
V4mA6Rei5U3Sde0h4PIWLmPsOjr0ovglnxxznybM/mZz/KXQMxevb89FC4s7o0euvJYPWxDv2Lch
zf7/pJL/lVTSwljs5+MAKvnoX2tMMSHP/aCY/P1H/9hY3A9gOJr/9m0b0LDpHynBzgebM9kxMSrS
5iE2b9Qfiknvg06KI5rCN23rsnv8e2OxP/BHBaeOJrwRH2H/k41Fmu/HAkqw0PEgcyHiEUks7R93
FplOMHQzxM5Tp88mQby5xHw+pOW3hga5eTdU+Hb5poy8I4EACI3oNpUPL6fFw9ka0ePv7GXK0y20
77A+GCRfjM0KV7bc5F2wMcyM6QLnACkeA21xgy2ic+ycnvNytpL6Jatw2hxiQd00Jri70R/AIM5x
zTgrDKJfMNWqXipz4TRHo61hKPyyzgSyO6/fQFAFrrMuiZXwVn1p+dXewtmx4eU19I+gf8vXaRIj
L6vBEnobEBckS2vKMLCfHsLJBWGIxfTQQN46IkmgC4CuLpvbEIZLeSrdpvRPnpLtW+ub4hHuCoc6
nBljLYoQcLNysPqcs4kaI+11kVVhRED3ZoXNgdQv8WgiNnyV1qRlcEZ/QHpkf1pG2scCcv+htU36
Vg9D/JvQqvn+lYRQkHjQNtc1fQ1ZzeADcFgYab4l0O1BqZzSeozbjLIi0Hj4ZDf8sUuhlQNjvc6h
7of6kAtwxcjVjhmfZtqh9ZgE2jGstz1iDDw18a2dlM/0U5t8PWyCg5W6NKP9aKLfgPFyReIDzQjU
lbM/4IrejPF0nQTxgLGVSo+FxgSoxPX9JPBHt9lTDqDKuub/+fZAMzOkG0XlrZ6sXj/hSzvKI23b
Z0xF5onGMADTnFKLZswkqiy+Bz7nK+DWy99S0eYwLG+1DyzZs9yXkZB7suUnQzdPs4NpvzTwtd7X
Xe4OByj/kfm58VrH3sEMN9CJjctvUdDrYmwomENl40O3tO6OnC4Pv6oAxHex2gR6HEYbBEXUZDmJ
3Hos6H5eLkATvlMs9HQib3dHf8HftAQWv1Jlcm2RXkSdlk1GHsbPKwBOVoPVtDxZZXfS3l7wJyaH
mFdlUlL9V2HL4jMsGutgsHj15FhBgUfaF27NrsIKG6Ewxm9q4gGXTLcs5GIhqECaVDTvhGDpKR5O
LRwqLFFymnktzyV+gs7h4jtmJAMdPeIcrjtmpL+scq0QJFOIvBiQPlZMAGPibaJFC7HEIvZvNeh1
AkwODK8RA59T8Ji7RC/6ouUv62ozBg6x1FYCKu/nYYAgoxG4psL0+7KELw36nLblValf9kQv0sAD
sxvtnlsyWug8J7Snd/nCWMPBlz/dWcx/nr6BOF1ZgddUmIOAvuupxbd24vJK9GA0e4x/uXmXBqs2
2ThiSFoviwTjQPaDg5mH0cGjAyHiCVLPYKwqELhyldREg2WN5OX04KFuF8snKzxyUSiMcc7XMWPn
+M06rL6g42QGssAMm5e8TQfuzwX7v+BKs7mwgzAEso8yKhX0uIxEg9rjEWKqyJIoyTgAdTB8Rhq9
bCP7LqmHUKLpa2f2U5RCG5wj5MFzG3P3DeeqcW2krTQafFtS1o89NeG4W/AXjraKl4K4ribngsBI
0FVa5Rg9zO1UXaMIVduLC7KNAc9DqtiefQJvGcuJjL/nYv6epnSVSceWYZqAq51b9dxBQJ+HioWO
bhybiJfUDOqDEm24x9rCerwMbr00G4OdH4GgfmyVAssFZMTQbuELT3hgLitD4W4MNYdpC7bLS3UK
SwnKYheo0E85uod9YuJz1DtwGNbDyFPKYtzJ29hiayaqgTVF+AwLfIbmSRZwm7mv5qh4wydiGh/r
fhZQa+Zx3sC4YOSUmyXrRbTMHcuCVTqqgTci92pxE5dKPObMf5sNnvJIGQalG1GJ1nqGlaobbivE
fTlMiS6II5fVrQ37CZ0Fd4xdkVw5Vd8ceiEZ2F3WvIO3TL02O74zElS9/nvpiZs+HtST6woga9vU
294wirq7H4gJmXb4GrG/ATJhShjZej0qrX+tal89GVDagt+3NMybQAsAlFhKbgAuTynf1kS6Dw6V
YiUMced4vF1ZBuUc6Re316apvbxx+eA7T2PRTWI91W4T7S47a1lGQIFQF+snEVM6Po1hOKefXSw/
MAB19C4lhpHUkKhzX1UGCpj0dX4vot4CpizeoATBM6y0T59fm/pwDkJ2YAXqdjMueE4y1DZ5g/3S
r8RqiqJCABLO0Xxg+7HzEVZ6TwmBj3lBFAPZ3OoqZy6AsYwMgLybNlbZ/ZJkvyZmnEl/nXUGrKA8
bQ5FByJ0wr6atybVw7aSd7LBgLqIGayMFuYsdt14b2WRP5WhaE4qmJDCrMhbnahD7OaRvvpICjR3
t4VR/Ih9TXXFGePfCdz+0P01g71rahuMWIjuhrEzKvI+C+E1hdGnWNaMf9AIfanxUyJhpz63pnLX
TSeR8SW8A9D5RW6Mh67DKiLqqysMt5s8uDMj5I2E4nwukCpWVVvvDDzh7ioo1UkuHwKaOfPzDLRs
cE6UuUc8M7p9dlUCnhize5uFcRZkXegKG8uzlmItmQtj4FI7yboqLSiYAnIn3leVvzac1N6lhYUH
oYyXndlP48nFBypdG3Kch5VVMB3azR621ph0GjHmq22PTZElI3XV2c5y60+dPLWJ4piLp/oQT0aF
LHgUnxwxlNeG6RW3KIf8k0QduskEcJoX+eUWJ6tKN2UTs9tU9ldEOZnXjLjJKsDCcXrNSBr7NMv8
k5PIOjtn8KDv6zQq4IO3o78mPUaBE9oDXj+N+hr5dDbtqABLWGTb2oVA5jdzsyN2Vh3MoR42MwJ+
aAUV0gjHSZj8221y7ZPINl9zv7y3pPOL3dKPAed4bG7DePykVFJB65bNXgbjF8auaxcPhq8hQsKH
yEWeKbLa2tmpTFZW5zb3qLIwHlOFh0Q0n35JeuvRgNK3EmPbXvtxtNzn5GjB+OzzXTkbzj5QgzxX
Kna2Yd0+1viHJqvGozLatnldXpM/yBaV5tQnOIRvQ+qGU5834gRjwji4qiTcQfXOubQXc81NK1Ct
1i6IZ1nC1Kz9LdbzKbML7+LskN45dbKRVJ3GkopbDgHUyM5Q7EKG8sessef7EAmEXdjFwYKBvvf1
CQEnG958qCAgpDywNp6NlzaYcCCrGnW9JO59HxPo1xWF+QAJ0icKIes+WZNl4F2FwQczTMnPYUri
fe2GTFGXWNZyYtZX75O4K58Tync9RcHCn/XNeE1nxhwk6t8b+NfmmpNX4nbi4LLiaiA3zY8jdjGv
RpoDUusxgZAZQ5WmaXeGZNkQVTGSr7F0/R57cuTlEBDWbP4hSV8Y5wWIx45D4b5VUehsrU7omZuZ
6d1KHOeksV/h2OMoF5Tt9ExFvKW6bqgEY7PYICxPtx0s3segZkdh59cOZiXMZQMp+QEk2N6TxDRv
WmueeWiZGM9Rb0ixqnCvwFKt9cDx6k3nomcd00xsQzdrYF7LGmuChxiZMi4NOP1mB7m0Q/jG5h/u
YCjW5GsJIlSMocCBPgqWZlWGdoDXQGSwMTWxd/DTfnwy0tbyOfYCy1vFvSC+sOroQDCykF5TXpPu
Fm9inDaeKgwSjovHGFnBDSCdrVu2faSHl4mMd56VmZ/GcPJZ4nZeErMTu7rwYyPNY/UL9LLwDB/g
Jhq69jMBh/0VTP5rLy0YwFANfITzbJJl2GpLYnqX7oRAao4/t9iemcc89VDSG7VYLJiNdqJ2trL7
eoR4YVA5hTRuwW3QqZFqdihpQ1yAnRfkzGzqAVJDNOzGOOOzBbWXkeleJgnBxmsrcwwTr0UDpwb8
BM3efvGjnFPX6tFsrf3Yt8OdHAM3v6pNnQ+ZlpRcG9PNYVYMjcUMEY2VQpSNZ5pOtKAQ8QaHsylm
NjWfTM27mq1RPBpSZWAyI2W50oSM7/DEv2C5/QkRE45LY2/RQFuSNvodIkZ6EYA+PluHAMNE3IbL
0p4+Lw4eDc/ODFFp5+SKaqSEXZB6pKdw+P78Av4MC8I2I/2AHp7QH67iHfg9Rp4oF6sLD+4E+Qie
QctAp1cisG6E0WKlxlSoIkY0jsKrrgqWYgtehGlhwczMN3v8aMqUqvLnV/UXtwUKHjRDynZc5N8z
0zAEC8ooId+mIBlijyoC78MpLqlJB5rjdYc1Wr7pczyANdxX/R1tTA8avh8IcDP4eE//jxJcXLSC
3w0EiA9Je/xQuSdzRiuUiHomKwZ39xzVfB7NrkEVPfr2YyoD4yj0mLlwMie5GphsWreOB6ubmNW0
C6NDpzvoqg6L5LcLVwgLRzban9+uv3iIcMkEMxpgP2gs7+/XoMLYgI2fHQiPgKgPFaRvNYMNjUQD
caleF1VebL2prV9zHIseMICcHvDJAwEop+YhL+q/GWoIjfn8eAthNGLfoAmjtuAY/hETMlztN0Td
cGhgh9PWa4pTByT1hPUOdaB/mWSPFhZJsOGw3hzoLzCsZvosGo7kddtWugfjzv78Vr0PiGehY6TL
nJNwYYZZfxq3SFhBCInq6IAHARUqkTkA/ys1jo2ctOt8W3xE4e87x7nUw+LJLtv0NDjWAMtrUO3q
wp8yzZlu2bnUxaKjjTVimijCQijfY03kygJtkdBorAcaE2824SegJSnj9P4aW07SZi4zrjjHOrpf
NApQzNX0EAWaZzUkhKvpOu41LlLW1tL6Kb6sBPwtf/OcrPczN26HtHBTE+AGDtG97zagSBh1PEP0
2duRyx5olfjJnvxetzrFxNVfiGBQHQfjY2FpEsxEvM9rPMf98nFSRHx8DG1Bd+IupCommcNvuVn8
OklSHbcXeMi29AhrbIhSOiN2D+NDqdVb61hWA9rUAduaZda8UxxPAG88olNYITQEb5dn/78x19+M
ufTp8tM5120Ulz+Q0r/9wB/SbfODy4ZomhjzuRotBtX+D/7sCynYefz3gy2dAyKBrZlrSY9/6ADn
/wy2QItNlhziF34cbvc/GWy9h58l6SVQfF3NfYc8+57kG4wGThmF6x6ZS1fBxkoIDoyyKjgRCT9g
8uW2n0kOWXZokJedGKfg5GfQwlRLtqCLxPPF8ZL2MwLp9nPIZHv78w3n/VHG1VkmX58LBNb33m+E
JPM1gRiVc0wGp3wlaWe6u4QcEnvGvljH2bxXlTms26pMnb85Fzi/323DPlx9+ORseab0vct84Puh
XxBZQON9XB+DkEBcsv3AAYhWuk5VU2pllCvP6PsKHMlmT15Njoo/CfDhL9NSLG+yb2mlqmW2T2EW
ttvU67N9lzGQ2sKK8e4lJDH8HSjVjwF2YGdBpOjOMSsHXrC2diLrSayh+OW3kTUzaMIbmXwGn+pw
NUL62/Q9QkRySSIDoS+kYvY9z3pBg5muSiC3FdseLHE4aAQFZP1DVLQFnZRTAKrhkYf7HVywaA1t
gOY+dszPRtMYEJDlYz8tuPg6S822I72quGkcCggj0hVnU9rDYWY7XqfGYpMagnvpapHjgPozIDqg
ioponVvT/FwkmixotEqcyVcKIDjP3WdCXHBCjU08kVemiCYEi65PPW6nM5rPzNtPyopptK2R6EjP
qh90m3cPZ5AIgSSszReSkXCCBFNoNj5wyXbsbbKoB5QF8yrmVYLt74f4YNe1B78apOVRkEGyLTo5
9kfGyBnW3haOyMQY+mg27bENVrhpmZiDpIGP3UoHDL9yPfCfrRMu9lUxNQAdYRhb4wphHUrRZiEn
oUKke3DxHyP72KF0H133WSazv41cr7hLi2baMcGxqOldDi4HuyHY8CbKVhNt+K7pRpd5hWXsgUHh
g0YWJk9mvFPdMGx4U9URHUv+sMBLhnJb9slpSfxk47udfIW6Wx0W3A22Kqu6wxw3DB87SlCIdYlF
9Q6ANZE/Vxft3u8ScRUQKXYiNgWWaKK7iDEaEeJKN/oVtfFwK0oxkVddyPxXTjqItHDe7FXtxkWO
LSFjDER2i2uvPNl4yYaA0Y8wTKHO9mncwypL0LeNH0WTx1O1qmVBKk/ASCREGIfF9sqvuvStIPEa
i7iuSfaWWY5vwKE54a4pwjZMbIoKNAMT7yZ+HWIicQ+q4AzEO7gJTku/EA9n2snwrMnt6jy7Vvm6
wDrqUev35NtIURvYkgd9km0axRR67XWlE2+7nmz2Lekn8zVk7WJet6bsxLYfKIk/zpj/zWiDtWTf
CIi6JdytycNN00Pf/sIAADF2amApSC3okqgbjql5WACCOAq64txEY4wvLiDWa1tSfumai6U+meUR
3D19EJJNM5zA51ASxsUtpnHyxupLEokNpKeExujvNkeB+7EJFoE7gtsGujZyWuz3PbRxuJ1z9VMo
l0NdTsshLscKKMGFGjhYlFHKHYAaiN2zyU8BiDKgGE/9VzNpevMaZZ5r3iiU4z2U8qp8BdRV7gZc
cYEDzVau+OYgO2Au2y7x2UdTjEK1HdTylLUEopXrdLSXtN1PgRVky4aTQMyvbt/T7J/8ITb5Rwp5
3GEdzThHkzUjlnF4Rsafxe2KhNfitZ+7nKXTLO1VidP3Td0KrpgetTR2Y0/Phn1qU+1r/KRvmQFB
DvfKGPEvxn4YfsQhfQC++s0qxmr+tnEzYgaYL5buxgeBPU4lzutMkrooP+coLLDy4QpYuznyd3Br
f7hxkKVjY2i7Qb8p2kZ+AQ8Y0T/GTarWGWlVAjNZbPOwrMDhfxXVcnwphVHeRB7GlhsfO8VV4JsO
ykUCktOxLb9i8vQJbyXvOIB2uXuI0eN972V2tjFSJ8CuHOgXHawf54CBpUKu7ibBTvRmeh3ZQwC+
Y8zFOcpG8FJgVm2G2bu/uIgHtPGriHblmG4TqzQWjLjc6ewgUbgKoiE69xKB6KqrASKm2q/crT81
uEsYWXdUQERyxQIimZ1zBocfW80bTJJgx8GnlBbSj7b19WAWp6y5Q9C/L0Z7ZvcbvKTZsI+Hazd0
HVzK2fDbnJTp/xWO/5WiUSvhvit3/kSQuk2zV2a9P5IXvv3Q78Wjcj5ANWC/QOioA0gU+MLvxSNQ
/wckix7cQuubF/R/yAtS/xdaRwoXi3rvj8LR/oCCzOVApaTVP/ePCkfmKT9WRwJ2lVTwq6hfsRLU
degPlKhmICR78kR9crDX3BD+vesAuXawZv17JOHEbpFgbODsR6wEnp6N1xufGH0kbxklL13sxAYA
4p7nKg72Rk9UxCNpY9mVj3wiueuIMv8C4VW+uJiUnCIRZlfdmFgbpYnVjEHj/GSxZHdeqoZNNyTF
OalqA7ZCVJXs+X2FOf4s9uGI0SPmsVa1y5l/qZcByrZ/8M2I7r6rZ+95GLGnvZvxVgLxjaMzb2Dn
bG1vIK9AhXhKvw6dET33kDRyuFdlGu6qtofrBDSJy/7OyHI8LXnLY+yv8xHwjKisCMai3Pl1tlQ3
JbIptveJXUj7aaDgP3QtUxPI0GVtGjnmtY7r48Ni4XrsbtAVkWvho8bux1WQcT/xHJ7zHpAvcJU5
kssySLEWEQ4Tv+A43Y7LNkXfTE0FquiCd2JwBLs5/z/2zqO5cuxMon9o0AFvtgCeN/SuNggWWQXv
zQXur58DdrdU6pnRSHtFh3rRKvKxHh+uyS/zJFBAZfHtEZWa5kldoW6BNmgmsIkrW1MLrawBRJ/b
U4xSSkWqnji572a4mbJP5PRlpfcPZbxY4RTXqYkzGtLCTs/nqLs6lKcfoKF1txBrIzi1iuGLycSk
3CfVIVGUaRdDgXzIcQEza+lVohCkW+40cI5b22uWd6fJ8o3ATBAs+ZKEac30ZiJMdO6U1NjBQikP
DLDHHVyHlqLpqibUORXjwZ3mwBmTfFuWVR1io4hvmIfDxUuKObTNOA/NgfNKBkx230svuutW8F9U
KXBlckqj1lKAhhJg+ymvSyCEjBNuRTI5dwVMkrekdEFSIeAdO8qS7/g81Mz86pSdcY5u6V9bXogH
KHpAbICjDpMaiC6pc/W8PHpOmtnYz4mt3CiIboPP6AHWkdMZ58iOip2ClUKGmtPlyzPzSPzosKue
WlurHphL55qPygFx1spaYw4YwNFwXSNjHqoOd6PvDbjXIDYMB8EBfSdg3jwTITNOnnRQVrXGEo/o
Nz13goZ8YDjSf/FTEyYHYcORa11GXVWbHI3Cpx7FuuU+5xw6YWGNc8I+G821hHh2zhrmCuAgKQkF
P+rG6QYXi37S5rnemyYH4CGD+EoncN/dcWKvnrt+rnZT5DTfBQE5DZZCQD7MPfKbhpTRGGaw9I17
kfhz7iKwTsfKnLvHWDPkKzUmZbn1xKx/ZHWnnhRZsZW3reEcgbh4WzNrfkw0v+4JxrabZEYWzIGk
PkBYHV/pISleFg5YL4YYUiuwWjd/aWmuo5eJJ4wutG6H2qdDOxfDNm3sk6hpeindtNgxulhuKq+y
jmLugZ3TL5+B06w85UbL1t4IS3KD4lqY3lZRNh8Z1HHWrOOcdnANiSmxXPJOKbb60AThs6nF2NBz
S/kE78vgO06RBLGiBjRRiGOtelXIRVp/NvHL3wxK95TK7iFrFOdztmpgXUAQoCUzKIZaqNMV9+h0
mXkq8UGcsd83EIxAwUIIP3hm71wW0REQqMf+AaNiEeJhqD/sUQWSI2R9S2uk/N6iBUICoajT90rR
nOIsNp9iGnIDuy10MDVlu4RSevGFitrxbbAU6qIYx+K9UgMmXpQIZnN3HFMq23vaPn4ARxmDfmrP
cEvFxrLFHCbTaLzqnOz3huIwSZmFWM76TCrZzG3ub8OgKzxxZqJeNdwV247TFTMT1aUBMuvBXTSD
htS3jpunnt5ewG2Uw6w8h2ze62uGlI5qpLA8FsbDNETu91yUyIJjutoB3HV+HkUQOuhyY5LGlOp9
xCd2opQRcXGho4c/uvqBYpi0WLGot4DPbzI4XU0HC+r81WFUt/jxCGtFMxguMbFLDnXJCddvFhxu
iqZT05j2OR9Rqw4Gdf5o2fPuNdIih1iJ6NWkYY+Olag/MPHzdoy75rMycIX13Mb9MOvO+lkr5mfa
tPpZc6Z+CJaWSzthqE2LtMtDruQXMSfuxTPy/JwAA8+4VH8kZA19GFo1lrL5qVa7h7llbulqHQSQ
iBsEDI4E1ig1oGoqvTtgUfVGsfUEEyygmn2sJNcin2JKAdIo7KpOeyEOZO4yhj1bnvcPugDc+1Yn
K5JwUHyMCY5hqOtAYmR5uemIJxQXq9Y4GfbVRNmfGu8VATwel5w97CAO1Hd8cksiLR7sNSTZz3Ze
G5H1RgO/WZjuc2xH5pGfcAl10eAOtBpui0VulbdlpFjbQl/qgwbnOVBRksKlV9Oz0sWOb1cVbZHj
PIbmOA9vetcRtXLpYpyc/NvQa9+ztqG/he3xPBGWpMeoF8mt6bY0OfV1HqKw6viN5/6nZuCNHrVl
fMhU29p8+TrqGOWDUKZL6oYSghVne0X8GXbCMyhQ6dPuZoozQ9tk0iPOauolc/8uUQ5QRrvUZEJa
ie8dDZzfWnAg21jQoVSSmILKTOSVZe8b5KofXZ72B+Kvq30hz0MsIg5bt+P5C6n+/ZQO6kFF7Q3x
XOpbknIa/VBK9uFR1MPamSi7waoUsHNRcZcNME8xxqXbZsjaA9nnZjO2hbc3zLrfOjMnLwU82I4+
pumUljV2vGJmJDtoihKqTHaDuamnjUEZ78dgCbjIJvaMMQa9syT2XkwGSTHrIk2ivxWZHmwGnr6l
6/2jVZu7cSQlV6VVxm1R7liiFTA6yquWmkC0EjtdKws4YRSqvcnV+uo03Z2jktfr27WoYPTVMher
ZnDvKkNOMyokp6prXL8lvu/baYWLi34maOjxNjKLi0Ex3L3Xz2JX2COu8iVjEG2Ud0pe3TK4TbZD
qaYUMuA2tYvlzqMeIMxT+kIIqtbhIGlBMkGbgtkdtV01GaTQFMcATYdzgrXdeSTDne5lFmEasbQf
bWQrG2vJcLozU/exO1psZHnCfmCMd0LXKGIqF+bBCh+/ulf29jxVdzb4fTZjCf3GGlHkvGY8zCVY
Bvheih+n0j2Ww3JXpNY3M3Ke/nOX+pfuUust6J/dpVY6zPFH1/9Y/kGK//3L/rSCG2RMuPlAOVjv
Uuymf7tNOdZvUKkMl7uUw8xyvTX9CVHV6JFET10xGLrjEHH6+4WK9AnfjlgGIrXJmO7fipgYxv+Y
JqlgTBCc4ZggtWl/hajobUcpI5vY3ps4Agd07Q2bJQaJc0pImJ9mtWunh5irPkeKNBmxbFfDHYfR
qSSgoAHG7rqpKAnVemnggJX2oxV8qTcQ8+I4MlMemJ6oa14Zfuy1WSBnRVxjci1GqC1R9DjrlfVq
V9N7ARwq5ls9Ti0a1ZDX8g7uyCMUqSwoKkgNfm0XUY+pwKGOEknpMgoTtczNXO2+t2tEy2bA1ZBr
mY3oker3VSXyY99NA3kwFxpFwxcK20FktZz5Ws51T3pd0+4jqZPn6BXvZ693tepzvsWKPpWyOwDL
ZzhrQlF4NyZt2EjRe4E0exq+1zcqh3cTdk7ynd8/EjIJehVRaOrYmTvp7ph9eHWQleNB5pkZOMbI
F/aW6PUQ3xadEHbpld4Ls0O0ywq+wSs3HHmxm8kLuF7IfUmt1n4QPeBUZeTVNVewTmQKHFMi+YFI
a2P0k8GjhJwIo577AoAe81t3xFrWxMrbOBrWA4psWXIlM7QzyWtP3QlLK56XHD8el6xRe6U8bhXk
Zox+PsUm841L7PmnTIQXgHyLjlQsJZ8Kl5FrQ4Bh9/XzseN3Bz7ZHfIW/z7oRJNZtrGrBo7tVGKr
dmO1gzQxBVgHiarUvMnQ7AY8x9OY4JVO9XPsapwpfPpmcnEGlpok+6jQcrm3SXkZ28RycoLV0sAv
lUUkiCqlzo/ShGbUmWhxQzaN2wHd7rVRVNfeUp/gqjs+KnI/smq/ciBiAxj7noveej6iGi7dQEuy
HuguLJ4BCBUPSdMtrySf+7NLaftjJid3mxh6Z4cALQ1uyWN8gguYvGRcKzhELdZJwREWoNVh78gH
i/xmzV8yk7TjWdjJq50FsNjPrXYQPk4a4LZZI98kQuAOyKK3oyna+ClsQzQ0GZQlipkB2YAUOpeA
LRnUIbnmBbBv6WF93tq1TWI7MI2vkOrU1U6GvyPv76PSWy6ppCfCqPM0pKAhupQAHuCXckJYhUJt
2+FGfS5GN99xw8QQn9uJB8ZuSOkvzTW1f0C2frWGYjyXeBYrd15gG08tV4pslIrErlZcyjhiQ+81
296mrkRfdPRmFR6qY4yJF+gv4zIAPUV929uyvOsVw96KZSlvrdTUaHOrwEXobbwpgSntpWMPG90z
5TExV2tYrkOuEIVlPM2M/n0coS6DFDz8vuCow2kk58HQq5QPFbXp22qYIEaglAC2iDLJZKxXdoDY
+8toeNnNzEznVCnMOfBT6psJZYg/6CBWQwGhhwcPg2eeC2ogxlDMqvMKWj69RJoWfyyQLskQ0cuN
TQAMnZeHFY1nws9A9yBhZoZN2z1f8y5bj4deyYid7+O6BEXqqU22EZNGACyZsJtycpBPs7WoG0mk
+ToZTXeUalM/K7a17KAyMLE0FqUeaPAkkbKpFslJmLYWMwQt0m+MsbI0HmVLaFzthAqphaoeETX1
XTJLRqP8/Y2DGWFJOzRlDXbWljEXpyhLAmWx6ZPNOSJi8qwgB/hqO47E8GjWQgdquqAr9OTRdmIV
YwBAYuIKJS4YgmgLLqsUy2em24gndkMNuzfNu4TkQCAWQIiS+3CXLvoBVp5zrZcR9TcnieCPOjxU
btSZwUswqOWkLLvbDgfE0alwiWDYkHe6PbEq9fYYvX2tLG0+RD89EkTHAq0q1DWpqb8/RRjMMElK
1qgOuHZoKyrL6qTXDG6chR2GOWi1m2OWZ7pqdZPHQej3mrW+0JB0M8O2np8EqLC8CFVMlGwKxauu
bNvLte9yOprqWg4bgkzy0rk0gv3nuPQvHZcQfv+p9Hz7o6p6COTv1T9mcvXfv/DPA5P5G4wdPApo
leuhxP3Fu7DaGrgpcwD6siesk/k/T0z6b/wnm4DGn6r1309MYPiI0ALaczV4VKvb4N/wLvyenf/V
J0VzBkc5R1OhB2ua/VfzQsGwQpaNuuwtYORLOGrUuYRWIYyrHs1A3kluaAYKc9qVWzHYZEP1vusO
XAAZ+cq2ExnFzqriBW0/FFaYABpRfBa6kVniR4PocCPW5x0dWQ3NFKnCl2BpEOqUvl/LM8xQ2gXJ
W8WAWrNx5IKfG0kE0QkjqdytAgL62NIdl3X1wdKhcpmQ8inSFRYnk5TcpvtashgTtA9ktFjI1K9F
Tfta376Wuvxr2au/lkBuZznogzkKx6Tap45Mf3Bsij/EunrO6zpqLXVGCnhdXZOvhZYzGosu5rce
QWRdi+t1VcatWJymdaUm5TtcpnX11tZ1PFK5ifn1urozrc+3mRNnEzIAq/+87gPKuiMUiPZIS03E
YrDuGG7H26wpDtsIC5B6rOx43FTrLqOv+w1NQh6nIvYgIb3ydlj3Jaq/yjt13auydddKvjYwZLDq
yLihAfTC/pZTUrilpZYKnc4tL0BVY3WzODabYpejkwUVWyVn9+E8snlSwzs8aH1fcdqjOLkIdQJV
8B7WPbfqRuN5LnJ9C/3M3RFPgeU9ySi6YMCkDtdQ0ctrFiHLmvp7xwbusbG/iBQrm6JfKRUmuApn
ui1XegVlNe3OBGhhjiPj0n6lXKAojZSSQ74gKDPfTH1mBR5oDKWn6tv6omUkcDOMlaCBWzUCaJNV
dxYC3yU39ReoXnaIzzYP2TaWbbXyOJYRMoetWOWevlbaqrQhyPMsu49WkgcVbA6letA9mItyAWAU
XJoCQWdU6zD6IoJ4Kxwk8yJrO67AEGx6HxTKK9v6iylCE592z4ecod+KHOkl8BGCRcZGcy0RUvJk
hnZl3dV82uhW8071ii+hYcEOAYy9SkKlvlwBJwk2Jd9aoSeiB38Sj4BQNIr7jgWpwVf8qfEBVnJ7
bxVNc1kwFx4dkjZrRdCy6bR5IhuzwlYmUPnVF4FlXmEsDfPxNX1OR8kXqwUjDmNPxqL3sIkp0IpT
E6yLbZYLkBc3KuZ0i9dErO4NTZrAYLLf0TDid1DMosBwe9D13BIPVo+10fQtMhLas2byWdioVpae
7E517kjQRMnLbEowKzRyFsa2ov8npQc4XXh9Khk9d9HxREEr9wsAbFNAkwppV4B2ivU6A43NDqJe
84QFgxSKNAlgmdXa+tRND1OamoIb1Zd3Iv4yUuSGOmVveT50sgppkK8cAOxWj4jV2LS2TD1umpCP
WRy/lQDB8QkmWsrvR6lLgCmi5mwzc2ohTqGlM399l/70OCyyynU3MGboj9wvg2u+jXUlhg8n9+Dn
QvXiSDv5xTjURywNAAfxvuQDPPDKjoAQw8hhcpeosNgeq3yk209tsaMF+tAx8SBtNm/+s1P/Kzs1
xvHV/ftPymE+mRH/qmn88RV/bNGapv0Gl4J/NNNgHGz+fYtGMfmNZLlmMVJmA/9F0vCYD6urJfF3
Fu46uf2TeIvv0MPey9aNHmKhhfw7GzQEjn+cEavrd1in1N7qksdh+BdsRq5F7QgZ2r5i3VMOcVTN
7alygLlvFFdbLAcEpV7mBk2kqmcXDxIJzvuu6c6PhJzCg+nkhhVotfGINXB+yR0lPVmGw2St0F2U
zqayqXAnle1RyGHIZbhXCj2GCR0L0T6pVRtxT8VUZJQnNJF+R71jll0BPHn0abaFu03XYWUZLRyW
yeJBSdTwh5Uos1hIrG2CPKtvyKLcIe6v/CVVROeCLsFzP+rDbrGn9kgWQnxyPv5mMvb+NLFFvhWi
dnZqkzbfujJXMYGUNgCi/t3oMo2/r5ugNjg6HHK5JPOey4hJ/tZVrogJ0Rw6zrRNVJT+iDM/beNY
nJpRK6et1Rd0QOmpyG6UJNFfJvzA5mg0IY99EzC6UEmkrnWZY1uF06C+FFbqcfeZl5u5ImzT6N7L
PLv2ZlIXPFpTeWdmSrs3x06/cvftDiNNtYGapem5nGpId3aSXjyleMdVRf8mPq2N1dj5qS1zLs61
Mn3vMfAflgjmZl5pxQ8AdR3XLBcUKZDmNnBp5tjj5/sxjnq38Uitv1qoJhjhUoLObePGMLAK9xt4
WIrlHQZus1u/lGnJFI+XrtqGFEAiprdoUKyNYVT1xiRhFlgNbTCEtSt8zgWFmZpvpF754EjYZ36k
Js1h/UQ+tVNvb7G9cY+CmJ/vHX3EzJZwWuCnn5ywUqaJssfJsJewAXjAJCHX4nsT/P8ts295wzhP
DRJptmdECEqMUnW2eBWjZqLomDsKjxBcSg5yD4IKg7NVNssZPKRx4cSSbW2447dM6rpt1ffzBysw
81RMHUMw5krzEwGECouY6o9d6WTiTH9fup+tqj8z6aLvebZF/In/VAnYNa19gk8edt3YOCeNKlqa
MwZHvYoK/5LdeRKzfAWJNmhJrFLD0Y/PxrzgHmiNRd/mRt5iNFXJM+lxMm2nRLeCXCkJ0NWl7p2m
ko4TFDsTmgR1f916fTynLT+U09oN6vzSP8W0/ZRY9vTkZ02x88Z1GUE4tE2fO0v5tKWl+kaSZOBv
o9j2ma0I3ae3AUjf6mp1MtV7Sacl9+mpOTURjdil6ya011rq98nWiq1OsetHDpn9CMhiwsQ3JURp
O8XyO20Qr15tGrcKs98Qo260ZdfyECNysZxqoZggyCghP7o2/FJqX6DVL6Mubx3LrDdIBAwLbHCZ
w2zoh5609D1QTGvHAHF8thKrvksppkM5i1aeGVEQNCVjQf7w3DJwPf5Kdk23lq8XXg+hX9Cs0k3L
RpNTRvdetGxS4cqnaW4x4EKFRCgDkJh4C7+SwYwuiYtFwrZbqo3c7jHFDnFPgmvfVYa8ESN9J/Xs
HK2Rx5racX0+UC9B86OwORaXqHQadTEzA313ecgJ8l/KftIfOVNn31JVa0PFptl1FJ04uEuaRAfG
cc7DnLV6QOAxMOZGvVBKuFGrWtzFOOLOS9Yg4equeu2xEjCVw64LtNpgUWi9MDaEepCt9qkJCy6p
2VYHnY6hQ9mPZOS0HgNJ1SBt8kvecQ4gn5g2RLyaJQIkYgwPNHAuP0q1QXVQHAyWpPPuHCaeKb9F
KoYNQ8d1llr5zhnnJkxXi4Sqy+GEmD0/VYVqbtumigPbneyLOjMCq2sWIi8GoRnlnvtm1Gqyh5db
BMpceBuEx0UBfGnZb2yCcg8oCiR/Roh7FkxCF9scf2YQEK8msbj7HqMFpJASQ22rvseyjDetVnBL
qCese1OvdEFD8cCbLuPh3JXFfc+M/Zh4iE1G1zUnvYiHW1lRESlmV96qWurd9EmXt/4wRhK3sN3t
SpOaUR03ctjn7gQ/ITF/xAu1v8KZP0Zqljm/rwiEiJtN0NmWck4Us4VXYIkXug3SAJSDvLchRIaD
UdtvTK15NhCAyGO6xUEDXHwBkKuwYMUC03FqfssLuhNcp02vWlRVO8kt4Z25qIm0yD1zZEnXxaLj
Vbab0lcV9HzM1DORZ+keuMvcEwI+cHpQfa+DZMkYb+EXXDEMwXAw3QmyJy/KbJVBNoJ7Wuwquc2K
fql8pY3Fsxrb7ZHJqXOMYdfQYJZH3p51E2bDoJ577A73Uo63hFZw8BRqcRp5w7hMjuNjtujlMaKN
lkcCzq2nVWekswSTtnKf48AMQEwyyjOMKA7MKnZJS9sMXAkvb3pj5DbkRueMbtFdbfcjXFmIUVS7
p6FoShqQuIVuxxLOQAwUz9fnot3MblSeYywCbEWReE9Stdkpk2qf5NQ7HwRji+9d3yhXC2NLb5TW
g3TNJ3Ux+2vuRS2tmAZ2mUGRO3d0xk1rOdNTXybj0bLL90xmwyHhqrxt87TeTbSU7kca5hCclbg/
AlsYN2Yam+BTq/pWAioIXXYuUurZnYbx6k0RlTh77MqJT+/39ALFW9kXcrLOZZNmRz21trUB1JOU
CdW05jOTG9NX3bLYpJUB/YVpzSNX+mY3Dm5707gDZIK+MbZqG/1waZAPqPdOdkwcgPdQS7vviWed
E9MUp8bK41eiWYAaeviRjSzakESE/Gm1xWNS4oEjVuQ85BE/wqDlQ8DPx8g3My4Tq+qmSbRvUU+l
CNHX5IaAMi18ynKZ7RngkGY+FS03+hbQ5wa/77SjNMTbpnMefevGZd6Zc9p9o8KSflOPCFg96dPB
Edm4BUD7TTCUwi9SaozZJ4wkVIoWY/KujFS6ddzYAclm8uh5i+/gfD3Nw8mpbVRwqKjYf4s6DhJX
heWsOsVTxg3+gUMVmnTrstVbGm2Zqcjd7GalpOw8J26uRWxuS9todi6jNgqVzCqsZkvZkaWkLCvR
47OTVSw7ejbuY9Aa3EJFZt+2VjMfoOnSyU30K1wyLv7CFN9wPGcE2Dur2QnsyTeNcLIgt8ik17Kr
thbwhPfRxd9MNpJpcpT3tgV6KW4r315aM7RqOX9UuM2+kYhkziz79zL2opAf5Cfz6nabUWJbB0ul
dAf8E25QZrmyR4vN7cBp85KmFDOvLmADmEvkpo0uXuL7hq78GXGNC82KEVpQ2t3gYyuEXZJnN5x7
yYeqxVboNogDdG7mbJF2lKwDAZtwEyauq+5he6s/XQcL24DIyNCIzvvaHuINTA0IKssI/KnI7yyH
ZjS/V2FrR1GvAiXXs4PKr/pbDedkj30z2jjVCAeHjvr82PXkLim078MWXyC1PE7kvLYJSFxM1A4h
BaneOQ0bEsShOLtqYtA+5sYpbuQM6U2d9CIwIiSeqMK7pj24M6mACLaPm9QfKaF520SHL7zy0Zmh
NpjHyHLT/DSAN68fATjwrtXD54xJ2/cqTspEPWxNAqorsO4Elcis0PJSONBLElchzNFsQIZY5h+N
3SSfgjwXM6neeuVr6m9KDLhl0afmQMs0lVvahK9Q7d30OE5ue2kb/nTNqPTN4Mkj/tJteUWFZBHt
tmOM/pE6VlOT8J6rzy5StUudzi6xEE3yBHOZuzqj/SgTVIa2s+xPs2hIskhHNic8oji0sK/cd0zN
8EGW3VEpG8Q2kUBDIfoAICcR494sKFZjNVhCTn16WJscYXTRl2vaJd/bXWFuwCLrJ7XqzWOn4qpK
Ca1u3CKZQ8teSgPoFK+n5k39NKeT+dJrOToCgDDay9FD9dXBlAcq7xzsIawtaTEsb3A6b+KMgLmv
Ft78MAsvDidQ51FAV6R6QT/Tg2xgCtGBW2kZ0br26EfYcG9cdmGM8hTfH4C3cEbuISMf5zLLHmMy
aW8DR0/uTP10XSoZP5SW7MFe8GZHZZLtAAdy+7L0MrkqEUZgIh8ULthjo0Iy6NuHKCrVgeEkf3SU
nnXIKRS5H2LqvOJWa5+7pNNetcZtX6s6fo5KRz2beiNwo1QqvYl604xYTCg3Gif15Hhl8zBh+K3C
KGoq5zLOiXlXJe07Pv4C6qKckWuUhLmPK1S2/VTGkIfVIqKPrliKl4wx1pObiWjnAoKMKdrQ9B1X
oeGJdl+Y+Apya6Ob8akv4wbrXlxts45m4XDuKul39mBR+N52nHXatKWKDs7Sd6JGKid+xWJkX8/L
beu4OURIaA/3XexxEmslnsFpTYX0rqJtdEd6B6yU6SGRMjtbyZQeSpKJ1wK+ge/MNh8mVfmON0s+
gYeILN+mDi73oWDU6Gk5RlmWCp1PvsBTmDnyRllqKujHBhaDPhX31XpOMiSfKyJVg69R3XaE6AXO
jZNvQLNbva+ySAsyrmU198/1IKtZ3dkyOFynlWqtK1gM16uFNMvHLivb13oQbnmjYTA06DO0uYy1
FKeiUtd9AgsqselC9y3Tlp9EMVRxq3lKtrdR3/mGk7K8DDCN5kcplIz9VQHUZA+3o9pTbYr1ligw
OB582+LEW9K57hbcXkL6r9fqMff/qyStl6xm+CvVo7tIcdpHRnLz8y/yz/8CPfjifP4y9FBdbCIq
hUUOpzLUHWvN3/+Sr29wniFLalg3lN4KAUCh/OkTv5HyoEAjjeJvemnQK6YfjdzaKma3tRJt4zog
QUe56WvG/rSLejKj2uH/AyIgKv0aXP/9ZyP2T2jSsclu/oWHUGrkztRIF9emwSPecFaM9ul0/efv
wP/2Ipppglyg7BvHzF/eACsbZi69k7imuuqv/7NpJ62cevv1Mv8JPP8/gWckQ5O3/P+WJB9/zO/9
r5LkH1/xhyTpGb9hq4COqXm284dj6m+hFfs3G56mg4BFaQoTxb9NDQ2bimub/wtohakiWSIl/iFK
6tZv0CwspoXqV6GV+m/5rNBFV3zCL08QfEk0UYDCOqYtcjL6CpX+5QlSB+IJbV3TS9Lq3cukmOxX
xfLhznpxlWT6N4mikU8p6/zeEe4FmsL0ak9Z+9DUykOrdv1xXPDKtK4jmR+NCiKYYUe7qc6S27Fq
lXfg2zVI2lpFX3MjVifizXF/W4HlMe5MM831Erc554qD1DpXv+LCUOunHkQStxUllzVyXT4wLsHK
DwGLs43gjOOTdBlKWq0jLExwaGLVoVJJdF37VLgwvCAwIF5q3Flnm82XNMmwcRLV7LdJwWZ1HMw4
pToY4B+zW4TXBQ5fWmZSOzr1gjt9iXtqnmSt1dhQzWhmjqY7i3VgxGWpkZ8vqZM9RouijGubSD61
IZUt9XtWRe5nbGcA9vDcQMnYdEmtcpxyQeiouAe6rAkHfoR+BzxZP0FclX0w2l5yijJ0lEAMjtVv
J6Kx00bWpGhD6hL3ZVzThlOlAx0HlTHsM2V2N4KetrdlYnrDCSLZp336EJMZ5Zc1ZpdWr+p9povn
rCZBkpEW8rXSi/e5iAnhtmWcvKRzCkpwYSujPOJSm92Jk9D40sf0S2PdvzXKmVxQNXFPmmL7Y5gj
4bPjvgFv6kHQeUE+G4d4zp/naaBS0tOyo+ua3+O07jacPUcujSNVklIpdyNvKfjCeiVPiB0VMsSB
9GpHoOp+kukzc+OfoG2Hk+xr4Xt5fJVkEAntDG912R+RYKt9PpAzhaoRzrLU/Z6B0KlpVLxErbxN
YuxKuZ4/Y1sBOdMp9SYvpx+Yam28RzK6FR6JGbzViu+N5Ml7IwrzZcx35mRCj5PTjc50OZxocwli
zPKBKQgaopR2F3cQ+gb1TD2Qh0q31SwtH/J+Esi+db9jv592XF7T79SeEo3olmXTtJZyHzfL2q0e
/yAAXN9YyvBgDSnVwOVSIIcjAlVpk+6rfKXEpioqYb2iYHB1bQfXMg+sC8m2Ay60jUvLDKxE8XaT
LX7UFhirIRkYarJ2+Azn0yqI5vR7jQU6oHKs3ACJoTVHLXvcJEbp9xXl0iA1aHRRqaJlMAu7VJ8f
NatSfc5fz0BLDxIXmF/2Tetbg/JiLYyyjXzOjklrEdNtzPTnasX8NkonyLQB8JowacaeWi4R46Lm
aOT5eLKpOKHCqXPbEL6b8rMmtUZEBLIwp3u2LyLF2SQpZi0p19ZzdbxfOA45D4WZN7cMYdCx26hL
r42r21ujTt1NxJ2nDzQKOh57uxwIHWgy3qVZrR+rMe7oXDO44TPtqAjDRAz0xqKlNSSapttM5Fow
TXwsYm8qyF7P8/LZUt8Koc0xlyOpW2hlA421JBX4aM2rQ0mdA3oCrZUZIIafWttypOXqgtltHsfk
J0djDHToUS0pdrVtxFV3rf6tp7aba1hiYjbSplI90QBb7oi+NeQJFH2n6jim21wcnCWzd0A6WSVm
rHO1GuPMM6YRvq9cufytsSGvQmlKTOGS7srXGZbGs5M287XIlHceqRddpio1UnlNR8VwHJTWvGaq
noeYpzIcZuln1LtdmOpN+lx2GZEJuAzpRe+WCZ/GKI2QubZ2S7PIE9GXHOu2Z3jnBn3gqHmkFR1j
Ok8EXe5Nw1MeqLBw3nVqXsI49yiIKD0ctGOc8BiTUtI3EbeG7VIs6sWOlnozREMfxsMwXIs+qTd8
HxgLirrsuvWpJYZkg7EDfRi1MDmVtkgompluCQemMEP7/2bvzLbjNrJt+0XwQI/A40kgW2ayFynq
BYONiCbQBPrm6++EynWHLNdxHddzPVm2RSITTWDH3mvNdRgNugqbaNWS12IBRha55R3e3Jeyr5yD
PRT+e2O2d95ko0lvJegFS3Rf3R+KdR21mmkNR/oOAssg1PhNZ6juM2K4v820TrtCPZCwAUIjX+oE
PpI2hiGbxBGk9gbrgZivaV3Lm0XTh8ucEqxazj0hRyVi+aklsGNgYrJFMR/vE9+eNvpoEquWMbVQ
RrMneK5hDe4upIp4wWLNbJqxwwY6tLpjJ212AyNSWAL37nuxQEMTFXzq1WDAd/MP9TTttbmGd6kP
UQCCgG6O6xfv7B2GrY6/P+hXA4NqJUKBH64GX5jtI8ZQPwReMYf1mpHedvURpQtGTiYqU+19IVOL
hoWPM0NvFZDi2SfQzWYMkJQTDcG+mE6arD9WOVreRT2uthxMxAjiiXDj8sakMsHCxIUt9TnbjatR
Y6EAP2ireYPeNAOMskRwGiN00QTfuZcZIU2FZL2r3W/LagIpVztIIrtvZiXllaMi1BBzSc/Xwn6O
0tg4cw+QNre6SUYpP3GQ+7tJLd9itaowf/hOstmJLlEFRowNGUs/WNm3QoHf00mwuqXHEQXJal0Z
bcG0cFUguXqMfd35VH793e7SfJc7FAzDZD8XUA2CQrakXwl+1dLYsMGx1nw2vc1Wu80wTLKI0v7D
RwMaPLvzzYoZ2g+Hjew4DRhv+iLSQxbTilU7HZ4FeKfA7ix6ybTHhxgUX8ZokYjINH+Dr2HCAMHf
09uFu8sGbw5wX5S7NluKs2mY47abFzsYrPmtTWgmDgjGNqPPZxjpy2x1RJ1PLYOBW2m1pLWXbMeJ
YmRmgPhRKj7+0Mnshcdedpc1yOmx9hx+1tLnB8gpR5dhXqDlfnzXE+p969CoefEy98FxXcYteXxt
m1V7IDAvtoIpyRhrthEnOkkT+4vvyDGYHLfBQSa29hK5JtowL+ZKDzBwlxr3VsqQzSChz/xwyql0
wpnrvBqfqpvBWLqDjijm4E2O+DZKpsGAGd4zFXU3i25p2XZACXvIVGfdMBYeGCNlE3ENuuoGXCtz
4EMXpRXoONwRenFfC9+5B+BH74xVU6PEMJUZOHabf7aNJez1QY25pngUVpZj4+6VMhwemRIKxqFp
/aUPcMu54RxbDyqd+8CjL8+2PPvaEjL6Vsb1KR9hJIZZlTCOja0POq/OQ0lI6ztGRyzDaGnIiYDQ
NR3VD1dhKhMEZpMzT+/66j9UP5yIqycxYvG8oPnJ93A9b3FtX0VwGjyShsxqOhjaknE7u4P3EcUe
mYNm6xFH5KTPDjHRF6NPnRCrbr51UotYhYpOdNjUXrGtGIXcN5bdpMHMqbgGUg7lVo8qDLSd6rEI
NaIrwmFq8XSu7k4ItdkuWl2f4JPMreJz7bvG1fYZPIZiX3t5+sxqJp95xfVfc+THDzLrooMOz/Go
OyMVb1S7p5ptcrZJtTaSDD7G/Ck202y+ok2wag4SKLiwwytEMlAbVJr7J3P1vibFZMjNZJcqxFiN
7lhnntAtU/esi6X/cNQ4HERbIafKsu6GbPPmS2U5jeT5q7IutJBXycKhr0d1tTz5TUciG9uHdsQy
ywobsE/q/XDxlQVCLVfzsE0znocrklWKYosQyv0yMkF2v8ZgrJEP0QWl+ultnwexYeCGphqaj00/
+Nol6exl8EY0j3BWH/KlBAGPIkK75OWUvkSFU+4AjBZ2WCxTfmRgSMycyGKxsW2pCVgRGKv1aIru
Bv7qYWKOfGoK/wGaUUkRVvdv5WrR1hKPcXi3xFfNDxP3Dz93VwzFo5GMzDt0z9zTtZHnbLWAz0WX
hPRV8kBpS47HpFHOblyt48TnNU3oLOS+Z0MqySIwEMuXC9p0MysPpHHGtyaZj/O98LKmuqHHNjmh
D5WqdmUggA5QLBSK2eyKw+hNU7UflJup6OON9OrRfoCu6tKFp8CrhNe0SOeSwgehDwHnKp9sLXDb
zNhi6S+b0GL2t1GTwGJLH9c6dInrPAM1L/pwGWPg4igUlfGGMicKdS2L4nM6DGm94RZusi3YnzF0
zZ7wKgk9mNWna6oznAF16JGx3U817OPCqCEEocNAzjFrJxJM1LHhngz7zkrPKsPvEJm991k0lf2u
l3gtAMeAGtpPhXpsmVqlL4Zh90EB0QZArsucsF0WJ3RbIb7jBIkPbl9QghsdA7s6bbwn9Gr6NnVZ
nbfIReWuNdvlVaewvhpnoj5z9seVp/R9xa89LcQ53Cl0Ll+TyS7umXE4p0WlY2AWtgrpOSFGM5LC
2mKR6DaoB6kO6pUqIwFZNU3GXNauixAtuP2lpYrcdtOEo6c0sm3Mu47iHGf1ZDbdts+9o6bKIazY
uNOUTf1dI3Xz1bEn+wDAWjE8oXeZA+kHQlgl+zS2hrCpSL2w0sLl8rbJ+Jb7QAkQqd9YU+J/6CVW
Tz4JY3rdpJlqzgfGwTWlVB+fJVtaAu98e6Rv5tY75U/Otp4xPoHUzHW4s2myHekrA2HiNR5NROS0
1PSblYF90NLIwpXJm6Qc3VIQa9O1AfkMMy5Ky9pVEUPo0ve0mw7N0r0ak0M/4e6YwGZCYiktWs6j
ltO/TJLvSrn2JYrSlIW2jgGdYpmSLQt/z3BpzpM8oKOMY1d2Ay+dcb5LOt2/HqYYkkwJ6la6qbMF
UcuCyTz7hGrgVjB63LSIUqqgX/3dXpnRQp47+tJGLa6lVjdwCqH3Gnlko0rwrReACN7GGteo2CJN
ihdNtS+49CXMIrG3ncnQmWEPHzo+roNI9eU4E2nC+UO2uBlIAd6Q3bNyHiy6D14MOm3JX7HjJduB
qwU4e/pKvMJVEpNovdTwovKvbTas9xta1m3fEQKymSxri+bc3ORkJ5+ytHVeJUiGTRHrbkDNjGNB
K4kgYzzHOy+2p/qMmXpt4bfe3tClh7vCTs95HMtb+g+6Hvb21IvtoPThuu2ot0krMMN6bf9MolVH
v65zhl/DcmBcoX8fS7ZoGTanQ2F3eFa02sSc69ERUM17l0zdySugGukQ1E70tcIkmRUhpy65h6Ym
T/C8hrtFJjGs+PqN/Rql2FymkHqWrDgyAxsklrt2fkZ0DvtsGC8WpNMnSqnHVKvrwAOGfpXgVArq
aaFwrBKocUsNVqTXmrAc+m++UV8YmVobGMhPJcqQAGYeObcuIQijY4nnZELgC8ed5FhdDAFOfudx
qSSJros0r8o5Oada+dIprz3MbfLA8OsTwyT130x1VMYK8ldlvliJkR+tobQ/WizzoR43Vqi04mkC
cvipVKEtu7gULhAEcAToNEiR3CxucY/dTGfwFGckJysRfRv0XgIsHoaGBsU83tdAB6pNLqKItlM3
jujd7BnxL4EC7HEmHM74iu5LFqxuoyyncvl6kddvwJJ3Gk9CsXV12ZzMklJySWHAzXEUcqmUd5GZ
o26Y/tEkMJDNQjiTqbEB955DARe5QYATqrFrooLEkT/wv2QpPs3YvLezisUDHPkJyqA8zQ4vV8Ma
3yNJgsNeahKwrsuk0vMgbzr5dFpSDxy8bjwxJC6hOMEc6c21F7jqWma/94hDcNfQXbD8UYp933So
hOPWZElwp2YYD1nVH7yh/haL5TRxwwcgjvWjjLVL5LfUOjmScBz8J+ag3Q6Eqrf1pJuflEP7D/tT
iywKtgKVqRlESNeaeLjzM9JcCSgL+2h2tv5U3tU2VmkaM96xtOFPeFqXoByZaSAuhXYzmvZzCn3+
qos0FY6NmwZxbpXYj1S8TavCIOqPzVnj9O2x7GKdzkVXAeyFEz5G/l2PSeiQRXjNk2r+JmODzlk3
WztPEl+ZddZb5AzGwygQQbgTMAukJdX43Wm94YG1D1+46yB6xCt1YoR1EbqRBUakkdrSCI0+C+bK
baNLeUCZc7G7vA2ixbL7EAmV32+92GD6mOmJPMGwCwyiMcHSz+qVGU314gjbKpBOL8s7UjYg9bhm
tdeKEemNp+faIeOF14BL8SYY4Vlz9lDmB1hjsiQEP3dqmJ1vrWKe36izeLRiVbymmSFuqtGKLkuX
9O9a6n7GDTYAYru19lTThr5DmBgFTopiMVCpPn4Rk9PfmmZiL9cNkkcGul5R7emCFvAxOmbskDlw
UOJl8cC5poh1zBQKXYq9BI4J4x5bj7RrI20cjBm8DA5pNDzOsfOFCsF5qKO4Au44dweeg3nrNi0G
Nl88jejjNvAZzYeY8JOAVJQbYbTRa4HQCmNsJBD5m2Ya5muy59VoUtScMfu2m7obkitqiG7aoXGq
giZL3Z60CNafjdsxqdzH0YhIjdQQ4PX0wqhpCiwBJZsbyrsRdRM+1Kp5alCUXdW1EFA+Ks8HvYb1
Zj+TXBMwzzdIhkc9fz0yZX4c+AVuKOp+ee4lzkEe44imEQ1q8i3Kub1YverPHncPmhg1wm+oyxSK
AmOnkBeWv+maPqZiwivAcKxDy48aj0qIVeYFqLr3DcsBvG7ZZ91BoQ/Y1NqE7qIVNsCDWMuHAO73
9OD0qqP5xIgbfPiMsE+Zmv+Umy24+QSoSljGUTyF9NTm+1kOE0ILHjREhysqw2vZeE8mr2hK0EKF
mA8/cUiUBOnVd3gOodNhRDgp6Xaho/pxzxC8vpviwXzOMipwuHurI6NxjNu2XsH5eT2I+9ZpeJ+y
llW3OSSjZw1f0slKavoya2LXpZm17pmkef1aL0Ysjgq/OZvX1rpjlO7d+1rE9qXBBnKlaYn5Bi1a
nrpWDHgjLJqhk9nzlFYly+qmcASEBtEiG0idNuOhHMn+C/uRruDGanw0GHT4CR4nVNrKCdIzZzRC
7uhwpYtsi8gkzoiUam+XuAUS6M4KsyVtqEd98eJThrobp3Uyf+aqMF4io6VQW1xyW+h0NNeJ76dE
4GZp/dy7q+hO460bI8XkZc+gm81OutXjNtsrjexjooeLqyaavOMw6t1Wta48KwMPHJW9oZ+rpRq/
wODswAxOwM8T5FOB29gRy0mn3SlZq2tCbsShgDO2bYcFyU4L1MtSkrtEa8buIjCbfaV7S5IIMMZH
nfru3FT1iBiV6p92pkeXRkvu5wS7FDlRJEEwywhi1RaXvvPftcEgwsAoIBMlThdqWDYu/sCjYWVm
sk1r60h8jLiFqEZA/ewMJ1fzFlzLUQ7Pil1HT8WIkLVrTi0Y0gtwEXkGwv6GU9jYDtEM10XMr/Fc
JIGJTJpUn4y2ohEV9Mqa+QmgQLTzkGFulblYqO9tsU8GjKVDg4uUtCh6NpUsZ3PjiyVMrMkIXUP3
Np1TUcvqS/OS5vYcsFVYDnMzudBGjba/FR6aLQo9dJSlsw71JwfHzoy4LswcWUn6WYM8MwkPR4fx
DT1Wg0qjSnaGFMvGr5ZrRy78dz1Cc4dSfQQHvjEH+eS35lcrZrHGh7JNbWsJ6ZS8+iVqAT9m4DHi
7glbLddDdAHVzjSkfRhtYonj7H4RoCYr28F/1cMdi+PlBoYRjvGsflZtnd3iTjtEmnmgsOr2AzzX
b9rEGMQEbUK+LpFQCxXyRDLTXoGYRJbevxZ+Vt+NfX0HRzGfN3oleLUb60YwybUbAXMR55yZHBl/
m2d70D5szesvlVk2qBsme5MyBqPR49tfuxE1fVxM50GhG2vy+vm/Y+v/k5NG1//SSPM/+evb6x9h
i8aPH/l9bC3s3wRNEpQLiNwMUiGRFfwT1C1+w6ZjYjRlDvMP5PY/za6Wg5cGlqLP1JLAIO+nsbWl
/2aa3NF0JylZdG7tv+OlWZUTP82sbX6LsNZPgTXH1K1faYuZgd6ntWzt4GsaiymdKMgKvt0+/jTJ
/xfqkl+0FT8O461gR45Gi/fXSI3FaBmcLIMGOs82HiHkzaEFW+ymGAet+DeA7VWn8ctX8kmsZgCP
bIhUAS7fz2N4rgXTJeIhD7NR+Te62wwX1zGsE8Pw6VbBT0j+zQFRx/zpkB6+Y8NBoIIDGYr6Hw/J
y8ipDa9BlDI3EXkdddWdK0qFCmEUwY0s3KP/BL/CMnd6Hw8WRX2ezXu3Ghnd1g4xsc4ASGpDL5rF
AZjswa8m3IGz39BNRc16rn24EtRg/n5cmnRf4GUE2TWVp7kxirtc5phntKb7YjAqPPlDo3ZaVKTX
0dyl1yxeDqi4uEz2c60XR8IQ5m0N9+/O1Ozluw+U7ykhmv7JU/FF7+cUXXnO4Frl4IlNS15swJ8i
SDLwRWbbF5+LtVQ3izVmX0ydzSnSnHzn1EmJCr8YgtUReNCrqArrpTbRwNNEbup53ELmxr3YWe2V
Z3TVNcSmcdPl0nrV8xhZsjuSsYPF41ATdQUka/Ijhv3kdr23oiiQcRfTHUt7Av+pHnl/NiQS6a3J
K4RcvBFEV9J4bQ1AYIzH9sV3TGduz0mpsp1Xetg1xoj7PNAREZBpbBXlW9946iXrY/FM5qJ578c6
5PJRb/0PMtvQBBp+4xFNx8iBTnWWTrtmYPbKXtxK3iRxFEgPSRi50fOBASWIyOrs9WPPgKwcn8S8
5AHq5iY0TVBbcK5igjzTzLlJLeM+mVKd9k423ye1725bQ29eCt55u2rSO4ZrmHMJDHSLDxxUyR7o
6UqvUBgphHMV4zjlHbE4SbFtOTlJGeWXmjjMZxQr2p1VpsuZUFUB9JiW8RHwjq6Bs8qYRGvoTGw6
N7TUdfswjCuJYk7lWc/i/oMIyu5NGjO9jiWmq7fVutQ/cQraMInc97rLg9EYm2sMFbzFvPxDt2Do
uNIGBU4BJGX8xW95t9WRgklJ9QsRs5iCdmJ/Upm2DhM+hU2suqtMa6BCTl08B64usldHIAPB2vHN
wliA+MOlP0d77D4ac/PsJu2tM9EF3JAXb3Nr8/RM1AQXtMe46Izh+4QXZec0WneRZrm8dVM1B1xZ
501NUt6kfmmGcum6+5qJfFB2AOpqP932zvJV6xss/UBct+a8tNdURst29AGPl6XfI1/wB/rGKCzp
R3uID8xDKgU00k0XD8n8zjSDTW409H0Vuj1DfsLmhIKGvNBlCmVcSGdLLxaA0pzX7nIWYz5Px9zX
qaaCBOy8vok0LV6eJL7vYbUs9u1IrapVaHVJ28gebTg/MdsU4NViGB+9uaMzaDA3Cp15dTxokUQt
7tSoHnyy08o9bSXX+zqxnxQ7b5amcywEFWeY5tosGJS1KSTpuOhckr3HJb4fpMPftFQ6xNduzUQP
61ZTjrexq8XC2tBmapMrn8wrDBVtNDovpkpW+JNernaosYGr/5T1I+C9esL2+YECmguVIKvQThLN
bd88yAISer03/Fa+aI6SD/5QpPtGL1mGq8JzDoPe5U8e+p8G+6DJ3G7sXevkTANGaCC7q6qefKu9
01nWaTSxTMAMdQ5moVFGToiHZsYIJESaCU0gJO/rf8YZissdp9q7a9JyZctYkoEgLYphDN3QiOyS
VLeeuGLV6uUpRS287RjqQw2uUUExgx2rq9q26Xh4g2fsDLetwrxJS6yKfheUqOKnjTYnBVcg8r9N
DX+qO618oAEIgwbKXs++DI7g3WTZ6rvt2uLMB0njnTTt6krhQ1nC3o1zOA3zWB0FmuUbfJXua17U
fD4rH4xd1Hog6kbJdkaKgs+muYr/52hd8WmKJn+yGIrf5jJzl1AsRfUQF0mq6MBWPUKcSuJVT6jy
/1sF/l+qQJN3O3K//128SHAbyE5E6Cr9WcL4+8/9sxYUvxk6pSA1n2M5huPyK3+vBX3jN9emVvmZ
EWdRZvyuVaTog4XgGav2dYXDOX8Lsv1r/AmPIqIJMpyoPJE+/ppM1evQCOi+xMd6gk2hF828t7KR
egP1A7M6MhSb96kf6nd2zNHpp9PyLypBV/y5PnOgexuE01iWb+sOJ+Hn+iz1YIZKJBjHAnLjxYvl
stPMlvY6zBUR0sLUD1iDUdWbRscjbfwYkAzsec6VXc1f4FfXNR3f1mTLLPETkCcBKZSXrTlBH7Zl
6M2aesFa0iAQAXHZL1dRClZoW7Zrp8CAv4YvRye90cfsPRP+Iq/Jqhm+e/gHeiZWJNI0CWCTTUaU
1n2tzR7NqWjai5HAucXj8yormffeQBhk9SMxxmVif2aOAx8tGktIcn657IS+IqYAkB/nHn0GoZu2
VqpD/o910YiWXjuJHwvmDNvM+xhiKwasxQTHfEK+Eqfboo8nVluZaM5LovszqzCFZJdcMbuWrM/w
dtV4W5twq/FqiRGxH70C9OMSx/n9yAhjh1WiYM1P40IXO7PFwM3gVLeco2GvfzM2Ep8XBkPFcu+u
75FYW18ppBLyeqF3wqvGwIhq0cWTroHOk0zeSMeAVpdIR5Y5vkGGUW3J8ct5Q2DKpDKJa/F1QQkC
9soYp+1Y1t6+Z5Hq+DfmdUPzDop6uMZmRVtZ6rFF6WcZd0tqVuEYRcPXJr9bM1X2RVPoF3Ks8r3w
d4riKwuG3K2vGOfvakLdbutEmtwwCpthtwJTtBku9+DO0xeJ/+yrnmANppJNAsvpAe2m0vm+DnPu
RUvBUvtTjU8BlDaJGumxEwykkGNC2EuSKky9pjxSO3QnyOYH0zBy4osyeTdM5GzS2Y49pnA1KJ7R
ZS5THid/fvSIrW82mu+3b0Buo/tCJh5ZZVZKn90ttvrYFVf0g9tti18UC3iaf6kGxqe1ZiT7GLDQ
uxvLGodv1GS3g+bWr/FgOFju1EzwxixovNCy0U5km/NTs17qd02rZpqUjPQtM3/MNGW+uG6s4rVZ
856y63xycfmGhKLZu4i52zFGzUkOLaL+xhq/Y58SrwuM8K0PdwTJTBJ3r80ChGhhD8IcHcqdGknQ
S5ybHKfwzhoWlJBuHCEDiW1JOK/hoijyjBeqF3FtgAUk0nokP4J8XaYAsx/0EGUf276Kbyxwxwdp
FdbVmMwo8UQO/zBWDtPehPjlQWVf6zLJXrii+X6aeusKZnx+6MtSXcvFzt9V3LkRSL3YO6WNtWCR
64YzHHt6eymDi02kaEXOWVcgowLcsNOsKb2IubHu/AWu92bkkTjkUwO/Af5+uvKErJseae15aKz0
eULWSnTQPOoXmO3ppSM/+7En1HPVIylsDzFF8ZT6LxUI2admcLsr+lg+iSq9l53oPi7mzigSuHhE
Yx7VAnC2WxBr6pkvENcOzqczNAB+PHd+njK0hrGvHUup0KGiy8qJwA4jEkBpqyPrM8r4aPrqanZW
roJPMSbt/oOthYmgtMwPeowQq8TMBVSiHfYUJzCNEpjHy+TWbypy+iu2SemO9hpgzNIe77LKqa8T
KeYDW1PrLprH+Wtfpcu7ExnDHSckupkq1T8v3ozg0x5JK2m7Lqyw8R9GghT3ys7cGvFjJb+olFBA
LjtPizbWO9+T6sPSYDgvopiQTZNqzQiLBlVdNN0tGVOlGQwFMUKZiRdVtI75ucDL0Da6SwN+1ucq
9E3jkYp9uCRRcUuDzL82KzP+asIEQK3g17sJot6w0ecUlWQq9YvfSf8aXI15N08DAncY9f65qgx0
Qvl0k9fsX2GVc68weoeoZftFESBtxQyP8+ekqqwMY8EQipNRXvq62/iexVJT5uUVGD/csbVtPGBI
c4BJd1oU4PSe35NsnMhl0gTtbFif2aGd2/qN1v920jN54l0CPxzf27esRw2eM8zc14A7H9EOtfcx
sqVrhlYUj30NXYG9Qf2lLXv/esLTeBnwCb+ie8I0bSBwzNOqZhtctd65HMf5Y+3tz4GMa+dQls54
0uJi2EdIHK6HroHmnJvlTqR1/TSi67lFSRWFsz0seyudkjvebOrF9fvqTXSl98muj32F27UInP34
Y2T3gpN48VGNqt1YCXaxEy4gmtxdoFXrHsbXWu0osEBhKGshwKlCGHkwmKOVB+6iZSfkp/VTRJDA
Fi0HNa1TYL5zYGh+lrZRQ1Ea6mcSfl13C2GpeLPiWOxLUkQvPQyDq0Hgy8/pZh4TXxz8Xprspkze
bwRhdfl1Z+v+TSaK9sIOFeUGUqdTXbHlA+Lhhpktnesxx7ZAGk//LGyEfaYCSxu0NvJ+ROpjf6fi
VpwXzZ+/61a/pkuiDCOJiXN8lY+d9pgkGP7rtGLpYZoLi7bVsnJdtBnSLCC9th2M+ZsVc3ud6hHC
oHJgEyGIKgLy4Ii911U/7okRxq7pa2BfjKQKiBQSr1JfFAny1qvdtwRyx6XzIGL6AYY+WeeR8AyW
wdm8nVcYOzCby3oBTzVmrP1CItXAQD+kT2xeejivBAcBwm2QDt9WsWl98UQ3sF3GqlTXALs1xAkM
CV0MlS4vxxxkeKhVljrOKMbuPCe2URU0OeOrTrEHGQf/wSCwAzBYS28KN+KjA2TSDgq06rcyqmFz
mcPk3+Vx6e1HIgtpkFhnETXQEtzC1i+1blw6251OfmcKjLpa/T3pU7NjfzRi2u9qVItaxmAQez8d
q7m9RYGnbtkd1ocsMc3DZDllsDipFoxg3JZ9ZDTeM7WA+ThZfoZC0rG8T1Fo/UtRQc9hRv4VD7m3
JVb8zjKbNuP76WvXfBTtwWTJI2Wiy5LTqBqN7ofZQi223QY3u1Yv76nCvoqrLxpPZs8srOL1NjON
4dbE0ILV2bmNqE13BgaRq57uBkIFQRIUCrqF+mNiEb624r4O27p5KvWmuBnoCMB5XXR7z/uu3A12
L8O8g+CrMWk9mFUubjzDm3greOkLBZqLaidjA1nP0QG5TYQ3WRKb7hkN7RrysY2AOzu/ZcAJsaSx
pwxBol5RvqLj2CIOGO/dhjHaSAPu6OpzedPJeuQ5sVxoxhigPih8ky1aOnMvdZYV6NQrIIhKldAc
Ux8fBvptX3RZ5V9skxrQjmnKBg7hdje4g/yrBSsF5gcnOuqeAmAe6xmueEn0w7ARQ3RM+6FZCCS3
slPWYSzepIOR9pSYOCuLGkPSd6vIvBZ5p+zIO1CIQ8QZ0jQduk40JwdoG7Tz1qKt2MzXft0YoS/T
OOjiejolJbEzMYX/18UVV5ntPsYuWDJIJtdl6hh8S/tUMHz7lnp48klIywN46z4lWeFikYYqMms0
7QZIHWENy26rrOW1Sea31NPuBME0DNAHNyRFFm9nTReu6spxj4bWxkOfr3QD8yrNDZgAWfyFy2Lt
+lnYgIX9PrRyihstT28A9VoXzAovRmtHiE2YnMZwUkMpBbSPIufEFKMPRYh5vbDQq1WeDUw3qaG+
9cCHGTWfRDrcJLNtPlkNLoRATBVec7dsduu4HNDJBDMRbUq4VDMqN0ZQOIvGzZJm1susmRPJ7YsK
oMns4fB5N9hmZaDcUl5Kbr9XGH5b03Oix6Jr3YNiOHtyzFa/gG5MAUIzpVxEw2uuTdJjqjyxm9tu
CfB6O8FsA/hZA+GvSy3nzS6z+cbR+XKZgAqxdAX7BNV0/2Bt//XW8M/bUtd06NujlvBcwf7wjxvD
JLIZG/ciPWZFy7ZOmzzichbBKu2Qi/RgQ956V9RSJa9sgIZ/ffA/t/BdQKDmOgNxILP7vxycQL0G
gaJKj8ZUNe9L1pRn1LfJjZC+vP/rQ/2LmYtl0OxH6Ifh9k9G07ROM3dKCg6lzLrc8ozgPC5Bsn//
6+P8iDH9ZRLCbIfpH+MdZk/uesJ/MiRK4gjtRgJKxBw97xLR2Ee3J3Yux/52WzeSGGN04ToCaLt4
VV7MjpquYHKjEVHK5jpK+HQ/PtJ/za//xvxq6o79l2PEy2vbvr4nffu96/5ggv39J3/vILk+2QCC
UaLn8NojK4176/cOkrf6Y+EmO1il/tFK+v8mWNv8jeY4DxY/ptv/8Mf+3lgiEdi0hI/fmefNN+y/
Z4L99SHCgebBglp7WxwMt+4fbzjfml0NkYhCrZl/0pD195qoiJUR2OP/+t7+V0cydRCFNBss0/jh
xf3p1s5Lu7SXyeBIJnIG4FDfVFlNmzFK+uDvH4lj+JYO99y2xfpJfjpSTOm/NEqqQzdK4kF7/aYd
gKC47Ln/9oGEJZiEOBwOdfq6bPx0oMHLDZ9QS4VMUn7KXH5GWvqZ8c//5DBI0gyPK/6na9S5ydIm
zqSQKtD29gXNtDZxGVYRXvv3Tx33KvnlHh1HYRBk8YdvFCsdclXCNxqiojlPSDM3TFHEuSmzf/Ol
1t/080rHjUf+IAQ8rhNDdvHLufMG8g3IzVSHZBwlQQjopuLpydBIRFtD7P/6DP76nvpxMIvpu8fc
fp3D//FraQbiFc+oiJStWxF6bdEcMlGT9qqlr7qATpfajbUBM9T9J+fTpne8kgChX/7yeKGS682c
ieZBsU956Bs4LA65hU9axp/++juuJ+xPJ5Q2MasCLh+e6j9+x6XPmANXhTqwU20ORa9mIkT16OGv
j/IvnmLh/nSUX+bmQvhoWnrCeTWU8FdmMz0NxVieyuY/O3U/HemXUzfKIiHMiyMleT8jEM1eyfsB
evtvH6+1Sf/HM+frNOXo8EMp0Fmpf7k71JRWyKB6eUiKwj4hkSs+K6umkT0S86FTTmOB3+bM/8l7
wwJ8PRD1ioA4UTcoy8wApjjayao8CZO+1mxyZZk6oJDPMV5eETTkn8sGDen/Y+88mutG2rP9V1ze
4y0A3UgLb07i4WESKYoiuUFRlIgMdCM0wq/3Bc7YHlHfJ5X3rpoZlYbhIHQ//YQ7FH7H0MpoRj4I
xXkoRyFLJiYWxl5i9PhZMOJ9Eb5czAYZAKToLCe4RTuLtnE8T+UDTpeo/a0i0jXyfsDfQGv/CRjh
2b88jBX7EgIYi7DHQYXhw8NoIPuEVaOqo0LdH3U4Y0F6UsytFhSW91GMpjRTduegI8872u3U7NAg
ifZCky8bDQIGSHow7cMJiEQLruA1SLMKVdVYnK9m9ochKN7IzyHPL465AmOOC7JaOsp/CnvIA3wL
gs/0XgtowswVPdgMurqd28hF99XFSzTOAY1XlPJjxVgxRlpq08w1MIucvV2gR5NsO3wQKkww0ZUx
OpHnfb+iLQtg3j30zs+9lcsTOlrj6zs+4x2Bgfokn5Iz7KMqNcjBB6BB97Ms7W857fxt1nE9FjYZ
LxWK8rvC0HZBfFLdJO6C5ZRHBwMiY8ww0RnQM9po0UdnWNCpg4YZBVJ7wKCiVda2srm7pSKIU3P1
8PBYQuDXoVAkjCt9n+OwDjAI71Ny+i0MQ7AIlcmwKlyaC7o7DYpxyLWEUWVtg9J2vybp6gmUODlQ
8aZ88Ef8WXQn1JP2K/drzL0rRFId9aQqOSxck1mdP4N1LioErVYkRiWTJPRhyocONPZFaAE0wa2n
f455NBdprtWNP+RvtsM7HTCX/4p1z9vUjfHn3l+a83E9JlLGmBczvpgFDic2BsLrsAaNwMyf7vIp
k+ecbv0WukN2ZgCRb0iJmI1C7GCaC0oCz0nEAa8Toega+Un95luRc+00OQ9xKAHDuKA7sexcQ0DZ
JRLzDtz+cB7DyTLjIdCGxcdIwpykA5XcwzTmlhKESZ8jurqbCiPEXeyloPPL3jTLFuU1vzzDeMxW
MA6NinbotJrHNFZWtHcdg99gjSA8wGb4QZcWTdevIUbg91NdMMyFyH7iHud93XOK2HaIvEfuRA8N
/ft7pB5YP15rAztvpWcKCtjUNIdhqqLLdsKxhpkhr6CPJzgXE55AzcaCpIfkrh890KVg20l7sdaO
brRfZipGsOBQ5fEzUOlDX1uJOcOPLX+JRtc6RDX7yMdKJNlk0P3POhNPdyOyOI9LuxRnAIp7VNys
1s0OOXyJZVXmLfSm7RIG9T6ThG9wCLvv7sLewkKRaWI5et0XA6XyKcmldxHMJecJ82k0WJmNnXx7
Bf/Kkf6PU/AmAEAXzzpx0W6O6be3E5LlRZsz8k6jy9gBGsCFMJJPgJBZ9F7HXVr5KX5T0bQfEmBQ
ucUbwnyx4D+8XqoehoppFH+GqEhnJlVT+qNWEU3UAsoEgitAM6QzPKpuNmeiAgCxtgZrODphfQKZ
/NbF8Ou01dtY5NBbbpMfPcihXdohQqHdY9+Yb5h9Z6eq9pFzilHTIC0IbtN1TOnUXJbtlOaKHm0E
ZY19LsOeGYkKiq8hspwXdjQdqiUAzr1Mqt9W0HvpnGQ5+m19yaImKk6fUiiZzBLz6EaQYB804K49
AAY01oyKN6LL5/3SEt2qsTdnzpqDQGgOd26Vv2SdhcgZMnMv5dSFt8L0znWTjM59LmNxYszLpxFQ
n4cItQ67pBNvsObbe93CNkKXP7rpa5AUndViZZnQot6msghvHR9qnLQhXHkEyrYlfvipFTDGm6At
t+2MrobGftODEX0bN0V76YwDkew96xwi5iClDakxn3OCGC72O3/ko9umaZFf4VRi5Da+pl59jgMM
2HkUsFnB2Oq0WXkjVN8c0lGgiNtV6gYYOzVG4zYXpQMbeTdqOpCbyqGlE/B0sjgad5U/OPv3qEsT
86kvkJO2R6KVWdeIZy/OdREDlcu9KTkYwNbEOLIqxki9d4295QGk+YINVAtNWixExL5ZjR785ks2
8YSWIK53SCG3W2l145Y+LZG7tNv2yMSqvjcqibGTqusTQ18MlAZij5UQPcaITV+grbEzUTMcRO5p
eAiYAcDItr9FztDDC6YtVTQDjYhVYNO3zVmeNtEZCjTWVd9mNyIT5tHK8+5mnrDcwGzja2aL8Sty
BijeMDM+k4vjHZcoW/ZoxVU3ymqxHC6eApTcdplAehm2AbT77Av7mbEWppxuCCEwTSqNUIhQN3Lu
aMc3c3JGcP9meQ2C4QGHHvoB8tzK0vJB10Tetibi2MwF7uEDqma78ErVX0HWl506LLyDA3XoiEvV
FGw5tyH54987HCvXk+1ZnWKk4qQKVGAX5Uw4y5JgllPw0kx3c8RbMeoozpm72hHixQHSL0VbIY1p
0JjblApSJlwODbXCi0eMOxF8Q0sVPdhRi+oEZ9xWOJUN+iTKbsDVpZrdchdrWvT+xTy6U7Vw+JQr
XBRB5hgf05HOo13kOGfKzFS0lPNIGNQMK8QfT9IAdNzE/oDWBxjvqB2YEwCXe+vmPIWdaYrqh/Ig
H+CuEJxPYaCcVTmiBXOnPXuvu4m4PocBEKZt3/b9pxrLpk2bw8PGEzfEPaJXacvgSgyOqYg93XNY
2CilNlP5ecwFTsHK8VeAxIwJ30YFsznVjKh3ELu+yXA4qnwVzp6Z10oQVAfXZ38ROMyt5+XWlSNq
KL99UDGMku58xj51xabJOzruZdjTSceObtLxS5F6xT6A1753gafvmkA7j1XvTte4rjUgjZIWsLx0
B2sblWK5Zrsmr0kZOMOmcDpmOgHs27y0rPNsQsP6ECQV8U36hG9Y6gOOmQHA11FGGOUwB26PzFsZ
1IVwFc5+X2z80g4LI85O1O3syBPuahzwc00DSTlhAGOXR80BuvPd0Vz1yQBeLGzJE3pSy2tsSFMm
HriQnBURtr9seO+iF1WSgQb9U9H6wcVAvl8P3RInAPhD4f+xaKXfxh7getrKeRjs+aItiKljkL3U
5XAXQ+U4/P4JrNn2T0UdpYlNmSylQz4OHfPDA5DGq5JRlUejScLqGP0mp+Y4ruu0ubAk0hq//7xf
cNHcIWwOD0k2OxLiF5+GGuOhQvoFAIpQjxagEeJ8hvWv2uWUOb2FlxIcavJBVGs/vR87+Ig5/lnq
jkieO8jUx0Xp4UumzdkEkvQPRa6zVrEfH4hHFrUq9+NL8RH9ngxjnBOxi2OPzhjQuq7Z9FOewAWS
j5qJwdEiVcJ/MnUBmEaY0LT9H+BQv9TZsMb80EUJl5KRV/PhlfQoQADrczJGnnN25lkJ8EBEkP6w
9H/pWPApNCpcXzAVAfX1oQzD29qgAdRkR1+SMMJTAQiLBuVWuyiEgeFloogpbgY6gETv92vA/fUZ
cyyLtf+zovIBN/y86GYoNKZFDeQoQbfGx1I20eU7bLIaSAdRKfPmm8jyogemZw8FsptvlvJWLRfj
MRNqsOpZYwxqwhqbQ1j/6NcdGG616JAkEeIOdfddx07cn+OcTbH2fvX/16/+Y7+apt0/XvTupX/5
N9wRs36+fql+/Me/X70wW3upv/8EdqS3zA/93arG+5aOKS0QMngIMdE/iC9BhCijTRvLY+aJZCNd
g79N3kT0L8Zb4dr48RkFMY35Hwhk8N7ExjWOEyFY/XT/N7yXj6GQowCWM8KidEABVH6MvbU9EIFS
fEhh9npInhlZXyZTMn+pVuuoJIHl9Y/H8+mvoPJv8MQ/NVndd//x7x83Oh8YCLTZPFQqkdD5OIvp
ywhQ9OLPx2nK21sblxBod+OfhFJXicl/BrT1hEOAEjthZgAO06yfN1vvdTZtE/xfZiR6z8hp9C2D
W7NlWqoQwBpBxHTtuJM6t+463AO+/P4mPchHHy/AYYqGL4/kQPu1uzwwLcWRI+iPTYlg0gHHhOWA
H519NBLZDGir7WnKp7Y7m+OgcjYKUT+Eg1VmZdsOWOJnRvyUnk0czlcIR9HcShx840JMUJG9Lvje
splJD0Rp0diaVA4Qzou7GWVJdLPedD8Xd4KKFBRUuBxT6mW6IZgJVL6nH6nj5jN6BtTyKnHgqzZa
UKP5SBJjjzc590wa1HWL3t29C3HvUy+G+DT6nXqBf8KouGvM/JZ23BGdRIPraj2fdQgtUZZSRLRx
FpLhrTjVlL7Wcwo9/ImElR8cAY1ddprJG0O6+C4yQdXjwKXs5pxHRW8vcZjfwa3ElvAMc55VqiHo
EEsEE3k/N+TxwdSkN55eVgxsxGy0TEjIyYDb26Y0iF4bZInQtw7AutDfv1oAvh1jmLo7AQXlVAyu
vu2qPj4tyNkwwEVrQfcLlyN685DblXnQ+eJ/5u24ezDs7h6nhpJ+2aRf52ZkP4Dg2mZjPX9J+7hB
fApHpVW4zD76IybGwQhMWPR1dOk7VnbUGvbtSMv4i93yIyjTdF+xvgMEMFEv6KR37ody6b4ipVlf
Tg3nQVWFPBEwLlDQZDXSbcPjFMwBGpz7TlGX4sqDw6B2izuFwS0OaskKJWNQK2P+mhScPNskx2Pj
CN4HpUw56NepYzszFoBnlQ3leRPycudAjbtpyMt014m6Bd+Dx865Qrlm0y8gFALwQoA64+KOCrk4
+KglXUsynC26X+YHLhbQtvu+OFTlyt4wTvNM/WceYnhJV5E2/KoVGaygvW+ciTuORktdx8W62S3t
3ViJDQU84l58mcMmjyAOmKJgKb4DkB0kBc7mDC2ZRPImYhOhiYSN9A47IEmvSQ081yJRL0FJMjKR
vJDBwxOrd00ax3e+HetXMo3lqgZg+cUdyWLrhs1Qtro44Fnbf6cpRHUmqWvSpERk0eLZYh5hH3O6
8Pv3JQpF3PyAVVYclmJmDKyRnyNfb+Yz6bD+28KopzJhNF/C6BhxJzyl9KxvkvDNHiKoQZlFPwa2
SOWep533bLuzfnTjeEDnirW5QbUkO3PXSkJK7K3iwPzoZaCu0R1iUU6uQTyNF4WJd4++oaQrXgmJ
oNfo3Qy0r+/rrFNPg+ejhY+I4P4djo1pTPMsKm++yIWFsWwIDwfGVhhtw3psXpIw6OptBnwQNxIw
2e83F66CIx0gr7tpVnWPEAN+42M4d3B5reJuxr4hRKyV5+P0Tnyayrza+qOd0e9xAzC5SIWeeTDz
XlUJiYlVWwyUtGmoH7FTIS+x5wBlGVfo6953k9ClHn+3yEOAdexfs3aQT5lTV9joGbHUiC30C5Rk
XM/G4Qrp8dg7jYkY5B0i/vNGy2n+AkyA4s/HoXPjeFO7A/XrH1iHHuhnRmP1psGb5WCG+hopRKyz
WWEnaRWferuzbhu7vLO84Voi2X8I08C7RQGA2BlM4rr1ks+xF19XlhY4IbGJ6EKn55VbfAHkAke8
xGdkkGBowgrDETN8L1IXVfAaU+VBpgi5U+XWzqAuscgY96UH6bmLk/67k6Ham2QdJho6PpQjHhXT
UkQ7Z26DbQkYbQdUGX7iIucrK1IG3tYSn/w8RE5RaVhLGtl5hU3KuXTt1Xhzklvk3L1NlRWm2VRl
+ZaoBbsBIGRgzFF22UayvpvrINtDEIou8jRRV52fj/hmsWF1XjkXGcYJ+wFXk/Nl5kXSnbXPbVy7
jhDw5q3qMbzE/QntJoEJnEE2CoGSQG1dCz3SEe+z45A4nxHRiQ6+DLpLOnyixLF66l87NY7+1tOR
tSCawDvcJLSHj0iIBgffGZ/rJm4vB1opGF7bw3kyRojWlBH6GV6MldMcd6+iGYezBJQeDV2dhQeT
csyl7tQjuwQjjqGTA3Kv6A6JGdJpkxZIyUXh9Bx6hgETSrMXNUoPSEMVxROaDA3cfmwvz6LMIKAV
+EDBqYLSbWCkIEMU+pbsDATYirE7V8RXezcTRFJEVpXbbRT76kqWnboYF7yIGkjE5+6kuh2mXOyq
DoVcer81Ms7oGiLTpfx2+rKMIocvARE07GqAwzsUBhFFbf3lBUKpd+7O1XKvsHRJtk4XHSewvecV
EjKfsgI6voHdcSoqhY6CW1Ysd9R8yhHZqQ6vwtsANSySg5nmQtKOGA+pkF4oGl9WVC4b5IhoKkQi
fwx8CvbQnseDjGeMRCJjHXSKqt6QQJZ1LM5yFFPOs0xMjAqM2SVWggBHmDhnJX6ye+ws0vPQTPEe
Ux951WAUhqPQaN1V/QTKXS/zaQ5bU9JZiVK5135b/ZAJ6Op4CS6jqcfSUo5ji8cHLFTkgtLiSmGE
eq7SKtDbLPXbi3KJxdOQB4gbBx4WLqDmy+4inZMiRBk4t3+oqqoQaQhqH4cPRKRw0EIoGiWk9mxw
Su8JL5MMU3g6xZcSNarXSuT+SpcA8kvPqXYS7ykytn1E/BKhYsDlHd0g6vFDkHrmW4Pr+bYvxzUv
UPp2mvpy52uDGV7IUOUCIyw8F+I5yAOWX5Wet8K0l8y7G7mlJY/n79h42XGqw7jb5lnj3cwuTnML
w+lvrmLks23VXKzvxoaCQ4qU54JzqHSWIxyL+pKRBazoWvXfgZ2PapuM66jHLlZSjyIKv9VliSzK
bMV3qgjWPVCQJgSxreJd4jH8ep8D6lR5NwueRndWoxS3SzfzMBSwNHcJit4gcNGt2AFOVd8QjFrU
PvV4SQ7kWDzvyAr/Sr50BvIc1+Xuu8qhAO1cDyujDZIasIOm1VOSNNT/PGEjh2gNCWO9dw0sI5oC
KFYFfn1ZtgsuYXZHl7kZCcZtTleuAtuFqY7XcbhHVWPd1RjUPGSuSG4QooYY5PnqGp7tehWRfgQ8
T1oKBnMNyks1v/U5OUkWBaQnSIY5nwiD9Xeh/MbsrMQ3nNqGUImUBVplLZczr0yQ1LGGB1QyeHeO
tgDKvXO7EtjiF7jBcv/Ije6ShLO8Idl6UgiUM91c019U5Z+CHjlGt+MWRAJLHyT//BbOKjublhjt
2jyL6GWONAiRkUUxrVGiPC8wYb79QxHh/FpEBALbEBupgGjFH3xoinjMhVSJCM9x0sSSGd3mHM/Z
aD40MzNYldXjLkpBBRt3NscMyfYDltgvYa6+jnUi9pnHMWV5Y7IbVNVcmdaVT6hi1FfZIooL267E
M/SYdLpCaak2F22ahuex7xQ7RlELNlI8yIpXeEyizLuxaUjv26kiTyiZuHFwL0iXi/lCpmRRrR5G
ZCV5s64crDuTtP5nVH3ntypMbA8JOomHlehY2770yTfGZhW8ZOGkMUwoJEDQqZdJwTctMuDVt0nF
DnjPkaDm6du61Ou7jNZ0qSCRiip8VqSdgYYUhdpjdQQ1BrDhZQ6h4GAcSj24yeYhWRBW39ARKp9b
AXjy1JdLYC51jIbk1zEDI21NkKD2XlLgRjkgb4lMlRC4WLdbz+2tTu64odp9QFXQASiLYs15gLxe
cl5wlOADvf6PmEQKFcoO6OEWbreDABN0YvcismX3PSjFpIiC5FKtncK1iOOUO07wltojb0smWE6k
UMym4aUjPc24G3IOVQ9LO5TdVzjp+ALXjrftPAt6XxWp5eqdaRumUn2b84HRcNZnZ4xbQ7r043KM
l55ELq394QGp4uegJW9fMWJPMK9FhrkXliHvzy4qRhyTloWHz2a37trcFe9gzFvEsLOzGN5WvQ29
voSYEzYvE8yLFzk7nMmQLBCtY3p5QC8dyWTDo0dTASrHSLHll3X3Ff2z7us0OeLcnvrmuV/LPiYb
TCKr3oxbuZSQjGZsIg9IsEPD6nKyxTpY23JZcFuJdniwHdxy3NptXrwOsQdbktkqh6plhw8PO69v
nO6rm1PIIyaorvsgwwsillPz0sc15jdhT0YaS4nYZ+Mt7BGs2mta9Q5f7O1FvyI3zlOpoKB0ZOUb
L8PmEFaZPmml6YYw+Ig2U7SGrhQjh4M3B6snqqsfMYEOGeRR3nYonl4mjmpP2Rxgspfw4FoC1xlK
NR5jlto8hJL6pR/pa0JLIQlhBHJdIdCDwyflCZaty1vILl32Wbiop8KvPpkpUN/6oafMsb3kxqll
t6nG1N86kl9aW2vCsl71BJkHQYCMaSHSy+s7ECM+hutWnahkOUiKEc85vHI9PQ2Hqa1yf/XZZT5r
MirSlcOZTTaFExqj+pahPG8Gdg3Ldo2BqOoxuaTGni8KEbJUSTaopwUW9TS0uLsymC+WxJ+vJkNX
430ZuhOlL8tb28dpwKpOJlSaopv17XulXQuWT4WuxtaHcgktiuoDN7GMfiiAljL0w8sh9j10ASjL
rMTiMUhNRUGjh0e/NlCWLJwPhaIQh6D41obLfLWw3ertNCccAuNEDyJM6BrYsKjuEOifGPzQ0CU/
5CgcgNF80gOykymWHqgXMek6nxbuyAZnRvGMXuS2iRgLu7EPxCMpbG+rBuwfopwlWNMwGfc1qvOo
jlXejVv43mcOGrul4WC6r33e0olZZKEfUc2jQeH1o35Ncirdzu7nL7XFNo/dtjy31qJWeJKwRiUV
n94rZETPbVhhECi39YL2N6IbFNl6IcQJh49/r5sDRrBXU0HPrG5S5o629cOGd0qaEli8vrLikNKd
jbzs+9LEhu+gJCV5vXIxmcED6G4g3Wmgq5dh3+HqhIzfEcc4ehnDmqOMlUjB9pPhbhO7J7hDS/7e
lFHzTAOaGbeto8sxIM42Y8ojTD3doo8reCEFSvn7jrR1j9keJWLOnl7Xs27XMNzFTXdRdiWdoCgL
yDWKlh+Pej1fZLC079O12zhqJhGbhcT42QlZEnIZuu+DjpuX1ImTm2BQlOvtun7wzjqSYtIE8rmd
eO06vKcVYURnKinq4g5VHap3yTHpo/xz/342ILHVnoYQdHdAyKfep3nFbFneBInlcVSMUYjIDE8Y
urV7PyLXs40qSd+iIQPBkAEJaj937hWW05ts4EUCJi7P59KuL5lQ1pcebpjn1foOUvKlp65DVvgA
yIikaEQtG1cx8zCPpCdon4WXdlO691aF2k1MHHtsulA9AUKNT9SN/va9FWN6mkWhq+ITwjXjDgmM
AmV+JspowkDQScKJFdJMyBX1JJkVGxtgi6D7BOGm3s62aZ5L16IxONKrE1lMitaTsAgfyIhLU2/l
u7F43sPsFPA0qNgZwTUy+Uo1xeAa+tmax6EGe5paAbecYvmLCsiWrGWkVDSd4WHCR0TxjH1URIJT
yzeK3Fqw1iw7vptw3H12ywmsfy09fWL2RvNmDZUIgoFlKARGCSHOqCWqLHQb4KsIeMmku5Sq7MmW
rmDdB/NVwGzlXuhg+BGg+nPWc+mbWhds3Cwi+VNoFH8Dh0rKobulPMdPkuQRuYgbAGrPxng8tQXb
1HNQNGwVA2GIyhMORW1G/UhWkmM/Ms2QvWChRuQtg5ddjxYmmRiak040DSrL0QxKzgy88DnE6aBw
aWW+//V9Y85VzhFjOQP07pEzFbcMeV4vQP0mFy4UXnnZWQOnaS8yqU9JsGqRG4+VLVWAEQwEsOVK
+QuZ8BjMhwkI9CCXxt+nHYXDe4Mu6NSzdKkIxlVvY540qTCqc8MZBRx3jCtImY/HIZRPS5uku2Xt
gPcUsvvBC/gwMBThCWeN5k9DxI/DNUZ3fuAGQgSoSAVIXP3ccx8aAU421/1RZjSHIUMO3k3g9y6j
qjE+zZLQlkYk30iaTp+CpKn2eAuL40JyANmP2qUW+tQJM1/Uo9KPwyDljcnc6QshYTn8Prd2mJ98
GBA4PhJVzBpDLwKW+eFiwwAhYWOJ7ohyH/51Xe1/niELb5FDhfcxUJjQrSARdQxFUYGC486mlXEC
/IjXiqK1+v6yf39Rv4wIIzr7gYv0JRcVyF9mI9DpKCNQpTpWlcB2BiuVeNcB1LhcRrS1W3RpdlTv
y34Wgt5EPNBky4FA4wCzVnLSFHf5yKISpU80iL3mO8yd4DaECL8nypIYWkgqIjjqWbvfX/n/o1Jx
UAxd334AcIVmyc/vvmV+2iSJ1R8Ty9WnOKJvQ+ee7FHnur0t1+brAv1tZ4iJz93MKVKjhxAjte79
PXv5v1HlH0aVKKow5fr/K7Mg0NcVL/+cU/71E3+PKR0XSg04d5/0E4oHvLP/YtRAtPuXlAAYIteD
WcBu+e8xZeD8iwHXygiBD/Ku5PLfY0qPL8Hv56sEhHXyLf83Y0rxcym8Xo7jQqZhleFKiLLYL/vV
MO4abPkDV0+VvyHzFQt7NwLV1P2u73N3fsjLJOsP3Szol3WMwrzXKS5VfYnfGh29g7Ik6WGhQwsZ
sxrINVGe/mA6fWntyoJR3kriLi6sTGcMMFFhNMe+ACaPyVGW06+8QUhGBYD/bGWNTICGuIUeOSRo
qso5yly86weIbmeCVEqDQUXlLGq3GGBYYXyoTb565iD9Taz7w0z1A34DixBgJat+Nv/CryKo/bz9
cEhwmr5bvB+qg8lMgp0EKWd6KwWqdVHiRXzk5GR19UaLLpvvYfggKrt1EbHifpAnSf40Af0Qy7gk
TgCHKIaTpg+x6iPUIsjBkTVdm3x3aHbS9sOfuzgtzKM68gQ8ycGlVtQ/zirrokJAUvlEh4viRDXF
SzNRMCBhN+CFekJnrbPT/RInC+YP5cSr2PeYOiHW1/qxNe39pdD+9bIU+D3tK0QbQQ+iXTtgKvSP
DfPpT7Nrhu08ZA+be6bXECPZCz8/5jiFG2SBd/9hj3h7ffbqzGruqjJulk+//6Cfx9frBwlSfwwb
PXgIUAc+jK+RW9fR4k/xd8HbdsRelXEh7Y1rs8MnAeTwBpNiT6TAdr3S6rfKSQJzh2LNHwlFPxMX
3q/EC12yMC+khxf56zj/H2QsRyQzwNzc/w52u/WvPRyWetSeGcQF4oRU3oLEwO/v/WeAAJ8I7ZTh
Np12IFM8hQ/3bjmJFVBYitdyALSNvO6sLLC5JlxQ6vjDZ6374n9gAuvdEbgAgQHHgeFD+Pv57tD9
LguVee73yUlwjPrhoriYIv1PwZefkkavjxif2wHz9P/tTbKG/PUfWIoE3Q+dPdGWXYs0TPc62REG
Xtg2lKG5i4HX83R//1EfwGfrTcJmgPjqeyARCBUfHmiOFEgxGrf63mHxUgVHDB7qL6XbE6O2fQDm
Vd1M0cKU/LLJgK7ae88ACHnIu0ABkoIpjQXNxsbaJ7rNcx96JeZYtVteFnT5EFEZRilhfv3+on95
MV7oeJEMcHd0SCs/BjQnKnAUdO36tZ77lqtoLQjYb8aZLe+xaSof1eQYD0cA5L//XOfX1QcgBwZ0
SN0hwVZ/iKQx9fmkWs/6tnj0UpdtFHjZ0G2DEEimvXUE4uQl0viyCF7mtESsaKfbto2goFvMbO+z
ahkRIk7Daem/JQzNooMADj9feNUsSSJ/f7Xsiw8LmAuEyrpuEwzaYJp+eLceKMa2GtrmWxpmLlsR
kep++dT5E32RzTIjsWjOok51/rUFAoLd1NGJ5TCofYxyEFEsZDK/sgCr/M3HtIPfkMWygElqHNnk
b38FYBkroos3DYn/CNYsgpRmqqBgpRqsV3g7ddv7HMP0drDXoFUWryEaUj0GBTsXkhXA9xSy09My
s+/RzKKPzrNwmYUQ5MFQ+Do/uFIjEb7R6Zit6rQyr3744+BkDvD/uFs+sf0j7xFEPkuTcjrnGh1I
8PXAjGdwHpHYVsiUANUol4elF4G5R2PIN3dMXUq+N61zIsgmTf2Gd+amE2JRG/ocWTFvc6EsNjpS
obTyUebKGZdCl6r92tt0Y+6u2BgH05kUbzJYjv4Zg920v+3HoOIwmzV2Df22a2UOdSVPIj7aysaI
b0eZYv00K8Fa9Fog7qCfdJh55hhLCGtXpaxDVKucbqovUuTVhtMwDRNraUJXhEdHh9mZL0Jcrzks
bWD5/KHD2GW3qRDdWiTFQUVg1fD3DeDcnHKrNdRkP9/ZuBjwQD27Zvl1EMcIYiXG6lZFdyj2+SML
FNXqtlN4MfzX76DxabXUprGXpVuWXINWmUgXj2cwiAzfmeOkUoLjLBruKfnrqUrajDw5L0Qmoz2O
I4JRQLDbgU4cTb71E4UVkLVRYfk8FjUHmtsj0K/LpYl6Ti1RNDWLJo/9vLqjM9cEwQE3n3W5KC93
2VOmRlCMgRbNM96ZmHBGeMNAxYmDQ59AZBAnS07Z/KqryfAMG2DlK6WBwOjEn8MSfF6+W4IhLEeG
HLVBwz1Z6jV3y51J8LUZLfj1JvJI+dOVFrGpk30DR4ArDlxDFNi3CzNcHNOAcXAlLew8/paE1Grm
FHVG8luauZFshSGnX4oiS9IHnF2t2/RcEv6T6weNkL34QzK6kf4W9iRbcA415r3Ytfs+grSIR3N5
eZUhBgTCwthFdt0Bo/Yes0Hyly0E84DLymW0PmNtKp7gMI0Dj3NBM57fVJICymPe440RHBJEv1ii
a2pt7lVY81/tYJuEi0yOMMY1qeNClgH5iH0+t/OyBg8mjcULhNp23dISHWZYKYg68ia8jrwRDRXl
CHMPGQxIwB7HCYhDRzPZXV5dmVI6/ELddi3Xh+TvsK5qvEXafqeKaOVhTCEWiu0ut++jFDSB2Tkh
M14iU1qmlPu+jZYtvAolDn0xJ9LesbZBKyXGVssnb0aWyWWwDjEZLy1s7eaaRGFscF3z4Ia12Mb1
pba3fpyL7KZx0myFzK3gHqIVwDz4kKhLdgY0PkD4bN5MLVSWbjuVXWeNFwDsAq4xtoBOvWpJg917
qTsHJRCke3IUKj5HKKTK+rrpmmgKt76dSaz1CMSEm30vknzWeBOAP1kxWn5IJyt2MbOld54PXpJs
woIw678uo2fJdA22M/cc5VOxwHRq0ylNcclq0sEJrnsGEOviySBdsBLp/Gl1KOZ4XZf2MHWsoVhk
ukgusGFY+Jp2zdA614snCJWdrnlKu2pFhtWbyaYxpa+70XcJuTkecrylmqECZwF4wpHfFWl7jYJ0
QCJWrp3hrWgOdq8w5tlTwmi+1rfxGpcK26xK1DR5WUgpREPCE912n+eH4xnRAfxewF5w3L5jQRnd
CpD1vH09w4acE1Z6WHYLF55O1sBHS6ecuH7CJccRnceAU76Kodp1+1CW6yHb94NmOU40lxt4mmE7
Ex/mMLXkzWTPrYKsh06ZhBfe19xS2LRNu8HceU2xbDRk51eIXFQjf9chRP314YzgH2ESFS1RFW4a
0mbCOh/yZWmRrWGqumNcWMd7aeNb+DkGIEm/uuHwn/dmpg+uDkGOfQai1VUasLFzIHssnjADbsHM
8q9lXWXj+rVZNoKFCzlsTZz9xlrDPcQ0Di3HYlWKvQjaqB03ZKL03tFqSjJ2Li7nXkAPMnUYHbkZ
YXeHrlDbWzgKObP/bNVj2X62q6m8j4BA4QvTtjrTJ79WdMCZlQ/qVVWcMRcMVvH6wVoNsk5Tq0w/
o4jtL4ciqJvyu8zLpb2rVseel3FxyvEGnSYM2fBL6wHkC29UuNzRVfXUVgNE6f6TvTNrilvJtvAv
0glNqZReay4mg11g7BcFGKN5llLDr79fgs/tA+6Lb793REdH+BhTVSopc+fea31r2I2j8NVV2xD3
QzZwQav0wsnZVreh3xNE1/AdwZyqJr9ZMHqXCpAToxOUgJT0SztCfHGxQtrBCkzV3H+Dfje4X7y8
n91ojQ4y0wHbuT2HFQIoPn/IfYqkisRqdrJ8LZd8XJZNkOSL2e5CGBjV+cTDgQezzy5HE//VTkE5
hTRPgbac0EbiP05oSxIjBhmZEYzb29Z6tljhZkaPfRfA0cLVtTbhxbbrCBDVAaFxv2kqc4SgGpSm
ubdGCytEWDNJ7Fe9zBfCmEJHGNc1SH/3dsBumlZ7Ey9S3WyDypym09RPxPkaHUbTz67hdguWU+5q
Ahg9r71lKB0Rgpz3nmzrvT8JTJDElMna2wQT7fl9mPTptFsIaCGAmmabY6NeglBJYrhVpH75FNtk
+04b0m7mBpS9cAZcxQDo5Mp2OtGbe0aijfA3AwOt3NuHhZF5V4EljSzbKw+VUx7/jH2S4AlfpV03
YFO3BEGyHiKg3jGiq9bmw6TXv6pvc86RCsBWLaqqQwST6A0ViWJRi1vyVera3dQhclhFPWUChTrM
SgqqsdAceWDaada1ZmlAA2Rc6kxKbysBCwkPd+Pr8rFlA+dxiF1Pr3AFyBeWksRA+hjuUsbGEcHA
Dkoz/3xpIoOSVMSNYusBB5+yy/SlQLy3n6Xkd+4GUenqz+syfXKQqYVcCNiPKvJgPzRF4t2Lsit5
K1ZtyCzY08mk11APjWCZFB3D+JOfwZ2298xfqYIZGuoqmmC1mrUs9fGWjuDfxxA/tFN02NqUVXqL
cwAGkFMSoXNzWFOKoUAJvKIu8ek3CQFwmAWxyG326BEpOaUJzrieC1SXUu+cuIUm3iltfMlrD3KR
1fIFBXnD31VhMPHLzLQKeZY6UbW8f/yCep3MXJnzI3ZqBbyjEpKb1T6g+dT1ahAqVhsb7673OI5N
We08O2VyHVWpYlvEVqJrqbKWumSJAyCiwR77iddbz4PRzcgWx9xSAyNzq6RvAMk+RL5BPnwruPys
4bMukV7aPV5X6F3q1w7mWhXXMUOByYrmBfAjaa87ocGFrCNEmhWSX9JYn/MBOOHIMpPqdzB0BqnF
h7+vxNLwCK0GaGZUpLKM+Y0VHHdCVDOrnH0ECKRLcckSkzrgsyimUNznrUXv6fVrZMO0NAzWHPoT
rJKJT+wwsOE7GjolCUYqowxo2vUypmYYfFOZFCkIi9qLihGzvfDUaZH4i8j+WWrdfKIrr5L4WJul
LirMHh4ZNj571gd532u4WQr6ddaEbNxsZY98xaZKiVCJsV2qqm5bgA8wGZV/TcKZXSUXXiiRKx1I
CdXPgeMwb21WjKootvLO1Y9IA+eAhlcJ/qBDHe3qQg2TGOVhQ4JCuSI/IGnsPUBkXAKb6HV3jZWK
2DQHdOw8UNDYqAI9p9X1Zu/p+zEExUFlbXIF0mcEfCV/4L/rn6YqaZfrMUdA7G+smPdlr+NY6tIQ
vjo6qo3l1Prdvj4eWS/4XvJhRDC4bzsWvuIChaGKvivgzBB1hSUzyVONYoTbNCFHnOfMbV197+Yl
Gt5LhqWR6jdRjqqGAK6eiQhFLeNGvtsBpSOvVS4tH8GsFbEdaWfp0jpQFUe+SAZJ+4DLPcHz2WVD
TV4uZ0vXuXBHRKOYVYXNfVaYtj4EprXgxGZak/5COhd5zTUHT77nfkYzcu6MNucnTwbzhPcOHXP2
oGJr4qKEr5VPh5adWqOr/JZPm0w4yTAzv56I/aUMKAymKEITviUOGp/BDhMBjePZMIzph6PQK13j
gjHNtRPXMccRFbdRZxx8r3aGE1IjB5OaMVpcf/D/+tANM05XYe1k6UO+xAbBf4zqivsjZGzMt9YX
NHSrzeQbSwBIRQmw/6CJKiIWKEJYAxar4cx7bGRdjp0+P3A7eYKXp7UXLnqprFmTIeZJMZG1ADmD
W/9g+RZxD1AiqaNeH71S4UVbVrlR6HjxmZFz12x6pTp9YzDF420aITQMbknUbWP5yXSnqQRhGy36
xA20B2QmcRpSP+KcllEpe8z1KV7nMY32Ibnyww0e6aU7+sNk5UQ725wp2NiInY84BPaEVO68PKv4
NYHbt6xVKUhuvknm2aziGCZeTo1TFmU8pU2qLBYpCv7BW3d0rux8i6FBnwJfDxZ5SMgdPQDoFjOB
3Y03I4rofc11deFuc6NzSCJsBe1JCa92m1iDfutDObETbqd4AAwCG5nYx0tZ0xzhB4kVXK7x7OgF
q+drNEitQ4malCuUjt3CZCB2yuzBqYjLDrbz68oRTJ0udAucEHyWj7tG/6ZnRJoSw0MGOoxq3zdY
ISz65Ejm4+MUgk9P1opI8Vhs8L02ebDqhpbP+4eXfN9Vo02FlU1AwMGM9TtoH2NB6Zs9uSrCG/X0
5vXWyH3yhv/06X5/KR0jBdZfD4wYTb3rrNoo3RdFd+IxcUO9PlWe6yiKQhZr1q6Pr+RLN/Cf/WOL
1rG0HGFLCPi/T6U60+rykeSex8kpBg4yQ1zY3ImiR3A0r+O2sNgLoSOwaAwIH0jlGVTe+IRv95hA
ruhC6MlGwJFXrz2vK/Ov2UfZRvqIUErRsSfg3Rr508dv/7dLpY2FFLYW2VoWaET99//o7cP/Lvpo
lOKhT6yJ98EGpY+FbK4coT5+qd/uOeSrTsAoiEkQA+73/W7KqMQmNLd+CGIIzPMhnP10vLMWqR8R
L4xg6//hw70foSBBwCJp24LXFPZvhuK26Rw/on//ULuxXqP6iYftGgew3iDsQO9ZYUC9TzEx8+ef
OX7F9hOrXSGOH3/295eZqakQepbBmFRYONjeXuaRWEQ1BpHznZ4ER0dip+lS+UQxsQJ+/ErvrzLU
UJNPCzSPV6M59q55Te5C4ztWan0fykpml+Dj9dE8Ib6BTT62ddX48Qu+de4zNEE7QduZIS8OSIqm
d3cQ2uyFxWRuv7clc6J42zqhXuZYFCFlAKhv8okYnCSa42AtM5A28/bjN/DiT/3nE0ip5dgvugmJ
ZkM49tuLyykxBnaCuKeJzRlODrOsBZME/Pwg3b+WLaqNdWmM91Wv37+a4obodcur8EhEjI/j68Up
UiJr6FcJY+YpxmHocFpYkFGxJXQZOPBu4zs9qTirxMp6Vms5Cr1ZqnmoIClgd+TBXzmsTtQivRxo
HlmEA42kdGe06MB3ZRChjwmjZVIgq8zQtVVHwhGLBSghySmGZCK9neOFp7aRnaO3eFJXa96WfG3Q
d5T2rJpZZuuiKUXjqrdX29LFcpgWKSuJCYWI6w87A7vCma0mpZssZUZb9uPL/9sNh40eVCamdrSR
v9/aAyeLmPTK+VsVgxZpD1Hd6yNQsPS6AvjVsv74JfXT8uYLZ6kF2cCMxkcL8Bs0lkEZlt7OH78F
EdA5ZzskGIcuwcvamXFldibvQMe3DByiJgupKk3YvNDv5uO38f6TOyDjTFZOWKH8n//eYIwJqRz5
LuNvWUX78ywp2r64taGrtRd21199/GLvVxDyAgV4DN/1cExDbX93k8NtiJK47rrvqqnT5U6kUt8W
aVrryurjl7LfPdL8dl8CjjQ9yeTNwWf39oGKxsnMc1ymt2WHepogBsvrSVWnjcpJN0mxswLOq4io
cWhOzT335YTB/Y7Dmmj9VU1blxYMRx49v6+B4lOHWourC/UEgeV9LFkEfsQVMBnaWpOh2wB+71U8
hMr3dJuYoCx+WhkWQOiVkQn2IpRFelIE/kWv1xwIsqk5kq+bzPmurMzIvfz4Iry73lwDrPAOEGQm
kJoN+u4aCBH1AaCk6XYoUr0zhxWjCuKwcC0sdx+/lPPuftbfKaIvpFPgL+jrv4doogSkp2q54ckH
EapfaxC0TjPV6FJ/YKlnCXqdveeIdLgKROzoLumvP7Vq0B0CYzS5uMKVup/JWbBmpbOLLqSjYGTp
YCwXHY8qCu6kLrJxPzsDB6ZtVoYcjxMAVxxLfg3+mBbpIZKRpzbPzuKbC3+nqkJ/4QvAHHFvvEzH
5WtrQll0QMnbFbH+JlOLqmVcScXCD76vTXRj+dcIjSeSezdl5sG+FwLE5xfOFiHKf6Kt+G+/Piml
yyTftBEsAQfG9vnu62v4BMrHIfUDS7i8h2At7J3NePTgZZDP6fHH/S5yp+Acj34ebmqXFANMnvmd
ihKsGaU/lAxNI4hypMV15BX1zW3I+bW7hhwGiz72lX1IgvSmYNT2Q9UwnVZea0DJY5bjfULNWZ1D
k+4u2ZHihdN6rLKN0aXO14U5sjojNACWfU0Cnruhawi3dDF6Dgc5IUjrLmivXXalbOfmhnMp51Zt
+nputszE8zscWe5ZnttMCdIaUwabyMgIr7fy76gmBGkVEer7YSGNYOPUrTzZ7M8PdVxZYhW2XkwL
I+q6vZ2W5WmUDkYsBw8jFkHDLcHICewHQ9A95UbdfoFV1VEWhcMhxSm+Y0ww16hwGS5juQ4SYzVA
UDzLscr1Y6Bo2MRp+nXwPY+ueQhhrh/b6rSQPr+h/DRiun2GuzY988btZ/PRnvvuuyUX9zYexLCO
J684z2SXIEeek/OPH7K3izU3BGNlFjMN0tDYl/dyGiB+mSRdtHzi+5qu8dyV2dbLqx56cWt6tx+/
2NsH+vXFJEI5vc1Tw72vSEL05pzJg/LJM2WBRmgyT8Tu2Rg4iuxSuY5OLUf8esOIkEi7j1/7tzv/
5WOi1WFkwyL+XjYxiC6oCDAtnpqy5ODq5HUGVM/Bw/eHbeLlN/1rG375lK6N3BPepMWG/P4QOdlF
Ziu0Mk/WqA1cjs12sao48CTkj+bycwkc7HPShQYZo7kI6o2jEKPuVSK8zZT3yL4Q63mfWq8Nzkqj
kbfst9gz6Sv2d0VB8WLDg6hXdm+5N1j2yudicPyLkvbsDW43+2uQck5dWZUFyyzKok9OAQ5yZcjC
o3uTMYuzSA+CpBrMT2kVwYRoBiIFImE+4EZy1gvf3x9qoXciPC6JLgMog7guDnv0+5LAMmQ3uf68
PGEY4+LHmDD3TpXmWHunh9IK8m8OeN/NAO0qX+GI8A5uOcPg/PgWEHp1e/PNoBzWpzrEgAjHvPec
ISsLAbjSMH6KBgYHtNPaDH+dkMGmY0oCb8MtpgPgjYmoCqMumPZUxaGib3Wpak/1mGwi49NiRe7B
WWYaZy3JjgUx9GLdZsZlgqkclxH2JvKrTvRA808V5GIqVgZj83rpJ8YuadWFa1kH8jNlI4xOTY+c
vTS5ciQuyoxO8SGJqvpTgbWMYKWwGx7nPB5ugcZkN0ZJruzKm6xx59g9NE2nTaLTCDcGfGxj8gHi
yQpW2CIYAci0SRmEsCd+Ae7mX2Cocr9adLXxnGeZmP5w27+VJfEVc20BunDc9zjNItV+WxwNtIT5
3mX41CSuuAITkN7V8BTIvyGY/MoadZjnx1/nO2X1y0tSG3DEgYuFBM99d3q0TDsnqaVOf6Y1pEHa
ZkBBwmE2zmlUksli8ixtHBG1T7Vj5ndJNPUXSRKYN/iLnN3H78X7/dai1GT5tH3QDui93318nOYw
LqOy/BlNDBg4t1fhd0jtsdo0xYzlwrSxwQ9FpTGsgl4h3mBPHGLksBv6JEGAicbAiNxWnrxP+lzp
1i8t9NLo4svMS7pD4zjTFWSH6BgJGZE9JAN7XHWzBZI5gqI+rFrLr9Z430S9N7gsuzTrjUsiqRU/
MErjwuvi+XqeRrazVCT1LhrZvdcVLIqLgjEvFaVTkDGLnZT4OjXCC1UMPe+E4mhKLdJ96e2pPJIP
4pAsL5HLcCcyLlp7dP2unSAhnUmiqCPAb2Ku1HugGeHhyPpyrIOuW1UJ3v8116+yjohTxnZvepH9
tW+r5J7Msv7ZTeyEVo9KiVf9+Nv5ff0BBxUgmkO6Bqrnt76eYzMJzaYx++ljJZbayZQ+ovKYmRry
lenog6elG0KygIzHWaUjYElcOn9KHf93N6yvJchsfdCr6A28fUZQSnVFt8j8Z4jdeti8fCF4QeL8
Ism9fmcuKjg1bTnsQM6GW+zc0zfYtAoiOWSA0x+uyb95YHWKCnwroG/wmOy3b2YphlFVU5b+jKTp
fWk8q/tsw2DcSBq75+yLw9WQN/1Z7ZbFMZ8cIpxKyUYm8366xkzqI0guR3WRGIPzjHK+ESu/SbIv
f3iXv5UM0kPvKnjE0UxzqHx3yVQRzkXQuMNPut5NdEtlITpIny4ISjhWV7anMmZKHUlAG78V1XO8
mDJbLaFdj3tHVt2dCPLowpRjdmu37sCEhF1g16ZtzuWOUtyTDePe1/vtvz6L01wDdnt4KrC9Jh2H
lB/9G9dE4FJffuCzaBMeqLdGi5d/8rfRwgwAwpnC4ZRCseAK52+jhWFZ7l+UbuiCsSPCjNS5uH8D
4eRfpHzgHmAPePkb3sPfmbg4LUDF6bwRLZq1/qNIXIrUN/WDgHGvew2YYekN8/be15BFI7tuyrzx
wkpq9Dgcz0dmwMg+YA2Z54Rx+XZBOSWZkO8zu8gL82tPJWpxmqyL7mQXbg+FVrfmCdjhHqzHFM5K
2dT+FxytSFF7aOclg5N1PU5uuXOdEfIXSePzITXGkfEI5zW7UMd2oHGjutXSE6ZXX5b5jHteqYQj
WeDXOC3DdDpjQ1HmER76fDm7YXhCUlpTUHr3MCzVfqyUjNbmFIB7SeuLVM+/C04z1koI3J2AzsmT
TmKSu2FTQJSCgKqC7UizYQQWtUDd9XJI60umxIMJBQbjSN+py8SMmeDZsa5OOIDDMw8w7ed7iFGk
5qkWZIcIquToFVEjrwJGgKgsZxNcsmFU/M567vc9AKmBYzYNlLhws0PNqXCXLq1kpIecZ4DdRdbu
ulCh+mSLsPyG8Au9hYeEZs/JBX9/17GRRfVsQxmK5oUOJQzgVDTqvm9BSIYLPF+kA009HRn5QKMO
W8EHdUNzsO8Z9jYXowDk3dleu3WtTG3xiTVADqz2YkQzXgMBk+PW5Lher5JsFEcPPdcdUXTTBXVZ
0O1pLDf9Lu5afP+KW31j0No3bxoPRC4p4MUecHfIni8mWqRpL1cJQZHGWhAzIJmNuyDZTdiXK8rO
ArtqGBOmpsgFs8dx3I59Wq2LyFZIce3e5EJHdS3WeuDyLMPEfFgA5O0ywdO4y4C7bU24mQ+FTo7e
BW0h9kM11V+sso3P0cTk98h6vVVo0q9Y18gyD7mKI3Njt/JTUcwtVTmbUYuKsVnXdJS5aazJUoB9
yP6aVTRtmXYHnybR1PsmbJHWNG50Bk19kqvKKTIUS46oVyIe8iczNaoj4Gv72Bey2NA9Db/zNLR0
FtBjPKJbt5LV3PUq20d9Y59Cwr6OY1uQW5pzpFoFZdh98V31w0QduFHk3W5CVFTFiicgOVJrOLg+
I0Su6wiL40Xh0RIATux/8z3H3qMW9qCNs5daG6GAaHQQoJxNFzYnzObtVUNH5zHvC7x3TTTfDTSE
AEaQTb82DDNIV7WxIPSrDTDa1VReNSJN4VBXKRx2RLAkWXZQZSywHbdeRFboaATlscS0+LVvchjK
EL/zz5lb22uUffVekZPWVz73oQxdWPtuZt4g1BnWM3KoYFcBTKZxQPBqeF7XforssK8/tRoqBeE7
/1la2Xxsgo78SJzAKzXNwaoM+x8pessNAbXjWvgJMtec2rJy7Qemtl9F3oJIyCKOWgDmZIvTnfo4
yklzg5MzeNdjZ4QRL5sJb5jb/+6Kr7jTP+6KAsveR7tihkL2oXu7k+p/82tb9IO/PGCdNNQDl97+
PzGpgfsXh43A82wGaPjJdNjX39uip8O+mGPD2OTUjfX4X9ui8xcbGD8NO0fq7ew/2hcxPb3dF2nz
8z/aidKy6DmL94cf5JQ2t/XgEk3p+2ucaageS1IGljCezvKoAS3/Ekxb6YxaUXXyQmQuwbU+AP/P
VTWYFHPk2uaki1xm+DnQ74TOyePBgjxMZOEm6lx5FeeqI7pZJSdkZPk+Q1x0LJh0fK/q0MdtSMAy
mudtP3fNI4Oj9IC5kLhVGvPE8XbAEX6YNaEXCfgABnBTZn9h9pWdBTrNN9S5voPTrdBNlJeVsBGS
52GxMVKY7pbqxmOZANvCyuI5G1snBhfNQHhwSIxwVRM/XOd+cDFDXCIWwJvsG4RFwRUCcHBbOo2Y
tgDBxIqUnx3nk3yP3iu6t4IkuLLA71mTN1yGuKkXnXJs6bzjsnF19DGd4GcO0UR56mRk/yUkGZ59
fx0gy1xZqUQV64oJPior5V7kZv00skfvnNbBEKETmOFpZ7dAM4llnl4SmnVWc9CR2jzq/GZTkuTc
W/bwtdLpzv0Qjze9TnxGZzbfl+3g3IAbmw/OnLZXnpNON4yfkjUDgmTXvCRIT17zWDgEpWIKkLta
5WpP6DMfIyJ92tU51EonUjc6m9ogpDppBR4FYqtt4qtdrRMbEnS0mc627gi5LnTateEbxzyT5F83
1fLVxa+yb3Q6dhSkFbSwPjnvPXfceyYp2rDHimvm5URrBwYBywxYQ2Pr0F49rxGP30UzedyyIbCU
Wqg+I31j/FIDNTgFQPEvF9qul2OnY70HnfAd9m4HKsnMv7iVW+8Leh4BhIPKPIgph8GW5Y5zAxYw
uYwid9mhoszJodSp4nS2CBgnoMWndnbUBehe85osEHlGl41Q8lTnkw/TBO3T8/LDPA3Ouccgel/U
XvJt8GVy3+iU81LnnRfong+TzkBHAeWc2zoXvdUJ6T1pz6d0cYL1VIDdIPQWFk0ISDAohX9lN8S7
lwykL0khyo4J445DmuZusSrIhqDbpFPaybO1dW67qsjtMkyykmMy3ZECEO8+k8+yhaghHxrC30Hj
FMdortWqQDx+rBD2k84ATAmej33nECA/jw5R8kbk2t+kX54qSJV3neaMLTp7vnqJoZ/i0DgTBnoO
ikHfvIoVPen1aJBe3+kce/kSaY8hN/iRhH68L3XifbQk+a2fmJr6hO3GZEx8Du+poAR1KB+H3Nug
ES6+SKfrHzluq3bVQ+VFjknC7eidVWOzR1qDQM+TRblKiD24YU6bfxZhfvDmsT/zwqU8uhnJGl1N
ntDAYvmtr4LkKEUR7ubEaTYceKdVWE7p57rDYL0AlFg7GW21JZ4zLY/L7tFaT7eS7utNbRfVmi+U
xkgbZ/aGI3V9bbTTbsy95rxpEUnBLdiJPi3I5B7NS3RBRH/nNyoM1b2hp8OZ51g3qRk5hxJHSrfO
R864panaH46OBA/xeozmJPeVNU5blVsDERwcfe57ifNhVYO6SVajnCGxLXP0aQEqtjcgflJTzUKu
WzV58E6Z1a2icN4O5UJbZqkGWHlBoG6jZYatm2d0pHNqY5Y5uqKroG7Nc6rf+nIuQ3NrWcY9ufTM
M6OIaijJA4nnADtJgD9ynRvJ18wfzWPOuHlLXdms7DSrHnOIw+dhFQc3ovC9Y9cJyEMLIrSbpDdA
6kJDQIjXPXgp7OGUo9612XkF5t3CMa+UX5lrP9RQJ9vPvS1yx+COLBTzanHj+Gvru8kF1CFyl3rv
wI64rOe0U1dkNoEBoo910YGAXvezAUR4cNvrPg2bS0hPzZ0RJvnVC5MHWla0g6EWbRYbQpToGucr
4yP74PV8yjb0CZOZUvvnIqOB7O2gfnCdRm8uw+Le0xJLbpHKA3skdR5bYxpE+wGXEIL8aFzDCo6v
LYv+58hhGIRLM30xBy59CSJoM889SKDJ9s99l5MYEwAwzviYR240CvLAQLnCN0uO1gzsdV8mU6+N
IvVtPoT7BJ/fFk3/cp0px93WCgsQnE1zSVGCli6stWnnAUG5slRknwUMe76PEJI3Iy5PrDVstwmP
+HlHu+SAdgybQta0AZwtL9kU5Wje52EbHliZMP72NlFznrgm98/4UeOtPat739hhpuo+4Z/Pj4Iw
p51HVPQNYD7/FuFSuLPMxvwSqwTYmJKhsZ5nw9s5HBiu2rl5LLtl/mEuA8s/I4sFG9LkEiDjjBZI
DN9Z2Z1xLoCF0XovWyjKKxS6mBW0rdEkvYccrht9emDvT9PoNAgKkVU6NDkp4k7Q3zRRkx8qknCI
ByBLibZQ19Lak6HfPAfkdR5VHtsrdxqNi8QutrNfghdTJVEPYvgmQN6uWGuhifjDODxmvfcN49+D
GQ7PuBq++dX0ubQWzgYLcEr4LHDaSjlvMZec7Caqz+pYypOqM/suo6H4g4yH6SsK0m++Kom2fvAS
7LvZWY340hzO6qZrVL/nRA2x95JSq4yIirExJGzJOe/drZYBwEYXcjOM0+BfN30zYzn1wuchmR2f
M9vIF2fMeB12hgLFBDxwP8xUPfuCXLfLBPNi9a1mAaX20payKYSNhH2sOPONrN3oSfSGIi87t6K5
PBvaRH4Ts2i+09KP0uuQydU5VFCrPQ3xEof7fMlyGgRTNy6YHKJepE9+PHXGrUA5LrZWrEJow0aS
VUhpE2dTGua8RwVM+LnXfe1kNKLSjfKNydl/Bcbp62TY48FLagjJRT9c8ZPTLsgl5WQenyWtezEE
th9hVarEKovYZQypjAO1yG25xPk2pu97xg5ifImNJLqYSEpdYzKerzjLNuCLW3G29JzWIDI+uERI
nLWBZ6BpNoa9VU7zCsUq5Zaz2ANIRKc9T5IjfUI0wfCMqrDHjoW5G0IGPgJPmPgV3ZtiibtN2hhQ
gl1sN0MYkkVd2MlZb0ZQzokdN6VVQ3r3+s0cyeb74JChioFl3ieNIhwNQ80WbBmH6ySvtlBka3rn
MQ69HlfCGlOxfxhorTD9tou9MEPz2R2w2K1Jmk2mhE6PYz15fun5XzW8T3Y/Blc2mbiFia3nesil
kiL/7yHu/3WIA9lB6/n/PsThCCt//uiTH8ObjujrP/s77sL6SzcoNQzIod+ACvd/25skM6MYJHeI
Fia5hP8EyZDMbCIPRtPFGe71sPZ3e9M1/+IIR/INkc4vbVHrPwHJMK97e44jmoMnhEGt6+sUaPP9
mFbYM0dN/EqHqowsnOAJzxUyfUS7/f3sZY8+42aC35d+Ww5TsM5Sr1tN05yd+VZWr83eP/nKz85w
xGWX05BfKB84ozQ8ytLWgRtmsPimNGdAgtMOof6gw1mYG1ZLBy5AE+zqgJCHwBuQRAb2TY29d0M/
EVuQ62dbq5ETWQ+85gvrL0U6sDbZXzbAIu5VHrABJNWqgeC39kT66Bm1uckLfjyzWA9pd7bHWrX3
lh9DOhPKWaWoGbdFKO+QCH1OHetRtbw8Yv/7vEqIPOtJqqxkskZLe2Nhh0Q4z+fxalDbZtvceyAM
MHzKkk4PH6+MGM1PRWlulCGPbesfI3IAtmHHpVFBCOqrQCaUZs+o8aaV53Ep8UV0G7Phl+aKS+Bm
0S0fgctg+sci6bpN2PJTyuQ9IKWh1gvRSgw4YQ6pCzqvyllAvcbjbzP3ZvRJ49L/MnVBXiXBkLKB
6EJ65hLUudNvRW8tN1GV3wRzrrYwu/lOUFKfC7fh7Y8O6MuGN+TUHpzbJbrNOh3Ghy98w2r8PJdN
xRRSx9uFMyXEC/mf4coPuLAW1yE4oRbrtw4JuusOUAC9W4y7bg+jGBmEDe876E6hH2YwBDkNIdtc
dvViLofR5+o5HS86Cnn0LeP0cpPAA+Wc4TbdppbcB9bs3BTKx/FlBqeRk/Dazvi/whQ3KuFNRWnm
HjkpBDsLtw3A3WI6kwGINVXru6jnZxkTXCUdEN+m0skZiqm5F3oTl4kbi446pAohrrifn3GqUH0w
WQAsnjyCSOG7X/hTGjI3V5ZRbsbeB32BSWldFFylzuJQZEv4s2bTBWuMGPcv33cBfRMUBLdVP/J5
MdAG2pbCV08Cxmrw/PzMtKJnHnLuatZylELcnb7kVqn0s0Afcb7NY/6ID+mRmDC+/wlwH3VFcjVw
uWhEn+aFb35seE4koXRnIzPgS/C0NYSO7h6UY42Tnm/YH7iZfJ7Gl4tR1jwUxGiA1MuKR6jUhEmY
sjmD4iG2bshNm2cdbDoOk5+LLoVuz7RiNWroo4MRbod1WNMJK3PzwpZuTMV7iOLu3O/Ix6DFgtm1
CZP1C9o0kzyUHBUvkpHQPloS3GUlfzmNZXbp2zyojslC4Ct2cmqSfGvynJi5Sm5ULKAM6hsE0/HB
tKDeTi5DhIG2/aoa6AYw+u42Lv6fsyg2y/1EDaMthjyGGfPwl++Wcbh224CgJaqUJYRboKwhpTsj
1+blLl807hXHWbDn2JBtZ5x9O7r7+QZ7b71+uQH0Hc4jfgMIt9w7M8tYoHi+3QVC6MvX3A+jNoBz
G9Fb6rcqtcIHCDrGQcR8VMwtlImDZRzCAB4oE/hHCje+Ait75vyLos7h6THBP60Lpw801zg8M1uw
mTIxpysxiT0JnY+Ynme0PCOJMhl5exRIjDQX0zhEgue0ovN/Mcs42EmPm6wsoEwaXcCrY3Vn7S1o
RLI4WAsH4snd464A7oonh3gaIlzczvHWkjjHDc47QOZ21x5HD9WkLAlIn5LCPJiglbYGNLE1oUgs
biNf3YstNBzsmxhhCP4pOJl1z2KCi06tBY1lQnh5CxBLeIqw3R4KNACHAvrz69pkBzr1Rj+0KvEU
vQTjxO+Or0XLLdEK98aeUwJaQsNfCc7nbDsEI4MWqWmEJ3x/VW5uUL+QE+O5RA4S98wxi0sz8wS8
XGsvgFmYFfxKqPjBzi2ZwrhT320MVPMryD/YJXMjvLYp5zc4UvK9HzbPjeQ/F0MKeIPxRZSwnrhG
nuystv2BKFCgzWAWUjXyrqjcapsZ8bUxDldSa+ec0Y/O5mQCDmpAdbU2tNPNLRroinCYyfA0rGv5
nom8UCuPisDbBr5FEiK++vTRTqtpw8GO/BaChk/wt/MNqu46vZwjolQwS/IVOmYYhaswstxhm5oM
AOIq6a/jyMUxApKF9JUd7kIdH5n15pbhAKGSHJcJmPSaxjirw+HB6KvqqQvUDzcxieuMnCl79huH
BCpWiWXp0FtO46Ev22oXFBlufFBDoBfrlDTHInWVsYnYija25YeXeGkXY5c7eOauCAn3JYMPtysO
uKR74x5IBWzYIVL5RRgHDk66NgcI3sxZk1wJBQRoS5pvCAB/oHyAFHD6Ryl2/arw+mew1lsRAcWT
1NJZ3/FQd2Czea87zAPDXtyqHaBKz5xClvgZtg0Q7NI/waUAbNLz1LnJH01QbyUWv17XpVPDcVqb
XN6pbYOZ1Mygr4eDNb4sdjyDTpI9lRDPOZFmzx9/Svr5/1C3/Xo15BLMAiyod++lnMsYGfBqy+GQ
z9wguhIIMhqhEGPNzcsr/Vff8IdJju2glP3Hl/Jb5N3VT/Xw9Ebf8Ouf/C1wQMWAowxV6P+wdybL
cSNZl36X3iMNjhlt1hsgRkZwCk6iNjBqSMyTY3Lg6fsDM/MviV2l7NzXqrIkkRGYHNfvPec7MMdQ
h/4QeCcM7o4/Rzdryc/9gmzSsLBFuQIhwl+KBpu/wrel6x5iSmBwzj8p+RHK/XzT6A5gRj4GTScN
CDyP6y38g9Et6S01VrJBTb1OsHEC28fZFJokYYJldU6wU29UU185wmcAXot23FIadtuJ0mU/GF2L
1mAdmtvJkt/UbsFMuVX0oigXWmVvhnXcbo4Wg/d1BN+vw/jkfS7vjx4z+mYd16v3yf2wDvEZwdSv
1TrYXyQTZJqV67w/f5/9M1yedukqCHDJjgmHd5WAuwoGHJ+vGDQJkBhy+WoLY8sMjdmaZ9ehb4ex
GtqAAFuA3En/AuqGgIpizvNvrau1t2nM2D2YplLdRmC4ibMi0oklrinXHq9Kc/dYz5Je/yIG1ew7
IoGpVzq7MVZY9nzXJnY7H2PC2rMNA3OlXXl8wfpkRQuCxLrFn31veE1974PBurADGG/bdeSKX4ch
TEIMRBitioxsku6h9IuqDTOrJmKJVh9IaW/I0Z9bUiH0MHPjieKrd5dmM5Eg17eHSEBh25eREZvu
3rOZ7u5cmeqLvlFZKSs9zCtPoS5dyopBzwzWx+pETb+7iduEhDS00hWa79RDbqFeuqagCriMIMID
iXIFvbqdRqO6ydvRYhNDp1PCI6ljWe4aBgFxMDB6JFOT+OAsugV+o+3GiG4q4+eOIoCTOYxuf+6Y
YkAoanVy4w/EoDDUNmSCw4DNz7jeOCCzF5XZgO3VatPKSwcm9xVQm6FBPQr1pl9Vh+g6pqUkZseY
OvEpjhLDWF5VyqtefoMmjxU+sPNlKaL7/y5470mdf7PgCdNZV4T/3PY4vE1vafrT5PqPH/lrwbOR
beG5NJHDv0Nw/9XyIATyNxy/yCBxb9H6WLm2f65/hvEbYnG0vfD7YD0z8v6f9U94v/Fus3ml4u9Z
lWD/qOVh/1wZoAQ3PebJjCyxKBOd+A4R/GH5Y1pQLBk4lAdmVs0QNEvJ0sDugdCIZc1yaaxY3tMH
IcPNXVVRSa5diLNB421pWD6KlNyEolNss3UMRRvN4RnzNQYIagRwr+v8HkcjxDnQxjq9yyRvfYaF
tnmsE9j0A0v8tqGNcDY03BeJD44/xfG4r405Z6Uwl4NPez1IyOz5Xi0a4rHEmqxbTYFtV1XBeCbp
+ukNFtj8BvVsTinJOG1hEo94XWQulx0z9fbKnkmLQMeTveFqnu+0fKa9A8DidZaLDH2a0G5oUqp9
H2UsAoNFgCGaLu7jxLkXvZamAfgC42kwyWb7o5b4qv53/L3+N7XZe/H1L1H++yVwHM/lquoULYAS
fn4DlTjgsjWX92GRpn+0zcHeNoaSTgBXjTrJNNpVHmWU/h36HuPMLJlDaxyvpjyGs7VfEpTK+Fzq
o78M4/US2ckNWoSaaLlcewHs012SVUptp1l2jYhG0NBP+uK5KCJvHyf0UYbOrG89Tz71KJUOdjOd
aU8bj0ZigA/3v2UtE+4fHpJ/c9D+ByuhT2Y39SAjFV7k6Bw/KoEb/G4xSVVI8+syehXr1Y8Rln3C
Ia7uNOzWQLZMecSyyg4zqUojKOHu7Dp2wXTWlP6lydcsEd+e1G0MUuFqqk37IZr5rxaN7HeIR+IE
cHy6TQaHnTgzpzvbi57xdhlEvaXFMwwKkhvyQj+k8MbhDkttzxDJ2cy17LeLXnJPm70+nvTF/EZe
znmShjgAdrYP5JohBLYi2M80S7bKpnegN36ys9PXovHhQVj19DVNqKyL3py+NoACj5CsyGOmDRNE
STKGzTjsoDaqCw9lfkMrn4epy9NDbn7TyzSTmCak021yenQMxsigYjKshk2aAgqo3czf6wtNHyNl
0+tWlbqAzkDhgGM5uy4TsyV/oDBe5r5qvntFWwJynmTnIG30WzwnroAs0XUHyob0hKdYv46YtN95
lRiv7bzl4AyTftC2TZbsMEuaNiEtfuMCglbddr3ghEIa2+EOpHtlr8+mli90p6buxUpQn/jYbs4W
yJZQRwTxN47XD2sWfVkUB5gNMLGb706qtaT7Yc1aw1+jeHS1S8Kg7773seRpaP+ekfZDXnRpnuLO
5t6R9fJ1Mrwl7HoG8qE1zck3MvXUTeMQqtL2evvikp65KZJC37de80n55ES0g1M+IW5hnz1Kuwiy
0az2Bdf+XBPPFOg9YTwdc0V6JLVxUbrMrQAn3trUXSNt1lYHy9W8A8XELKVZ6vxK2k0v6D5qxpZZ
V8vvVFQU9I6W+/fblmQEWCyrTlW29C9EU0e/k9Chf/K0ssPOJLqXSltaencpTY2ShLxkY5pV+qXS
831bS41iUPkD9vJhcPbWvOTuNvcS79bTgWluf/3ormX5j9ssTr/JewfdPKIrJFfu+mj/cPqnlo16
vMjoYsjG0TY95Xswy1Z7yBafIxCZAVux7bTHjDApQC6q8RtSqapE7T2cj3Ng8gwOgVG00ZWXj81b
PjpyDvx2QkjRCBm9UjNzMLhbxLFNB233zw/AWl+vbBR5LwNG+PkAqiXvpEhi90IWQr/FwqFu2iaO
dy2UT4RSFetMhIP1DtsASwxDam1LZ7Jh8qnbJzExcuTZoyFnzPWbqVyB0EWxazeaIdq1hRc9Fm6L
qy6p4sL7Y/r0H18WH6C+671Pr81CZ4bRyGdz9OG7T6VM5WJN9qUebCIopq6LfudujrwDLdcCagYR
IZnq1G2Brnrflx5HYFSVc/SadLyqS7plk2/IY2FPEr1oqz0CyPL3/mT1dJbboSJrpYMpYnD8E7U4
w7du6n4HPNRwiVLrSxdNw1FfFm9kGriou8Ga8mrvMlygMUJkjzIky9AwRC8GAPcDOibvCnABzVW8
5buiI4iuKRL1ShbSspfTGB3TOZHbpXIrL+wNQ33Hhcp6hVZcI+asMcR2MRs0BXUOzU4eOog4bUCw
W3MsrDF6JRVMHqkJ2O2sj17ka/E3GWkJkuWcPxyqnERnJY0LfV0sJ2VGy9E32uSbTtrkLmO68sqd
N35HSrOuIOupyQjuHdJqubb0hdNnoTS+NKkkwBNnI1ApIpQDi6nDJ7fMSCMtmfDGiTpSlBPpKAln
06zCOIMR7ja2W6gbPEK8S359E1MkfnwMIZNTM6BitN/LwQ9lA2s1fV+84BckyYSYzToPWPC+NpMq
0JId3mJ+Q3iUBsyr4x2lWPPmGP1yvwjWpG1cdscEc+UmKbLiqk2LbgrmUk/zcNSytETdUu1Ihlkf
V+HqX2bcZE8rgfyLMVnj94GwdG3DZK50N13i1QhNKMeuR+i8W4xRbHKR75vEL5lFVOwKwTA+8HHc
HLxYU5t5adyjssonNdWEUrtJNxehZsCfax3tHtvsPG26QR++weNkicyr1RfG8EWJpdtba4KJW+AX
CPT1ujZT2r/gSjjYWk74jjLSZeub84tommpj1qgo+D4JsK+MB8KPLW7WzOjITvU89yumunIjAU5e
1SIjP8yHUBc4AOT2SwsN8prwQItA0SFPnnkPpM+dlqF2W5rJZKiTltkLOXw+kKu8deJDQt2CKt9k
NQg6gF2o/VxxIXdrLXCkqq90T/GqghK9kQvYDeDJzC16ldDm7YacJa+AGUsY6ESaSxD1A48BeoYl
Cj2ns6xNQWv5MQZDeYx0i7fOIjLzSwK7eyYc3Wnyk0bsNuWPP9/HPRDU7cJ+80tJ7lEc9m3JMImV
XQ+1ahHn2J7yq5kbAR0Tiv4ThKekDm1hmp9ETYwa99Ow3EPzRIop3ExdJLXlAeW+j2ocJPDvBoZ5
wFuLti2GMqdj6kSE0utymUg/Zjbg0Zsm6EdGLjMTjbswhbpTB6SEbXra0VpgN5G+Sc2l+J2hzaWn
65yGNmUrMW0AR1F+5eWN65bJnVG6U8jLwOfM+PNy//4g/beV93c7W4Bb7EX/8872WH1L3z54lf74
mb9U2dZveApX3yl70T/k1dP3rv8//0vzvN9IJfV9h3iXvwxJf+5sLSQAts+cfzXes/ldAQ1/dfbc
31z+Yv0xhvqIAf6RKNuyft5isKUQYFH4bchVaD/TK/z5NU9vLkkX8MHHyFzUxmyL4s3OqByDgakC
HuxlNAiZ7GbqQ6iBU5jH1HgOYK7rxYkg0QpBWyjS0/GbO4jydolU9dnXsxnxIBy/FEW1Vm4U2phd
WS3V59KmyKfdaNzKdHJ66kZpXsPJpf7MszIut50PWzV1vAd8B8VFqmG81ce3spZsarskfyaiTb7W
ZIdq4TIWvB1zvVFvHX4MhTtGY03VTNiQG+VXpmJrgmp02zht/iXRcpPFRK5RbLMhweACijvCQUEW
HYG7uY5nFZk7HMqLtbGl4VlbUpeA/LLfzAS5AJm5bwnGSwKEqsnZzNzR20IRT91AqwrHDHMtr782
NAheayrumwG/UjiYRDHHfjd99cqxeqV8sItwpB14gkrX3s9NFr+xgTSQnxvEkLfDbhyYDDoD1aFK
vQkGtarvbLDPqIs91bLUEf24L2g33ngm8GirMJmPz0iHuvrIEjHQSsuHcKwG9kYWbHwjde8Ew2Yj
yMzyq2LKhHi99O4ITmlQ62X9Ay6QDilyB3tymk2sLA0Bk2xVqiu7j91Nxtz45IFgio5LJ9qrEYg4
gKTYZo1DFuiePb00qhD2cPEMvHZ4GCy0SdkgpiUY8lF8St08+tRrmKiayW63+NS087QY2boNcwAF
zlY4qWg5L7EYXiDTN21o+6U8T9CvTonnjajwfNDHMawcgvsKa41WrIoto1koztXkt1BQhTteF5qS
IkAXkr+1c1Zs40619p6RXF2iL526z0ickVtNZCMT4taa8V3l+ZU40IZIL0mTmy9GXKb3/mLzaWzL
5YNoDGhubWKdhAHbNUiGOjloJiHZwVw3G6Mf2wP9aHhoiDtDB2PcK1n28ooxtf99kpMrwbCX2LAF
o76U4XvrX/zMWYCU9KBEP2Wx6dwlFpEMwejBcQ18PD9fLUiUUM8TBrexzqzRpxsRkvNZPXId86dJ
dMmdq7LuuhNzcuVSS/lbgZAZDVmFhcxBrbfhdq0fPbPVb2MJln2jtfy9qGPrmg7tQLQiSXM3hMXW
Kezhkqf8kyJrYxX2Ek9hcXqQmurNlY8mk/+pCQEHpqP8cc6cSwexXS/OYJwV8GbUlz2j7WmYgmhc
iCqcp9GcrxI7yQ7t5NwJLyMKznKXEEV2TMia9B8U1eOInHUoXqPInwNRgNTduIPld2HeGHVYlZ39
MIA1Qaeaij7sQSuGSZXqN1ZTqnNP6u/eamHAdIRKhjligC1U3nwLGo9bkeflEnUKC3c6jsWTiiaz
PDtDryMih2FX+BurIWjqwVo6tgowEMipuDHIuT5Mg3y2CswNWu75+Ya0xuloyvEKtrRzTTK43Jc9
mu2CRIx9M5TzfVt7Bk2YokWlY8dHb+6K+0ma8lJMmQqtPEt3kekXWzQf5QbLd1BGQDpEm9wge8Hp
36975fQ8ZldUaPwmU2v3gxvBvE6NVydKbOIUtKssM4IBcwGmUIEmAkB8qNrOek7g0h2jTtah4LRA
KPW621S3Xv2hiTcT6v8tRETtOltEdIjX1Xoe9JdK9A0j4YiLPH+T3XhCUlvAYtVPIAb7OQSTo+/0
LnlSZlKB/K+fPXd2j6XXfEVsWGxValxAxfubiPZYbMpbZ8qyu76tPlmr7gXWK/NTfVfq9QMx6lgK
lAtFVMd+p0/5uDEq8MLIUxrv4CYiD2engjk8dq1LYgKGhFR0V9LsTuivMS763riHgGFtRMcYOABO
o29cP0+uMExYKYfXLK8ISrtrhtDWzploS3IbnRyu9lmPpYFuYaguOor8vWZX2rrt526a6+UGqHoW
cf/QaiJRpLlv59m/mIvMGUCAVrhHfjXdOr785taJfpWnsTgteMy3WodyJmxshf8WUy6zG4/b75Fm
XLyxhU2cjbKN7YKHfxM78XxTkNUSzKMAUZ7HQ0hQandj+Om9zZicRyJPENyP3U0p8zKUmIEfxiKK
7m0jsgJroJFh1/rMHGk8Ebg2bQjqTN4KFb0lnd7eG4073RnKV6dUMo9xUr96gBlchr3pXHUYGkK4
Q6z8mv5C5EQbMH5pA+ZfEeo5vqmRu18nhV3KowYPF3I7d7R3/d1AuvDvThdVN9Sp3bDQ1est9ily
6Kwb1hjtjLXGxazD3O9i0xjatLCOTxjpTVRfRrMHvpp8tYqCZ8uvOxRQ+XDhJizQ6+rFXWZHduBU
jrtNnaXbCKHfuVZnbXojox+1mOZd4ZlA5Ie5ubUn8dkepbNtcUA9lH5uMIZ34UHUVrvrJsRd3BlJ
Di5j1NdwZ7fCkmFICmfT2YtGpidtdHzQ1dN8qLxUHZ2eVyQpEc5RQ1wg/jvy/v/SvTK2We18/7lO
fk5lnFbp248zoD9/6C/Zq73Oefg9BkUpOtYfZK+e+ZsDOGalkr27F1cE3J+Vsun/ZmEmFDqaWDpt
EMv+VSnjbERAy1wJbYxhGM4/moEDpf25lUARDh/ABWeHR3JtMXG8P3b0vNGpa5wa4uB5c8Vkdqy9
EJUhyfDV3CJZM0mjjz7PlUc7dI1HftJZhUNLN+tTmsTDjVk7tOLlaO7wMxPDIF3bu0vmuDnR5Ske
6wrnTAAN5NhG/WOEBI3t5dC+6WaTSzLnOcFPndQqwPMO+U7lBCNmNDT5DWt7faqT2D9bsyJlRW+L
JVRGZ78h0eQfwbnynwEEat9zRe5wTi9GfQe85eOETDtrusGzvZVlB+1SZSckdY23RwEH3sxEsE7d
RbTIzYBxZdX61tojVpOmZ62uxi2G4zhwW/hIXZm21gZFs7oRUhEvnyfe5yIvPOOET9vjtNSGcRBA
ns9Zw8o55A7KRrZMNS0vEjB2otWtABXsF6tcqlM8wX+yvfdK3Mo/EXJQbW0RUd24RJsXkTk9G0Y2
g17Cw86oeiASuCmbu8gH7LFXEaneWPW0156s7M3QKfWU8Ebb5Ckmt6BdRuRYTZeOfYgLU/O3C2Kf
JlBZpLe7yI/ZY4NV643blp13u9NsRzzK1rPehob8aogGU/NqxYR/r2zLRzWZ61nOBecCF4l49HNb
N9hjTOKRNwm+h6JZM4rJjIbzJete3HR0bwY0dF2D1KepmCF49igMJk5QwENNtsDrJvSPJyELkpnf
/7MQRIuE2BKZedGB5N/Rr+FnKHZy99xUqnk1aB6VyLDL6HmVQq+dAtLg+9GisVAk8SIg2dv+s1fn
5gCHLvKfsYb1cSC9sR65NUkQJ76Rw3jPwJ7cGjuR6n3zaCa9/daooqWx1K9uWam65eRXM58/l6I+
GbHIF/QICwf0njCNlNvKTn3OZuGKTHa+wCRaFW/dOOPswmRoXouJkG8sZlj2NvYszWzj4cewNsQv
OcYNBeEU7cCO6vGxXwn1AfEK/bcsq/HmEvKzBJZaf22CO7HYY+1ZIUVaNXZI5Qh0pyGJT2cNulkP
3lt6qi2MMpxBOSn+ZGld82g5pXVUKuGyLF3fvDoxpHhLazgIhIr6nZeOzvn9Ex0XYuZuxNZ7JLuB
e7MdDc5vNsXR8yTz3kP8abNZsiZjpGErhfWmz3PnhRYY+ZOjy+a1RTc4Bi2RTYeYXFPrPs7g3+Zm
m9TwbHl/byNnMM2wNVJ+f2zy8tzPJQnnSVQ4L1afzdrz+7fE8jnEqLfYNoTEe/Fl7YZs9UCjm38D
y57NBJpcQE2dM3Gd83Jsl4d+IowKKfh6SQ19PT/MdfXupp/9+oSsuD7Nsub/+3PK/tjzY8ZgGi2u
fV5r3BCENRGSPBWsUADD5MEqdTHv0rYpfl8Wmzsyc0BXhJUwCjb+cMTKfT2McExdUSrYhFD0QkXg
HWHhvrEcAPFMF50N7d2Yzc0rhcNghqgLBUpqxphs4kgROPfeENaN7c2BTUjtCIcBJ8xQVrEZzrJz
bxxMR6fMn/1nLqazDntoJGYJ+X1BIbvmtbeGLiJayFAPI3cxyhmv3C2MbUJ9jO37Ie27r5nG/Cwo
MME/F36hHjyHMZFrSG5sQ4JfBIJWw8TScQCxKSE1BickSSfotGVhwiipupZgqXjEhQuB9jAJ3/3a
otkxt6gDPBLBIqTB7JFQncdxhvS8Ws/vTAvhWcJZZFeC744PLKfbSdgWXUFkAFutNwkwaiPBfkFa
zdFUqbln1pVQLPLGuK9EU10KohpQjedU6AHybePJrxd3p6G9/m6hDAeS2aeHbPTEt8J2l2cvHpS7
I/ssO7fSSb+brZrwQtjzsSkrbG0ZpJE61Z5kpsnnxLC6DbHwZJwXPm6mWWhZYCitOAtVTfyZqna6
VxLTwA71ezpj/g7NiV6HZ08uXoTMna1gTRh+nfOMWn6KwIIAIRDHgQr7ugT4vbGnScZBpHrDYWy7
4PZfLViOLL/Ty0+s7QJKpgjU3M5XAMC9m2LSLqLUDLXV6cDKMPfGTpyLnNX8frFM8Lc6OSujQ8jP
aI6bjsD26wmOd5BrQ3RHbhKryewSXqY1w0VU1SczJiIDIUa3xHsYNOa5yXERPkWNWT9PCXFQxWTd
JTbDA8IH4mCKO3GJ6DQ8VC7btmJQvXfbAhM7pG7RbHU0FZ/wFCsUXd7jEhvOCy0gY18rgmX29lSh
Sea64bQepVof/IkgQJ+ZZGPcdd0KymFkaW8LPdGhxywF5jGGr/ddUtdbxbYH+yLdDRioUgXJ2GM/
xfaLfp1m1PSZICUaEKh87WyH0n0oD0QRFOw2hFVsRxM/sqf0/tGocu81BZXHyDw19dshAylS6lpz
HB2Tu3oys8+K1/tpKobhpjf0z5P02mtmQDOoyEk1CL+hh5xJrc3AIPrGw4zzFGZqJu5z4fS/j5aS
n2fY8O2b6lHm36f0tuNTL5f8GBd5FTat/GTMS3SfkESFkTmPAkpBdR57RhxooPF/OvIKqYV2K2Xv
bDuD/NxgdsvvRT+pc7uk2TayZ+M+S/vx1UudaBOXiXPnN759q4YpdonNYFsSgKFoblwtyq/1qDWq
TTLo2r2V1/bGtYZpy+lyg9Fy1FXTldXndOit0K6bpwgh2RV8RfqM9bhNMu7TLtNfhREfsynrzhBe
rU/TFLOvdfNZhiLqxJZBWnLCEQBE06uH68GVB8ygfZC7BrluuhhYNetGWWdQevjpXU8QHM2GahOD
w+h5+Wk39OqMvY55s5y8+sBM9yXKLDeIC6cMCD+0QtB3+YZszgLN98h9YDTWFuSrz5vCj5ZNzKgt
qBxe4TvfMnW24UZj3nsIve88X/YPNVQzXvQVkPUuS/owX9ROc/vxupY5/KAhfnL0VpwqrE0bYSqQ
oJA1dz5SuYc0q0e8VZQfO9wG0EmNIuu2jU6u2NA7dkt3OEnuSnolu9zU50ddyvE0d6b+okl+cHTi
+poVaESo2KXdpicFd1WM7JtqwBnZwwQ5meXChM4uizGcq27aDvXKgUyYe10NZPjcM/VH4x8xnwWY
f67Jh3nSO+KzArscnpMh+US2LmAdG415EKsxfhobH1l+R7pJ0HbmlUN35KD0GBsv8Qk7Z3C4Dr3M
JgemrI4V3HMHR+5mIEA8CbR4wkbZ7c4igK4+FQmdztYtoXdMlvfc+Bz42Cj5EGW1u6PHGGVbXofT
wSMYZkMCSA69F3Y7zcgLrs4K6kaWWBus9t2ptmbLDPRkHk5KWnA9GeWajMN9de2WKvGY8tkjUqLB
+d2jDbVNc8deDmRIFSjL3PZAJzSCCUZpBSlM4gebiUy3BESBosycbaq1zTarxjT0Bg8HeiOMTTQX
fTiP7bjJyWM70WUfb5bOa8wn3m9EHFSFidAGd1J5x67eDLvcri9DqWLngiLeXNBs+hJYaEZZUE3W
l1wYerzznariAdKpBXNH5LcxL1mE++pc5TSS5yH3VZh1XnTfUQZcG0XTsPLOZsw0eKxqfNsZNZbl
v8aDqC9LNGVNUMYJVuNhPtsd/iryB+h2+7gQMPHYBBjVRX9SAk2dh7n9jmS17jGZyiv6mqfGY3TR
Mq++LekHfkXArMNNaiVIFjvay9h7plCbdm4nN0zgrftsnJlPknKZ57tMlXFx1UHsFrvUX5Y5mDDN
ZWENlhkVieEsl8HUmy+KlDEG2r5RjEFTYZg1Cc4l7Y3GdT6gLfk6j6q7I3drudWSRabbGFPP8MXr
m8dmmKvcDWQ6WJGxLzUWt2OknH2bmO6lFsVLA+Q9OVVF60Zns9LfYIOhBUGkG6Qe9wIz8zTiOmeo
qDywEisU1rL1l7TkvyQOaSjkdysFHWUVTRp4aIjTXpbEqkPLlF7s3sVG097x9jv2JW/Q6fDDTv7f
yNTWje+/pHkII3UE4QiwPESSTKw+qtRyiqXI6fT6YOPJYtORZpSJeGio3H/9QT/LMP/8IN+xeCNY
EDI/ZqB4kmK+LfggWk72G/vUstz2VUutxmWw3roUzybbhFUVSM5b8/pPP53Qn3VUhirPN1GD/rz/
b7SZEf+sAKxkjfHoTMio0jadKSWQrCFC5FMJRaQe1KaSCv7XHy4+CBk4yYSDGDojP+GawPU/zOng
nWvAYmV96ETDbx+neLCu3bw1HqsMNsXGEg4HP1pzferjhnJFhxDKHgDaTnFAz/d3YND1aH++6CZT
TZ/p4arNtT5+n9ifhtmI2cy4UlrHyaT9APfAeIR5033zpUj3vz4B9kffiq9bTCptY4WRIgr7GOFQ
JOOMpb6rD1Up/XOfsF9j3MdtoPUIvYx6+IpAzbJu4tEbTIy1jhnNYQc2vbzO7KzgdcdqviV1wpK3
pRzFDZCmpblCsuY/j0nvb8e85k7CthdRq2MI/qbHuunTxQHH+IDICWBhq3J5SBGbv/bIeN5qe5z6
h074drdb0PuRBFY5jml9XthE5iFSRHbpcYSONyXQdkGurovH0jWbV+J2u2+sE9Xv3jJWDybS3C7o
245/jxyredVLYr7OMRtipGMl9VrgCi26X7Ru6Ei5Zbe49+JaHmb+oby16kY4e5kIR2078L6v7w2Q
0mnFH6LC/8oA/kYGAFnW+KUM4Pm7LOuq/7m7+f4zf3U3xW8kYWCeMXVhrMN2nu8/dQCY+hnTuLQp
eUZ1AhD5pL90ANh4hG2806LpP9J4/J/uJuYf1/ChjNL+JLaeYIp/4vD5sIQjobfhOtLcXCUK0M8/
9jbFOCwpEyx6m8hayyTBxBzjNv31M/xx/SZvhqAC2o0sHFAvP1J6o2FsafjF0QF8aSWoHrAoeyqq
P0OBU3clAVjHYmnBjMAO+LvVe71ePy1Y64dDx4PyymnDzPThEBNA08pkqsdiCOIf90s3bUYl+Fxb
zy+ZMOq32C8b8tsqQCTseNLvSuurakvDzQR1JJZgHrKUHSbpY2artVcD+dK3HWG+Wsjm2WasJGH0
ADy6Hjo3uoCVnDa/PoH/9iBciwOwCfDhRvrwFtBpBphlv/gHRIWrxbledqVGEyt1p/mpNXWALiKn
+aCVGLCFTk9w8tE+23U88/1SX905laHu6g6Xuj7S3vFRNOygMRRHhrv5zhtpWpbshnZzRc8s0Mrq
bxfyf3MdPJfOKPWChafsg9uxI79hmN3JP6RmM20kMKoA4Ou8dwmU/PXZ+viKWq84ynmy1ryVeeh9
OFl0VLuyIcXgMMKWPRB6xMUj+fFK9mZ7r9uoxX/9eR8eIkLZkFrr+HDXjjpWufUO/EHya4iOrqxW
8HkkdN6zOoDNGngv/vpTPr4H+ZQ1nYDIG8/0kBR9OH++ZLmgFYKU1ZjSvcdZa6CqH/LOe/z1B71L
f358xfNJNhOVdX7CuvD/LApZLAx/RUAdDEZ3x8WFhpD43DPzzIWbS5PpnkggEtR1n1/m0fbOTQGe
wcLRfknAdpzgJLT3cl71wc6IVbwRazrMKDCsxEUTXVFjA7nh3nwaY7cC97fQZwvibMLBYsV8iGos
PN+ekR46Ax7Q5Czp4dcHyTjo4/2It0KwNLiGi9mSJt3PVy0yogJWkVSHCbYHm5B6Orpx1B01xhq7
Ou+MwDHr31UhtY2do3zm5s0O7LaQ6oim3+WNlDdgFogo6ytz0zqV/iLoDd/Y+Ho/u/S4X+zW2Uox
GQ+CNioFOh3kUDKZeTR0MGDJAkW7HxNGFHFlbCqc+3vceSIj7JXlLIctZtu38UD6zpiiQeTtkhzK
JjK2ZuykB7SGc1jbabmlZyf2qAe9RxnZ2TEDSrmpUBr0q1Pxa8KLJyy7nGkJSIfbphATmbiLa50J
dCdWJHIw1IwGik+rGRAgOXUR9iKuD7msUV11aA1bBvVVOWu3tt/M32b62wGb1H4b5725tyOLLV3m
JGSz54Rua0xQANWaOtufrnxx4yT/vREJ3P9c9+cZEFzCLgGnOwgLNLmfwAJCeCsNom19vzhmc6bO
CwiQW7JJvU3vpZUfmGTA3w5U/F+qjA0ADI0t8e8gRKL8u5Zr3jVCLG1jxSkdVFdelZhTwsIR7TY3
/CPjoOqmjhoaTrQwyXuVTIk1t9rrTXZez+emLuBXoLoD+FRPXSBK89VOnCmwmBAc47wsz1bUzE9a
kfcGf4vGi/EJo5+ZZEAoz0iLsnIy90bte7Q5LfONjkV3l3GeqiP8Zf//sndmzW0b2xb+RTiFxtAN
vHImJWq2bOsFJckx5hloDL/+fqCTe2Ml16m8nxcnrrIEEmw2eu+91rfWgMHtp9TBVVKxInSGDKK2
7VcmGOWOBq4BU2X08IJaRfOpmFq636QR8NGMyaodyxCpUb+LImyiQd5v2dv0sSOeeIVtqfOACVrf
bByvmwY/5v3UZOcYjxPFCNFJOsz6TR+gy4qgZjG1hMpm0dYn+MtZJf4YPhZJeIZ4+hKRK34gxdak
0zlP26SR2GPSVysvgJk0bbI2Esk00Q084KGNuFb03E4FrLBVqWdkvSYauz6pjWUeT9fLNyK2qH5Y
C9L71sQHjleGF/r7tB2L9WR4wVejiiZezBjs0Ds564jxZLlqzFqzuPSgNjyG0l0ceuBdkyFmmBdK
a4/DE+TbXJbXnVGa6wZY1isCL5Oefqs8Gg3AaRkuJtXtXOK4W4lW1FfTJJwjebjZQdixeVAlXxdp
TKWZ0maw5rTfWgMpGeSrUWt3UbAezaR4b7QT0l4S/Tep2umLrZvhxFRGH1Ptd1D6Kue6oYG6r7uU
DlRg6mPPnOfWmNIKWMwEjY+AcdUKyLC+muuNWAijuRnmq9GYx0+ONoudbVrR0UzDautktPqSiYah
bzPTFJQr1/HIcKcw8w4pCH9Nij6tNjEIuJNfmfQEy37aA4WBxNGa6S6gufFdd81Q3hCelW2CikPB
rCdokyVIv8pC4RwzXt2LGfu/xYwaaCbOLN5xc1ISEg4DhJRJrzldzZ3Zfp5xPdxafFFvINTW/SYN
OlLQzKrUv4mkGTZ+BpxnSpLmPVJjuAMMpZ4j0m6uC1eJJ8PkfIG2OrpNU5xkID6QhJcDoSAwWnl1
8PHh9QlI96Mp04eMPuaXJLEBcZgzLkeDc6HhVtM+SwWjN6dOd1Xo988lg11cL277DWCKecgS4EhJ
w5vEojKfSabCzuA7vK7Jrm7saA5ONH94cg2MiNaSxLBNUhbVlmk875xc41vfzIeN28MjuZBo8OIB
xiSYHSyUM/Mzlp+1n0PJ8LlvbF4JIV/0mHTHW8LNGTLcVTOzhDRxt7YPPZVqjRjMAlp+1THwAp2e
wdnpgxNnFXddBTRuOUc2J412AXVgNH3nDKyfY92wr5dWfUqAL9Fkch1rL8y83geF4dJHL42HiQtE
ZDLy5J0Zq/Cyp8h9GQJ3mabIqHswVcX/ITZ6aEyrxusViS+m5161jKjxoCCFahNrHlacF+0rdzT3
Xc2mIJrevmFU4OyqqB6PpFPJtc6SaFfaQbQti/5JBAZpzF0X454e3C3AmbsmKHy9SjGS7ptKT9Ge
26/S98bx6ui6afMahM3kdqtuLPpp1eUwQRob8e21H+TgUhjhYqQvPMuJbsbBGvP5R8fovwXrPxSs
KJcsKsz/X49z9VeW+I8f+b1e9Z3/uB4FocvCcDjNLmyJ3+tVvowLas4yaYTRiLu4q/6oVzlc/aFT
l/8hEAejLhoOIPrUtv+mPkX0/vMxbem4IbnFeoFECD63/HDsRRPjZUk4SpIxq2V+IpUYNlIM01Cv
+9aoiP9TmEBQoaaQX4Mb5DSCwC3XhPW1mTvq0sesrE2SRttWMkPbsvs2DtTSJZ8TnfZyPlUoZ6qb
NKLbpXb0iHLEMR0TUyxDk6UGZ+20xpLlyeaTy2vt1O17Gg73nROrYC0sg5iYSKpd5vj+tGvrkN12
nh4Nb8ZKwv4Khaj2QU5Bu/WthDm8aFrzuiCV3aVXbnIcoSiN2wP51n19h9s5fWzqwP/aZrPN4Let
e86NoN6qK0koAwL2yf9ioMsqucQk5+2IEY39BvsAntyJma5dxt4twVrya400fGP45fASk9Z0N7ud
2vHcwBtNtO+iwrdGwufsCHhSV/I0S+ecMxhMzRfZuvUXq7WRp4sy9t853Lxn43TjmQ2BBmg3piN/
BGfdS/s2dnmw0mcQ2y5Z0NPooPk3tl+T1VcQzYgmwtx0Q6iRZ1TK56jTl0wxnEDSdheuPmDgzMEv
9e0zfh+Y3c007OdZTfd+a00nw0d7gCCYQTT5l0Z8iLIk/sZ6cO/BZWhSF4iSvY3ywtuPrsQFV44C
GXlXPEWzivez12NFnx211mOIj8fxOuvsuNr6bOBbd1aS7sRt6YT9xq8yojOUUkcdixnvrzvpDe37
fiusot/im7Og+QXjzh6oZeClj+Uyrp1fjCmvdmRiGnsgs/PRwZf0jjxeHSPato9w24Ob3qjL69II
+3zvzMbE0HKWWojdqFEcSYg/v/8XnbGjo7PhWiAHQDzlCmxtrX2naE5JRT5xcUJLPGTlRnVBnfg7
VI8IOQVcZbrDGNXmLbY9Yb5fton/7qj/uKMyyf/ljopQsn9Ppz/3ANn2lh/6wwok/oOsThD5jUgN
meP/7qgkN3AWWrZZ5StgPcto4f/0jWLp9/y9vpFO2jKJwPZ4aRz+ux325w0WdOiSekafZOlSYpz9
sMEie4zIRA7CkxZBF61tDI336CNm1njRgaJV/klDxTEGfBy14wyrpPT8B6bk3YGYN723a1Hv0bKb
5j+0VdyPgUq8NG4JTyLTWqBV5keP0tiCGE4tiOBKu1V56yNQv/VmyV7PJummpKWXj7FwDGcbNwGY
YNwTRqUJAMPuHXwDXCPuW+F6dbOtUBKoz3NlhDdTVA8EKPPF/Eq/syPCB7om9B4tDW+TufizmSa6
YAo3jiSx/DCkjNkdMy26aCNQhqTjpnRU2nyKSLdZ5j9QGNa+m9UPXtBm08ah2MuJXy78k9f0YrEb
JdsROiC7e9T0W3/w7LtZyB7dDhERQ1NDeWMHZ8rYE2L2BkrffICewBRSXyaSkBIg73spynPgOVaU
nTqGohRHl2lmAmHnvgCDmS6jzqIJnscgNPaE+zSnOkzEvu/t9p3cpebWz91xI5HlUN6fqlK2T+oy
UvVHunBt313h4Nen0QDdFlOysEHjWbmpHXu6LpjRGrBHMIYtg1uDCa65jHKNuC2Z6qZZ9AWbNbNe
s3eHsxGWxv18mQWraIIGFWuGGmqGax5mt83UQ9yefebI7cAZeuelhvPGoTGBJh+BjEX3O/NkNmP5
QB+ketBxYa/zwMvvXBoXDK3tRqRnSKKt/SkJG4xZwC5u57neOlNg7Wo/G54mEy1EgRv6OMrK3WdZ
Xuwq5Dsp513Zr1EpyMVVLQ6jHVRbNYN3pgtVU41U5dGBBb0WdSjvuev1lSfTZgeOyTyFNALhpEvv
FAkzCzdBYWZfqk60T+XSxqwHodx12hvVY93G841Nz/Xa1sQHhiqSOyfo6i1eL2SUMMvX2aSJworL
jnSlSDu7GVc9LPe0il5Tlv2K8/K47lhpiBTDgdO9Hm4YAOsrd2j7bebE/t6pIWJ2BrxGeoI2b6iz
wT7kDW622aLTEUcsafKRgh3dgJaQ0dqRX4jwdtbGmPEs9fx+6/qDeLVCUgtyWha/WTSNzgQvo8cc
mfI5lYP5DxGA/MqTGBpMQFVxtLRM6NYP9kTWQUcLb88TGGeXctuW4rLOFRhYv0YTyCRt2gCiDZHP
krvxRBiJqVaQErujj1Diyq/c0kVAbWZHreaGrF+RRddhKosrMp25e04fzGtHw1kkQHqXTZYLuNIL
nPecgBJJcMPQPIFYL659ooy4fcwRzi5ORizxfrC2vHj5dkEPdtDUOIHea/KmMhxc/nCvCjN29yot
5THtmk9+NMxvim4G3MrWOfoSfR3UCT/fVMIob9gJh686gm6ygs9CyZmHcyHQUzUpeVJDMUyrsm3U
SxEov9+4dUP3piRmR9/gjkNuKmaCFXKyUZOVQMaVX0+lop/kT1ofy1AiUCK2piYgLvCyW7csJeKL
OLRuMb4N95LBJWVfEWmOpEWb3SLzrTD5kRxNL02XBjhHUelN1czyRrIdXOWRT9pDH2T5Mweh+iHu
7Q5BGbLiM/iG+tqoF3uYWpxiiA3KJxCsBhqjnngoc/GUyYu9rFmcZhql55kWSXQXWwQlVosjzVu8
aeHU54DQhnTL9szmS8JV+p6E+KBX8cXcZtiNvGsJmze+VDb55riXcMJZF1Ocuhjkwgrl385ZfHPN
bNcnVMXD19CLcEsu/jrR4bQbsdzNhoQ6Fy4+PPo7WPK6xZ0X+TrZqUE3j65dYt4LGIbfL4O1z6XO
4wc1jbk4tE0b3jmOUzEmp6eVrS0s9S8lSIB85UCJdvfN4hpEhZu+RrUPx84Voz53ODeRgYrBjVYg
9LGapFMXAVda3IiubrlcFnb6O/s75j4jGna1ku2LNEgbX4e+OV+jYLJ3yWQnxyZFvVgvLkj2hvGY
LM5IvXgkdcqiY5/nS57iCVpNxNzgIpgjY01nAntlsjgtSV9GiqQmazFg0tI6YXrClonUpb/qAJFc
PraD4UVXOdUE4GCbN6mF2pJo9p7Y2IcGzwGFWo/2M6666phQLNz5diS4av5u1YtNFNu5fTsaZP0F
bP2zm12HkxfgHIWcpPp8JV1jxEmfGxvPpIVSVU5yM7ml2jsUDvwAg6lbmB6YHofFwOouVlbL6q1N
Hk242Br+iAGjvsBvYziAYeDKcWsnW7dVhEHWBTSqF9NsSsd+w9B13C/nkrdsMdeySl177Vw8t87F
fzstVlyoeBBUeJw2V7a32HldoiPstSBD1dkS9Ds5G2x+hPlOqNvKzYj171kmXVds68UY7Fw8wtPF
L4yGD+9wcvERk6yMp9iL1EAtjeh6T5cf13GP6OlrvFiROcLxcUWvhpPQ8AM28DCZ8jEdA3efXLzM
tkMY4bpoI/vcXtzOS9l+G6QFpr0uKl+mxRbd9RikcQzzeQUX37RhJ8WL7dY5vxNbtbUYrM2L11ot
tmuvRvXasp3xLVps2eHFoc25C7d2RngcC0RZ6StCZPQRQtIdYii7HhK/OiV4TNWKb53hUCAiEiA1
IRiKrQF98GGIzO6GlLrp3pEixqKpIfzKVtDQxYRg7Pq2fUD1wcOaYds5ckvCBknAsgjFYI60wfKF
0YucaoTnbu7gx0SxsSGHAItZMtZvnl9XuB9mwz9h9hqWA6ZrNds8Kf3tJGb0eMjR5qOXgP7DNNbL
644Ou7Mi87y3ll7pwtlNEn1dC6KLVwP7SLJuCmexg/hJ89lCcmzca9vJnX3PQx/OUkmPy2QNBFu/
zORJJ4jn4LfGRX1IiSgaN+MQ0ObtlMP5q8xs73EcyWCE1Wu0KyeZ5JUHPBK1rW9XdLFllpxRX6Nk
Z2vPMc9643Nj+fUD5l71Ugdesi8lbttVClHs3aFbdvJgxxT7um1GXB0hzXEYbfPSpVRRv48ZTt4B
iIryE9gZnxGPqr77henEa6RT5hFzTWaui1Izj7B7BJAjTmS7u5LeZJXyxyH7v2XdP5V1xIHYvyrr
rktmBn9BPPz4qT/qOo/MWWnhi7aXifZFwPF7r4w2mukospOZLQr7h6ntj8rO/g+VjGWiJ0OQyLyY
wePvvTOLX+hTOfrKQovN0ehf9c7sD3NpwXTTYVAs3AUmoVBQ/TzhjKdm6MtYNEeXhettSBAVD2ZU
z2dPk+9d1onHaIE8qrfWUMETLLvmOOVFcDKaODi1PP/XKoPfVJqy2NMNB6lPJhC2V87rTx461I2K
KhcvrgmPXOAuvRUFsLMEZdX1GIXZswObb1stUCXWenAuTScaN4Wl9Kap0fGL0GwGIEzGfGAfko89
qRH/AEP70DzkDix8SJr2ls09RQby8x1IOKxRqAJD4qiJBCJo/T1nFujpXbe8L173n5bI3Y8Z+Z9J
0h9m9Jfr0a5chua0CsVHoYtlIL0I07Q6DguTngCbNw49eoHTxf9wpQ/4juVKykYSSKPVpbXwMWt4
Bts383TPjlAN2o3F9s1J0jX2HsCbR21lzn6CuPrwr9/e4sWkX8BiYny+vP0/CR0S08I3z+nz2Ev2
w5Wx2JRbE2zwph9dIGX//mo4POk2QwBlHPJBxhH63hAXeZIdhTm46blo8nk3Sgbqtz1pHr++lli6
HH/SPCz3E5MpF4G7+DfZ62MaEqOQmvGxjsbMXtsRtfymrkl/8xYFUDRF421POX89QJU6zJkilitu
GcX8+nX8dQEtDlO0tCYdIcWm8vMdzkSrprznxFj3KepGHvTtRoakM/uyAgPw64v9dQ25KCAWmRnh
2A6N/Z8v1lAo210jk2Ml5vn+kjbSGXyDK2xb0XFqY4jFqvCBIP36un/3JpUU5LVLSUvso+gsRegR
h7JKjsVQaw7lfJoY1oYBiw6pJP/qWgu81aTtTh+Nj1egA/35PTqxMQgdkdoXU89j0Z+If6/MZroK
mQl++vW1Puy3l2shzuJWwv+DzP3hw0vyjhqFs9txnlCVb0pOC6cstvXvZvP/F3PHCObPa/XHdRiu
kOt6Wa7Wz++pl1nbyHKMAV25mki4gXpi5UyFBYjDdh+jOGZmPIL/wO6IpD3YUmlF51+/1w9rZ3kN
aBDZ6IRUljQ/rh2KszSu3Y7XoFvmHQKFH5mMBmICe8pJtPQoZ6U9/cN+frmFf/qaLpe12IIQ0y4i
qL94sXUoOd0FKj5GXmB/bhKZn9DdTjcVY4Z9g6UWNa1B+vJqmMZQraHxTZqQimL8JmRWg+nVfn5K
gwIsxjISCuKAP+bEuP/13fm71+kugsPFTo2E++PUKnXtYJiVYRxALMq3aeqdZq2xe/ARZXKQzDso
wVZTYijFKXzArKStafEWBMEReaFz5XdEl0ICsm98Q7ZqJ3VUJhsiEpXe//q1/nXVIpUjB8+j10qt
+PGlmn5BI4AcmyNy4ymF80TgObVL221/fZ0P33o+uh9CdqoQjy3u47MxNixuCpmRxxKX270fL/DA
Al/WFSMY9/HX1/q4nV8uho3SuvD/vL+EHUxe67bOmLCd43PahF6gN2bGOAX+DFIJa0FpjsN0BbFd
fUXrSKpg6Xb/cGMR4y7fxJ+Xq2czvQQGwKGAl/PhEZY1lWHxzQgOqkddcVSZxWba+aNdHcO+mu+Z
4plvl/yXOO4Xnh2Q+hDWaUqApiS7CHOZDk4+wsm7TvtgQds6qZp1nXV9TMAR6TxZRApPFNfWw5zZ
wXcNqOXZm7L5PGfNOCBwaeSjQr5+Qv/hXunGZMNt88F6cHHiP2IdMA8dcJnriAz4fmNWMT5/Ncz3
UxjY/Sqj4YRo3uxes2Ay3wDWB2dmrsC2MIIG33MPjcapyOt8XhW6Cg6AopyWVinWrJWt0JPgJU4d
Qk1qy3kl8128F31ufxpsuyJvONC5sW5hCH7PdOcMm5xk82iLsDY6w0fKT47L1iIaHb/1EZs37H0S
fkvDs3DkcmykHDOB4w+xH/Y7M5LOfnCQhm0KNbbfMHZZ2yKp1VevxsuI3SZhvfHtD9NdWvpcvqoa
496zWvZOs+3V1xmKDQkAfnhWy8+2FLqgwVxyM+t4AP+omO49+aU9nXnOZM91PQ23l9sbSCjMVhGZ
9xWmbliJs8oIxBShtE+WmUdnEtXRbdWQqOk0X3arXkxXJFqyQ3liNF6KMmVFluYIfzDLxHwgW557
h5ophplpmtGTM8bO574xM2NthWZxB+lfIYxy+D1DFEdncmXDDSid+A0yBSGWQdNM4d6H2IhfHvT6
I8Qp+5OHGdbCL869zUEUv2VhbhFYUzqvtJmwK/OlQegYxPl87w40utC1NOOdqevxNp4YSmKhFPFL
Jju2JqShz2IysZnayzrMB6Q3Xo/fCjyB18WbeRQcYHCozbtCZ6wlhX75HA5TRi4NpReqkFZDRXYN
BkdzzjkHVyAc4oQ3QBcYLWiwbllgW/gN1Ws0oOQtR4/VSzY4sQdEh5eHPqJiAGhjPMko5YYha5vO
oZElp9TLtv5Mo45ZPxHcRlbvuoRuf0ge5bZuEW1PRtkAgozio+k1xRXDE2dNHmK8kVZrnoVdzKe+
NuUBbX7wFHZqWzoLX0ySSDVxtXUQuOo2n9U+jWfm+0UwYuNM7K8eyLRV5eR7s8Q7a6S9vSFCaabp
aFlrwQB/54+AepymyNI1d9V69mNNyEQxnRKBKjSq7d3QR+WJeR3TFqMH15QP/qrOeVtIIhukciT+
TLoDEtw6jL1c52vDzOkMw+yWGAjSv7RN3PbkOXRILKgjdfyJIDOs3m1lXWWA6Mw+RYvUFcM+9XMi
IGag59FsSubfzkw2XPTQRtObX1mvVW+028TI7c0kHaYM9JyOhul9qRdKEBP+CrvyiOYuwM38ktvO
abY9BP5WfBPJGGqRI5+0Dq7KQoVfOlQR2whWySnKcjZgZzkj5dZ0I2PbPgOjqu9FnLUnQyPTmmd5
nSoy3hAL5ejo/HTZRML2t9pMq8MkyoQQdGApuFBDOzkJMpbEKiB5/bonZd6irYMbln6vNX9ykWTu
xiEL+m2nLf8Kw059y0HJiTaDXAZnCngrAN/wEy3L4XEqXc4PZVuRXlHpeTqniozfAJfCzkk771uS
x81xJIr1SLMYZEHAKfrchOYDFvjhAT3+RLh4j06T549LQmClo3Vc1Tk+PJqCim9admRkyVHASstg
3UycRVLSyoq0kO0atkHMVoTXPnQCnggq9NWhSih9UCGkm5xj3g7WCb2uQdPSbdD13bZm90zmLBpD
Bm03Tj2TJB3CMEw2HZTfZMdMM78yqjbdFUnq3pn92O4AW4SfuyQcrux+3HRxMJySoTfBunmD/0KQ
exus3MJql2jBxiCuqYlOds25nUmT1x5mnbMwE84OlAiZQaRvo7b51HwBfuDiRMej3TuF971zxnSC
+SSsJyt31edxIA9tb7oxWb/9QHxg2XMeK8b6UM2zfzMatbxvyF9Zowat1kZXqwMVtA+KXWCprkTf
/FaRu7clbG6CUU4uTe6YZ5/olwysubimj1xwhCkUMLXMv8+CGih5YAc2xT9mXNoUDdrE2KD70GX+
iQ8VKJ3bzxsewhkxwoZ23sfZbO8V4MLjWBftxitra+NJloBMCrB0QejuB2VkO+l1egvez/mUAmG8
C7vWhvImkmOQ1NaCmY43dq7XtQ7EXrsuC9svzpL2wTrIfeuO9GHSBGplX/shXMGmmiH0u7XY5N5Q
7hFXVrtsbr3XvuMtsdHUa90y5Ft7XbmYbwPX20e6sJBmD4yGwjYInwtztG960ytvzTng2O+DHlpV
UHmL7ZQapQNtUsNMSQv11U0lTZyyDq9Gw/XKTRA42ZEM7Om3jnL8Gg5Fj77JGIkSq3xG6syzeaY7
/tAsnUn3hoodtRBSGQoAUZ4yMcHq1WTQDEme3VXS7W498DsHu24j6O2+d8jHmbw4r8BELQLvqqzH
4Jz0SHacUOdvacH0ZJti3/7shFiwpSTiz3fzmChIQuGO0NzoJSVZ86za6iXnVxOlXDI+8N3ZYogQ
zPrVZCQBjNBojWOI9zbl4Wp26zoqXLwJwCxFMMXQRpjGu328TXPrfTBIM4/7KkhX6CNaqBbhdGZ8
V74pUegTkTNMO3yegTRgSdh2p2DD4K27E6Zu35ImZc/+kaIb+E1Kpq7+kbCL6HvJ210Mrc7KdIox
+h4ZgAy7uM0ivthdQZnUGd9rko3w+1bWTTy4/ScDJs6b08Qe7mjy0lcLMTPbjObs0fh2CR1U5BwU
eXEwoAacmLf64TaXGqG2iG/MNK9JrNNwPpN6mVwOqVhzikLwYE1q02U1XQ3QIke3xA/Fq+rGg1Mk
5tkZ4myTpQPPDEZZU74GASElp8syAm6c1ONBBEN3Eg2Mz03nWCXb2TSHj56dWNMa5l1/dDGRmwjh
OCWlIFXZfdrZeCL83dz5acnnxkNhj5m6O1Vz3L9X1EbLdCQj9jnnLjRe/BJYy1Kmo2SSTVlZZFUy
/T5I0w6eJ9eyXw2rMqAq98N14EHdcwsyzEXJrx2d0f8kilivrN5tAGI4McdJE9F9G3/iYBxsu0BC
8EzrB2k/Y9IqVtPM9hpkAYsqfyZL21yZnvGgNGDqRBXzGjniDomWBJsAFtFJTTTbC7JAqSgiXBy5
rUeNvSpsjNb+GL+lmRUVa4M6GXhnV/KoDA9I1axdL4ffutn299TyzrpmaLBLhadA88iT1ebuWsQa
64nb79DGE5LkYQVQAcvZTEZxNbk5MfHida74xVHZe3trqtMVGVLZHqDs+FhLK1pbIMfOWP+/k2dr
g7jKCzw32jrFNHa3Ld0s0rGn7OCbtAesUQMsr5p+X0Wd+ZZ2cGao8XnqcBA6gQd1tqRB1rt86Npr
sxuT61SM+1SGnOY5cK0pqiUyvvF2QJZE1swoD24DSN3MtUdpQlZE70U8IMrgbhQtM1qMFTuva3/r
GqPcVnCFULYTwpvX/kszGfmumSp51VX0DmYGHyj57wFhvsbS2ZVEbnBO8W8ggp5yo/465PNtD62+
K+UnEkPObLk0jLKYuUgzf0/q8Bmj44Oyin3FaXqNUeTVN2NUhClNStX5b8I12/XcLCo/Q7ifSqKq
tmZpvY2+4GBFCs/Gi6xjJptuQwjyLukrFAhqWGE8eM+1X60sQA0hKEUqgnDo+8+zPb+POj7KpEd0
AnN9WE/+FH42EenNZBh66Qn9DhDlaVrFJSAfMW91HX8ZAQYc+i66dutPpqd7hEG1v43a+FHZYXTA
IpeSNaD7L4bVeNtxQGilqWGue3ADB1QFy9d8Mk+uHasvsoXYHue19ADNk1kQ15L2KFQFygnlR+O+
HARHaDQKCxBdzkDBXKPZRfn4QH6D/43Arck4GRVACWbBfuuZe0tbg33F9LttE0iPCPEzq1l+n1Wn
ySvMD5wxE1avDrN0x4pWA1aoFV1NJ+mwPGRiJ1pUlquU89BB2b0ybrq+U/GmNcqkXhk+TVNJxNd1
lBL72fRW8NUL0+B7S9Yuq7tFY7vCZkIhQsxGhsPbKymLQpZ9vynZXugzLTONqeyDr31IgRAYNTVG
ablwTGfCKnjGPXt1MJ0B1lElx8rYdlMtzZvEcGO97RZKet4rtqUBqg5snqU6EfGof0tma7hN5CSu
TbBmOxE2BFekAOrD3KDJHTpKPIjW7bbSbahEmMCab5gapHvuIr2UvH5XTusINNfnGiLZxssMae4r
oEVHzvb8akMWxDSXFOiMZ5HYKaGorwbZvcgstzZxw/FvRQznndvAxRa6OBYV486ZR/7RSkkOjls7
ONmRS1MAdfDZ6xU9gmVSc7merkiBnlCOHAOwPnvqBL03Yfh/ufwT38utB8wW8vGSkAPscD5Ydlq9
tnlHDUZaAF0CzwZIhX9hY1BsMuuZC/lITuR0RjDsAjDp6t2lUVxlJHxbY0nUbkoodAb5wFzFceTv
DZ+XmEcA9OXcFXuZu+1nwkd5A0D4cqRO44wqrydAJM7El7w3+dQLyDvHYBibY+MW412KIWB3MXjg
ziHRqJqmDlcO78vJ6YVXLmVfraMKJP+U1HuOatT2fZ8pOB9pQD5cPNMVoXnJZtDj7Q9MtOClo936
mAZmnrP+ya649suweqX5F+/NNKGj6IG2axqMfyLzyfvg2QHuqQjnctelw+BcZ3CZblwEIVdlgrOk
nV2aV8Gcni7rziATY6cTPgF7XvKjmmy+j7p2QXWNC+G/j6rgu8HweIn4cub7rF/uSdYzZRP8lc9q
JOiOrAVJk3LtCMKiwe4Ueziq3bbFVnlWUzDczhn8ibKM5510WAGdszDdfL38wiyRj6HlG1s/IpAX
KTOUHUXw9Fgo8wvhFfMOBUJzvMT1VmXH3QIcwIIVtprOml+0ReDlu5t6MMwv+AYJSky71N/jrYJo
Y3C8JuuAtIlL40kYVvB9Fg5NpYS8JXvmkslolK+0EvFD8jjXnzoLHbZPuulJR0H5GkTkWE1o3aqV
EfEVxhHMbHLoglNQifI1VS2isHo0bMhC+sJMzALxQHHAOyyQiPbQi8OUEzDahb1fxNY1dUvzmUQ1
/kFuZukJftB81i3JQ0O6ECyXLywMtuhbPufVaw3XD9pj3+pT1k3BsaPlmq96z2hfgfSsQ5OOHJYY
ZIhNnF6x+b71bksyrYgpPbrqvYDSsfYZ5u1b3ZC+3PHpdF3Al33kGxj0k0/HooBF1hB2HZYEFtm0
wM8V1MOvzYCWdT3LWVxloSVuC1sGJzezeeUdlY+7KdgO96bt0vxgLIp1e1kFA5aHa7dyaSng1iBT
xkPct8LazSpRs/kWmgnBO9IzSgBClY+XunGDTUl1igKQ/dF3uFPQiI2nmYLguwoq3rDfLWuwMXGK
K2ImTojMACZ6EIAPxpLmrjxF2efJSP/mSepkEFRi/NKW8fgyam9J4OBA3tBKrcItkdrITywimq5F
q4ubaOj6pxjC37dKO8H3uBxRD7tRNpGjwZPJiYd6N7lqgixYsAK0XwdfE7lk9bSN3QQbVdLg3mRV
/Ecw03+FDv8gdLBd5qd/6p7/JZT28ytJD0XYlcWfFey//9jvSgchcPUsGAWJOchGf8s46A9XkEXQ
Bet40TjQ8v/DEOSTQ2uhbGfFggi6YC9+Fzk47n9chmPYegSjnCXf8d/I13+eKmCaQ0bBIJF5uzDB
AH9kEM3lXNOi6iWynyynqojHfmkgoKkdh7p9+dON+Zvx/tKu/792/uVijBKXfA4fLdRfUDShS7a8
AuV2TzVXfS2c0nqa6Ms/pzzegABZAFxCnrevqBKbf/Cr/+2lbZNjlCeV/IuSITY4iXelcO5nUum+
0o6BXqunQY1bCGbiyfZokDCLR1e31MLsKr9+5z8LKZZ3riwHJgCjFJ8P7qOQwoLgX+DbtO+z3IB/
6hloD9dm1wPSicvlcuNCLP31NRfj2ofbzUVZKs4SRiaQO/w85yyqIujDyrfuXZ4mTwVDrKP1P+yd
WXPVyLptf5FuqJfydfWNexsX8KIwGNT3KSlTv/4MLXZTGI6Jus+ndkQF7AJrSSuVzffNOWbpA+YF
kCKeGwl4ANkZF8c4BBgnYZv56oP33bPt4jm0WFJxRcWZOvRGF0fbeQYWRRYKqKbIG03rTMuCpMt0
pj686pulXq2KChTr+/fxc6v0x7O7sKOxflhoQ9602UMEirSZEvse1zhjZSA9UxULVpYCifVUpJCb
VI6j9f2r/twk/tdVBa8HKiQuLN40o2HhBhmiDOs+s0brCX9VugfWnnznaNneI7zjAOA21o3HKQHA
SYLp+P3r//piBmCbHIgfpHBhJnzz5Y1CVHmbK+veN3z1kC4vjBbs+uLx33Si/7Ufbv1moDgWBA40
KVwQMcPPAyXSgSSUYrDu0cSrB5zlYJQxcGEAjxynf1W5676AiV/eTnZ/FJQmXhYjY++d5Sht//mN
O6bLbInY3/ll1NquUYuWMLz7gb1Eu3aDqKivbESN4yqt8j9RQX73krA/XN5L/veryMtqMjM1nNG+
J3Qz3FQ6AXV8gQ8PgVmfy25hz7IjOrdtyiinHwQAa8T5v+YMZ0wUeGbirfxRPcStB6c5N22qf3jc
t5b01R1ZnBiNKxrVmH/DSk0nkZhDsXv/kb1pl18Ga2Dz/cE38VBqLd6pn4RFRRwNoRbWfRRloLjn
oOsOl3GjZNl86jqafUU4Me9pHiD1UbGN0xnkXK8FlWNdgj1LcxecxTzR99xYkUkHsDPVw/uf8zez
IP05gEwm+hxIe28+pkEw44gg17r36O1jZVwYz1bTNZ8sM7KeWlhBf9A7LCvoT1Ogj4IQwB5FYcoT
lCvfXLGUsZ2ZlJfv0b3WZwjf3kskgL1HwgHjMJjEmHeOD7MZJQOcMnPMiO6YJi0e0yEHF+dUWr46
NYf4zGQGMA1egtRxmTiXMXF5RD2rhs/5NxFX/RjAgwauc8WO2j3aATc0a3Dk7z/GH2TAvy+kLNao
GwOHkWsjcnqL1J/DXAQg9OL7mr+1hioyd5ssMLLb1im0PFRjgsoZoTfp77aH432djmWU7EQCQXtV
8LNN2k4NB9DMJnC+xNQ6zrEhD1Bp8MoSWqOdFQ4xjFumMyOdN5PJ+NAYZSw3ZlBjPZ1ivPN0DHAC
bBC38GZk/YTLE6Qs/bYM44obNtU9RefkHOJMuqJ9Xt+MGb57GgKdSXSpjanBQk50a9W6+GrmvbWh
GoUbCZsMHUGtxuQVfbz2T1In1YZsWEnGHSVtqnRO1ty1Jlk8a5UIP1q5dW+ShohNBUpsYDTPQ1Vk
08aJguARV0uCcjjDE7P4huBhl17c0YH3BRxawA3hF3q3Xbhk58icmPRZktAxoDg52q1OQU5i5r6y
Y86f9LM4tgDDeSSrBxh/AHW6uzcmx4IG4snKo2hqE0xSJnHT3AVxWXRrUl+TaBNmk3iOk4FlN2eM
BHrglfMxIm9bjvrxlq2B2AaWhHQOmt976cmKTddVyGzDFpCJeGxYBfpU89d0QBV8Ezngs8I+gsuv
QMwSJ5WTFsLKbCVW2IBQGMAZnAA4ZfoaEA+GFUU89C7WdZkg4UpVeAT4ktyMuZBfYcj4eDWAVyxN
2G4jHOrene12u04QTt3ChJxMc/5o9WF6ssdQ0dAJ7S9a1pQQiN7bo9ONdvbs1J9L0Xsfa8fwVq1P
SCEDRX2Lh4ja1gynZ2NSz2oAz1DZ6OLG25RWQKIlAWYLACWqFA0TbRjY9Wr56tI/pkCexs0TPRaO
lGMVAgQ/VVUhyqdgJPYRrzSHozrYlAG97nwlNapizMD0saLFFGyBJvFwbqBjo0eb4mnwy02YW6L5
iBnZd/i4eVZ1G2DZZbgzzGXzQ3TYQw3iFMACseJnM4YmxWxvuByAJxhhiH0ajXspKj4oo+cb0xHR
BCXIDIJtArFQ3xcAPL1p+CNJiA1h59J7ddbg1ZpPoiOHeY36lC8VQrCxNs0u3ExiYnhVMeET6COZ
slM3vh8C+Pvrmc7xS0RvlLqdyX5VFuDfAeZ4L4R/iecJXNZrD7T06C+hBYbLPETJSmzLLmlhm/CG
huuydPjxul0yCjhx1Ge2ddHz4FNzyAkaPucV6eutuaQt6LqAEilH5memM3i8uPJLZCSW5P+J54Wp
gvrZurHNpXAy4/6CfubxcDqblZqStcOfAKmY3QxVyxSDIi28ilvC3kVQqwfb81nUf/BJljmSPVx4
FYGkOV/4+FEd9q+tWB7lJVah7wd+efm00LkhwDst6oWabSeWGC/Vd5jK+GVe+OAc4cyTERCDqByg
St6MC9NTL2kSozWLLf0e/TCkHDecIrOfsshmeZZqQXItu0dt8+wtKE0pUoGEK+XJ2L+mNLNB4/Mr
UGsNbcKM3aeZj94LLDGxRWPQvzYFq20r4vZTBkLBIX+u1w+XjcIMQ0CfVFb4L7Zif5/1BV9ty4dR
xMO/QrKmK5kGcFHq1jBvzIRX2q8j86bvirymvkb/cg01ms173bLw9JAr0V6oBzMz2YTXNXVvz8qb
T9FQsJrrnFiTbWQLdun9TE0C0L0mPrbv+OQjf2dcEDIaGrjRAcy8bHBImoOpPpMQ8ePw4yxrss4E
PKTC0/QHXSNvaQA0/uBeU4MhVqH00CIFUMz2LDt8wMZWMDpDo5oy1OpWhOcIuTo1yeUVskBqEQCh
umUbxMojN910H7pT/1qInu+oiUI2d/xWxBYLcOUSi7Spl6NKnpTAdrTFxgAm4tHnm76peic4cjv1
2SFT4iHVA70BA5pBuQFE3x2miRVXLsPTqwrrxowzVqYcC2S3zUa2qy7hDcN1M8VGcihJr2WX5leM
WkBmZA6E/HNlRx4DWLo5zwxll3imRRE8ZTmwr61szXTvUCFcYkEAaSXlxDNVzRJJdpkE8sJRDzrF
9rQu8lRc+eifjqgceOH85fI0hsL1JRijkFbzKbPgkgF97w5s99tDGzl8q6ndYzplIec5TGxBKdRF
z0ai1Z3Ssf/S0b8+59SWS7yvNNk2sccbT9mVT3IZicgmrP48pUwBnsUefWtdslDcuI37O6EiezqG
9fIFZa3L1GTXUXsoO2CuqZyVAGMBLHU7+1ReaSAgpKIfFZeP2oTb6mSZ9WQb4IPXECVYmlRoIT2G
nIzZFrshdslMwPVKxZIJAlpk3VqTurvcISsRe+TeZwbqaMDvLwfeeTKaT7Pl8IrCcHtKmbrN1cSR
9gnAl4UpGAntVi67tDlccnt+pIIsy6aeTUZUUxiErISXIBKvEVeVDYSMdhIwr2HgJLM8NVpISsDA
sop5g/idl97nLvI0clHnSN7XKoE1SFOf12rWDjU0ZybOksDHEENmzHSU5rxcCPqZHZO+8zAjMeSR
z+SRekhSWgXbaYQxrsmoLLeeGArvQXVTRacft/tMLI3pvUDsYdTwp8VzpaDZEjLgHvO2pq8nEOoX
pxJjbUnabWK3j1j5J3bsEei09bwsLml2mfuUnRn7OraY5NmKxMuR3JWcV4CT1WfcXQKQ4DIXLQf3
MbOZF5aJlcQ3VpzL2I1ihPorJZvuoIJUf0GaH91fxqdrD9Ge8MlhTzabm19TyFyKmuaAhdnLx1MS
azSVPwZEOZXh94ZSO/jzbuwO6CPEttCN9xL71FIuo4Je1ALutSMLRD8sTKutrJvMW6oNeY+bcA0H
3aoQX10CeebcWAetTRGi82gGrBBgc6q64KDTDsFV5078N81GqNsw31s3lsstMOSsJ0hz9QRYIObN
Iv+PFQYji7OrGwbNkNXM9k5q3UIxRDObzAxq07DIEJITD+oyAyJKAgO9iM2Jf4suoS0y4yk5wbQU
g1iA6HjHhH2uG/QZUBvjbiSJ3UDXsK0Am84MOMlr5rSa68aNVg+ldjkSNBzVnmEDsPHzYu4bKXXI
6LZdaaA87JS16tgLzY+jRb7aQQ5jldxahCbUNK1K6wapKZ/CQwtIhE9aM9pNK5q7J+kNbEJiIxfP
5tQQjd2o5X4DMd25gx08DqEqb/HyfE2MyFjnIusP+KJNGDnM7BPmge+x05N8gpZh5fgcqddjTUad
o1geM7reSy4L+gJJyVOwQ9H+c55pnnPa8IXW3jSrvTFkzs6sQj2u4rYmqmFU5TFtmuyaZrhlrVk1
yyMne3VYAlf0Goo9io0aHKRQBfsF31ZMhmwyoxXtIkmTVvXSPLXL5H8ivpBCJKgu9lQENnOCKari
aNQ2VRiqbAPqXbJhHuPM5utBVMG/oQPxkByPwHgqgBO1+Kk7wPRjXmpH9jjlsqVrk1A9IDJhh0dH
ZD20pOxcDso5ZPTz5AheVZEgRKR/wMeL5oBik12zPyCLhk+qLotJlDBvz15a599q9pisLqIRW3Jr
nKNlZNFzFEbMcJeDYWzGVXOiqwRVrJPMabWvCN6hngb8m8CrK4S3EMAbYd3Eihwdy5D9K+CjcOM7
S+wNw8nZVb7N+gkyiNFaxsxWs5/aTyNXXl/mTZHlTI6CBXOr24p3olj2m00kwqsSXUgJx47y1aTc
5lNe0AapJfNe1/IKSboE+zQy8pNRezs/Xmbmea5ZgTjbJQfbS9Jv7uib/dmjCXjD/o9wLi9vxZXx
Y4fR1ufBYGUu8yp0jwH9lODIgU3JAyYcGP/02/e17Ae4TrYdclYhC8tEK/kUhhYlO08wK1Hn4ZEE
mcGyEUUYqfcX+rYPs/wpoWK9mRF4HWng8D7MMYvRjy2zZ5bffaITVlTJSnMHYzIIt76W9o4rJ09g
QtQHldCuRy6ZfiClg/xb3hBmZ047844FcQhILy1Ne63dxrjrDPwga7bTVbh1OkcdbLKYvg6N471m
Ypi/Fewqv6P76dluT4BG2FfZVC6gUFlsyqBjhNNHACx+BywyQqLUtkint20Na9Ajg+gmXdqIcean
f5WNjB999vhqPZTQTvLeM/c69PSNcJroAyHv+de61fwkdDWol1M4pfHdXBmcWHG3TtY6kBCkVp0Y
/U+XssL/dXj+1OHB4kil6n9nvn2QL8lPvZ0ff+HfvR2TXg3FJYjJC/eX+tZ/ezsWNlbMPZCGMFFh
36C0/e8GDyw4Io9QK1Gy+jf6LaDpsxRflsonzkTb+yednUsR6L9FIj4RM+jipWR3DAnJf2tx5NQO
+UaH+lpUszGj5uPYqnelTyWiLF022Io4zzXbiObce27/amnNtiylanmZSdixA81tag6bAwEAZWqx
29Hau8N+3SOV4nWglZtjizcHYryAxjJPPhiBVhVkOTEi2fqQREqUDTMXbBM/nsYlurCIDEg67ojL
qcs6NBm2hRDtu9MEOh0OiEEIIDzGwWBBaIgCZWQnCp7t+Mg8ZrqPRlUH9pY4QRsVUYbz/cyzdJ3b
kM3YoncCaBA3pr9CmR+3NLAJYHroSpfTzlSkN1FZJpTxKVSQDehHT1VpJ0+oQ5wDN1VvCIgzvkyc
O55CFuh23ZRJdo+z5UZyfjky68e7pI6GFwr2MGj6Msoom3ac5k10MKKGJxQgaJsRUZ0yWG1ewIya
TwDHJ84J7dkOUJdZ68UAf5PE+Wgc1cR5bJPnRgzuTlvDbG7MOM/iXeQ2nh3s7VRheB8js5btwTLj
CIH3qsxHGgMPfoEs6bqBL1HxLZAMZpfj8f9mhEqmUv9hRljSAagU/+8zwvVLWn37+5Twr7/xrynB
p9vr+J5LV5fqBpqD/04JgfX/4HFhwfP+8/b/e0YISGQNMXcFgh6BY5vOfyYGF8u7tzAlA5M2DS/z
P8os+LkmDtQ9CKiH83OWOAEf1NrPzQItHNeRenGNR1tOUp6+DrPbvz2N3zR6f70Exv4lXwEDH5V3
680lsA0ugkAxH8bIWeVzuDJ0tQp9Hul/nvn/x1WWT/E3O3VHJV9x+J0PQfW5Nz7X6pv0/lEzanlW
P9/Imy5gkNYucm0uMcz3gXmvyamav7x/Fz83RbhECKsg8HxBEwok+1vLMtFkdjUaIcUL4K+r0UDI
mjb1fQm71kvwwbx/tV++mcvV0CKYIcAFpAU/P7NAeUoCnSEBpY7Ro2EJ47DF6aWIm2Lzzy+Fs54z
umcjeXhr3jN7v1G2srixJIyfVOYyH2ejdW3KMV+9f6mfW8Q/niFqiGXxpb0evG3WWgTH6sLhUhXh
PVd5QR3f7zK9jtSsoLgrUjXHWP/TscGjtKlNONArPDrmb8aGl0agS+u0P1CU91Y2svuV3yFYjwz+
9f79/dyM/nF/to1beXG2++7b+Irc4ZzYNEZ3KHXiUJLlmHow2jA75jaYNvLC27tGWyDiizm5Hgql
/nD9ZVT8bStxGaOcmpm2/HCZmt6MGh27TQJnuz+EpaG2Pvv9ld9OH96/yZ8lGj9u0rEZmIuF38Tm
+vPQVFYttRR2d5CytfbBlBANEAdOdFPYkLJnzXZ/HITa1h2Atvcv/bvx49hQGUhOuahhfr608Mh5
im2nOwBX0sjtPcJ9M0MH68Awi3aFrNijxy+j7fuXRb3w69sPwszlZpf2rWW9ZYz0hdGwVWih9xtV
97VGDUB4nQlXHBnzfPCivHgABkvXqYCB7fTmsFO9w1eAwH1Pi2zap+QoPNvJ7HDsnvts08ng3vbK
0dtwKp+uBJGliMHhRztSjTtrjKJHkEeIbYNyyJ704pwKsiA79/6Im7JuPpdhs8nCsN8WtTWSONOt
IdHRQUO/6G9yI0iuOc7rVd4ORG+mHSm93YD60yyCswlcEjtwQEZNAlz72mwNH7keLcrZpKiYGN5I
yFY5MFCVLDYQDoerQZTzh1Ty26QhAyELWnLoygBreUlFlvjaTc+2ae/a/ZWb2/KDqrR7PwEfpgoR
FNuaYz6qVlj0xWC5u5467SpQjXUdYujYZo6rVkxC44MTSH4I+r+rgDy4bT2Htsbe1lvXUQSKts6Y
duN6SO7hwE9fhSz1/Tg7A9L+SDEMRkCQRjp/W3aNH5MGcMempMT/AS+652ym2frWdaS8rr3eld8N
ehTJmrK/fBY22WpQN9A8jaPJD1oeMNCO6xpXBoFBtOfXFIn9DUEK8qrwI0eCfotLsjqrgCZob+V0
UGQAcCozbrLY/SZ7IFSTlsNrNoPBn+1vohLeJ2V7ZKYPRvpR5io7mhqfH20YXiSKkN8WAbQgF7Kd
D1nLjJHh5VaoxGf5TLwnibOKz5ERNHwqhdc/ozYJ1lRJgnMZDgkCzCnaOmhh9gMAqvupsLNjXBEV
K7qmI4oR0Tv0whkPkO/HaxHpaBsSh4DuugjjE10E+4B2ngvYs79u20zuKSDmB9LFxse8nodH2UT8
4U70DIww9e4LupTLQSE/IZBxVyhChi0Vcvc2FDxO2r9EoJZY9zY226YbUv8yYjtw5e6aAnzwSrVo
V+DNI36l9B/jxU7NxwX/r1bNlHq31EiyfRLH5t5yu+hLhAxFMEqM6MaeBJbCPMHBvAJtN6wyfF23
OunsjY41zcg5dk+66VpaKEhjrXIej75o/LvIcIw9JDbnLrDK+IoS9nNUtshhab/BG0MtdcCD7dvH
tpO0GwZVqDV87OiLxHAOtnOiiuYYA9Vd3L/fXdoN33EzyXVv9NO5CyzxJRGmtY2H1iXkmaPo1ugp
z0VQpXkekZnDsJvVK0HjPMl+VMWWFrR5sHpLH0qy8a6oYLhPSMXnbaRDKvU0aK19GFRLwq47fQzt
aIS86CX3MPPNw5jahb9xB4WKO0hHfHmY2r5aeS9PbTmUN4OjppfOcarriqCeW9iMzhOabyzE8CuN
rWot7zzZsb5zRnwAcdOFd1SwqhdEA9N9p5deBmGqN6pvfYKRUU/3rfDOeYPo3mq9cd1o6T822iHA
BBbIAUF1OK490+YCLdVbQoTtSN53VJyq1WxGhESSH+dtwD3UIF4n87ub+rJcJUWdPLaQv1+92e8P
1sgklBslVeYI8poibmzX0NXby5oWx6ZvSFllQwn7znTbc0FqTrbEpHNCROAbr4jp5Gd6UeJvMgG4
HAf5fOLTxk+2Vc8nnev2jFWUcqcXpe06I9EmA+mWiWPIYWEHIs7HAB6Lo9cLJPFIx7eNuaBmkzwt
uQHCLNeYwnA1CFNuTd11xx8mgqQN9Q7imrENoqWVZZuFWI+R5Dmomg2OzYHyjjDF9svUSsk0Nub3
5GHgb8xMvUZS0X5Oiejc1mgjDhL64zdI5/POBjJyvkjkpzotSBSDqUH3uba+QCTFX14g1f7e0854
1r3Cq2+Z+BsWRb1d+d4jhFNMJIpzNqzDYDE9ALDqQ2yMY5jXessYnnm6aKpcK16MuMslsXpjpMF0
M65JQUSq7RSLjyqX/V+Bkv0GqTN/1O0cY0t0rb6+uDfsPrYfMAGidHaT+nlMy3IvxVDtMWBE23S2
TNZqs1xPLXIAUy3a7np4QRMkj6jrOBvHQ+Ztwig3l+U9Z/LsxhuBxxBzQuIZW3pf6bWfg6ykAhuL
FeZodaixctqrEO/JEU3oSNs8pGKR9ZbKyST25bBYIueDpFSPeUf580GQOftogWf9eDHmp+5ixLnQ
u7wmrNjPLHFOczNw2RRPzEnNRI9YHf4FYHfGU5OSjLkyFF996MC9r+mwHgcyZl8vBgDSyv3HsvO9
c2TVULj8HmpVG1PuaNlv0pT0uqPTGPnzJODaVlXrP4rWN7ae2wksr8gt4otdaFnseoHh9SLfm3zM
PY6FUr4WuG9J3VV3TqddGuG0OxGQzif0WvlpZkSvYfbILXbh6lvGGn60e7N/6nN/fmYgxXd+YsS3
MhsEkTi4dn0XVljaNdU+RGD1UXIWlashtaOrYqrYil+E/nZkqDsp85mARnP8NlaR8aEkPATDjsys
TWj4//qecqmi79rkwyrXmXbmRXmZwpOIo5xJxlmMpNR0t4an0k/V0If3VGNIroSm/JczaPevsTPc
vzKv0TesVP4uaRNjo9PU2GAlwTIWRfU1AqjugcZotbXpjm+N3FE3l6cuPYStNclvt3Zu0vYghhcR
R3b2OizzbQ0QvxpAs9YMxB2Z5eY5wDK7Re4rj6WWzrZpSwt3kOnyEgdCnwZsE7eIiuIjcilctpex
PIcWDSrDpVlBceI80xK6Cfoq2uJajQkoh+O6Quaf35ptVh59jIQfRQSOV0am663ClMUQ6iNf/wyf
Lu/r+dpqqa3FE10W4gOwcHiztbhQIFzkWt0wKeij3UTVbdDN84aODTHXAA70s0nBy1tVM938edA9
His0g4XQ2WrIg+zWQfG5I+8Fc95QYhmjH3RnBRM2sq5Rty1ZP/SWEsjnAc1NGG5zGZCKY3VRugqt
BNE1gMyj6HClk2Pc43eWBTWxKqjqpwHw0G5gwmEPhP/3jPhN3ra4xHC5+SMQPPw6erKaUwsyZAfd
DZ1Qm1fGU2+aGCrgzbJjdp1+VYyYvsy459WUXpPBf15QXOFIMCMwTUwnRM8+L0qkbdlgRHJEan25
sC/cEp6BS7XuixYhfhmV1gjh3AUR0/NiptR/TzMe/PsuD4KTP7l6G5JeeIQsiTPG0SNclFL4sC+J
QWemQ68w35s+7teV4RA5tY74zRNhvLFcCYw8V4M0snXEH73LHBo3K+T40aG3Mneforw7Ah719xP5
e8sd3QaJIiRMeMmNNaMSWA9p+WiTrLoFVVBt5yYx9pztZUcnTNufdaXDjLWhfXRGBzZSnhpnDNJ3
Ayz3VQ35Grap8S1sEf9ZbvXRGXA+F5kmSVmTfEVPjJnTi/tuF4bdtK1x3eyjCJtwxb7kDOulgwbU
msGWHWKCL9mje5roOxvryTrv/fJrUBlfsXjdKrt3draaymXf1h7DJLBXwZw+TXUyr7vQiA/MVnse
xBK86FabGGwDtufwo1EBOSQPg1yrtG/R0E1xDG8Xf6kZSpAKHknuRdBwvzCIXXZVtu8yY+MIb6Lr
hq7+OkdVsPXTApBX7YwDiRhZ8jkeRu+QEx6y5FKqcavCuX5sKPnTYIlNJFPUhM9J5jd3VZUjE4tz
QtxtXUKFbfBejwFAIAsqyqYIm/w4jHo+2anI926RDAcjyT21qePWRWvSzXdZ7HePTZzmW4APAXZv
1ZUbf/b9rQq6aB11SbIvxJztKOlSjTOL9ARznu6ZJdsvopvLsyUM5wAg3hO0vuvYmXAEDyrPz331
he299UlxHL+2xCDJ87K9+n5sMxJR7HqY6GEi/0E9KfaZkfQ7GULAsAluR6IJcJmuZMe3uIG7+8VN
3HZaj8msb11LZveVJ+vdkOruk9+xv0JimNg3OhSSLmISnNDTVX8hGyeqrK0G59lcVkjfKhuUomFy
UFU1nJM0dK8TNJV/QVX3Dkq206nw4vE8kfH1VboZZIkEAcyqHmR0NwZN+Vr2gbkeyXF8wTtbg1SG
iH+yyPO46iQncB88JN62sXI56/aEimhDuh+cKii34BwsbIvwjG9qQ3/LxyD8aNdBBcNhDtdxXMw7
2DzZOhtLDSCf7MB1l5QY9AdDEYejO2ayrMgOWUN4FFodk6+X1fakOVVADXNmYlbo4PXNvAEh/GQU
2JArSUGLWX5FzRblOOF8q9xq/uqczNnkZJimQAICgr88dsb7WvjlU52XJK/NhX3sOgz77OdLcBiQ
mfMmHIyD009GeeC45BvftCwAhEydd7SQ9T1Lo62QneBh5xQzrWwjjT5gfpNXLIrFHVvF7EVZTv0h
a/P2YzM0Ktg3BgTjFQHoaQ5d3ou8VZ6zpXHJZr0nMXqq1hdLWt75NsKdbspOoz18i6cQyzaV3Svk
otXZYWf7taKhQkxLAErRyG/mekTeSxZ7sZcQZtaYgOsrNItTAi2rkTcUAuObjM3QKnOLrEdV5bXw
XXxwRF1mP/D+v+I2ALLNmiZWA8xlzPFyPom6H+5ykyKDC0vyWXW9w8JFJI5VldF9j377C2Wwz6Ql
Tp9drR7nAXzPLsBmt0F6Zu2zdmZmbwxnzatWPBLSREwFOKDuwTOLvlyTKbjzk8HczeM4YAdMXIjf
tbtPEj+4snMfT13eDSTOIAk9ZJkdf8FxSIAcM+EK3QoxC7EKnjjqsJ4ApPoclYG5IVTtL1e509ls
LHvPT7FhJLby0U3d16AIu9uRotaXeI7G3ZjDOuG56exaiJl4QvLFUIqG4Z6YCdVRX+GhoFj+KxgT
9ykdazIThpQXthNAuiv2VDrxxc4zvL10EvuOM8gzE3J+q5rZP7UttnA5SX/bFFX0Ui9qhgIfJGVC
J7vxkYqClzY4xdgdu1uSQWjzj1P1UJGNwA7XoN5cyqMMdXkfpYZ/F7RmTNaFb99Yyeh8t+KqWtfZ
1Gy7IY1PUZUMt5WnkqvCy71Ht4FkgyNijozhE7G+mJRzOvlMt9uxcYDPS2ViTRj8A9JZ0hllXu81
tPJHyYy7GtSSKCdGc98Vw1M8zGgtAtNHu1zrPTqdz4mogkMWJ6xYbARPTKTGoXTEeMVWLjhNLlrl
Pm5z9r919X2Q2ZhuCtl8cWC9fepDOQB9iAGLfanNLDNp2w/RGTVZtqFagrgj7u2nwTaUXhsCH9BN
WnSxva6rtlUrp6sbb9dWlJHXYdJBUyAfkq6hqGi4abFP0gXeSAnrCerVN6VgSpmkEoEfcLoTQXxf
A49Tg1fYJVGjHoekFoDEbOGWLlNhEclgHQx0qSfef+9jUPrPJQCVtRuRWcmusNhQ7vja2ynGfVNH
UC1YX/U0HQblvwQcQdBdXnmdec8eyqdyRpnIGELrqyuK6ezWnrP1W4dCSl51t7QOD6Mwou8J5rg7
0r3s+16J761yjeeYV++DjVsh2Xh93WKH7lS06UMrWBmVV+9Noch4TNtqQ4jXuAph0P3Bp/FrFdSm
62SyQFPitiE+/1x/dXrh10FK/TVos+JkleMHxPmE3fqcbkVAIf/9uuvvmiAOzRZwpksU21tjXNy1
pgUDgsuhSXlq7XbPCYCAgSgw/9Bu+QWkuHR3HOHZWF48Oi5vDShinv9V1PbnYfraX4r0OhpelaRI
byAyhJEH48APZ/MliZYT5UQ97v3b/V31nvhVfI+ug0zxl+5B4MgZ/huSqCB27z0yIK6bmDrp+1f5
3UPlK1xq2CgO7LdyAxcO4eCW9GAu7RCsHtQjhVYryyUd9v1L/e6G3MVL6TqU5gDT/jxccjVU9NrR
eE1TSxbJVH/2w/oPXtU/XeNNdyf1CBXjbe0Oli2vZ7/bu2H5J8rp4j5621Zh/OHlZSh62GJ/vg8h
snDqbNkdGhaw63gw7ZNN/h6xo1P6MTFotYClMG/jjlor3H7zCLT1T62dX189XLEedVTeP8H55U1r
x0Xc5SyOu0OMThj1r/TXk5W3V4WRQXtoRLX5p98d1wtwwTKZwt9+++617K1C3ThojnHDnV1f3xOI
E/xhPvl1LBL9ugSCUd+xgSO9aSWhJZdzlxftIZUxYUVNna7hyF0FGQXN92/nN1fiJkJcZoh/nF+A
06JP01nrsD4wtUGqMPqzo4Onpsue37/Ob74mK3Bt0+K7YuZalER/73X7TZk7ogvqw5ya2654MUJS
k/NqgWyc3r/Sr6lhIRFlf7vUGzcoB1V/ofWBhyR0duNWbrwqp0CCRBYjGM6xmj9oj8Y0nueo27Qu
JT6zg0OAygpSzGzLbUYLaI9NuKdK71AFK10gH16YNSfpKOBiUzJfR9gaHty2cgAEUTJmcyW3hS0z
eQrGQt1M9UAZS8NqXnPWJqTHT+c/3Ohi43/z+tHKpLiP5go/vffWWFwUs+GIauCZ9on8S5SVeWON
4YP2/fSlnIfghKuCJkoBfQLZ9C7INQcn5R99WJCIe5q11TY5AKkPZcTuSPoJaLfyoZnCa8w9M0au
vN32+UTRIXUCkKKZA3tnqknzGO3gZGTGsFZu7SKXJLJXSrisXCfbcI4PrnIXLUOWE7yhmK83Ip7W
cxCrjcsdCp6WTeyJmHvzS7DAPN4fAb8Zayg4YRbAGQhZ99+MtagcW9qwmueSGf3VaAk8DGOlDnHW
AUZTkTMd3r/gr51fx1lYBh7UxsXX+OZ1hUM3jlNT1gcRSszdaV1uWwJBrnynkfsojOVVQv3lCXdy
/Acr5W9eX9rapg/6AKnHL+KL7n/YO48luZFty/5KW89RBuFQg54AEYiIjBRMxSQ5gVFCOQCHFl//
FviqbxeD2Uyr+ZvcwS2rQgaE+/Fz9l47WUYtHZzqyFl3+TA6k/Gpoen7BJw8//6vfyRTXlYjDjyb
WPBioWU4QtG5DNWxHFtao0D8Wno2A6QgDGgnJKGZF3ZM2Uj0NOnc/fnir/xO6ioLhMLPVFrzYqdx
CTXm7FlV2IfwBjRT9ZRsfG/sMO2/LgNwIW8KRhRGrm9fkg44CHYJsGB5BDP5sizVtDM9zBKttKx/
/ZpSbiCYQhiFDAOd5a9LoiI5b0jGQTJcHKbd6tB9sfK7abKdiNPnt397AwXCTIwX0BQYJV1uW0km
VSVkw8/CgHrU1FLVDBJo7HbSKt5KMfj9A+RilDaUBjZTrcvtq2FAnDrIg4+rJp5SS3sBSfotn60n
IDBv1CDbt/xrCcKl0Oc4/DTW/EvMAL7AbKk0prGgaPcWDRO/tmXgynElLQ2CozTfqkZfvyKZL8jY
to/ucnsRyvWAUBfHxhivUM9/rnEXWG1BnDl5HOQjmm9wMH5/9wX6XJ7eVnVwxe1u/0MmZpOwAXHZ
LY7aMFyRDn4UorjLHP2Ny2zf7+WdtHU0MiAUqD4ulVV4O+Ys4z99HDVzg4ATVqVmdsQ/v4e/L5X8
GJTkxG6aOI0vnf5QEecKF1ZxbC2OtRz34AgNP9zKuc8bQtUHbw0tbI9/vugFJGGT5nBVtFUwzWxo
/JefWlyuUN9SVFW+vdAKk7gzwkoVoMV8RnUrttwAlABoOSCp+J+Jg8TM2unuoZ+b5CQZJkUTZdG6
2M0D8CWI8kpRHGxlQbOB59DGOM++CdgfCqz9xl//6oMh7IE3Dr+euHwwzCVTSXtTHmlRVft88fMr
babZ8ed79Opbhq7SBXBjbuLtX9+yUjRsI0ktj1XvkopVj0e9wOrg9m9VLa+9Zr5Dbcs65HCG/fU6
tiutSjUVC9GsLKbZcXqaHX2O/vxrXluBHEoAj6QlB9XXxWa1ElUzJ4NWoCCAYji6bFOzPcBR6+QX
GG3/vormzIhMlC1jy8W5PKHicXJI8uMTXYr423bv2sy5L9v45c+/6rWPZwvDdZHkcjC4fI3nrqiM
tebjkZntvSsQXG/+1G90XOuoTWzv6yRJVUHF0r2xVb225iEkBcRDhfP7oYf+iZ5aYixwJ5t3faVB
zUsilb/HUvXIIvPG1V574Tn2mLzsnCx/UwsCwEdHBq76qBJVHErHdu8nExLvn2/mBXTkvxcFbqJr
sh1ZyJwv1lV/wARp03c7esOkv89SvY40FMdBnFujpEHvTs+54dXhUPfjXbNUxa0tXeuQegi7VsCl
TJdytTMauOIw+RjKDkP+1unWePXOuxstS+epU//8+rm0cafbU1my28yCXmHffDZ6n9Bxy+tOmeu9
DDPdCVeldDIrK3tfTGN3iv36U8pYd3U24u5U4lJHuxs4i6aIQuV3/PlGvvKtMdiiBHVdC5785YYo
Xf6GbKbcnqr1m1qNPtIViqpYMsRePv/5Wq/cDuOn0NDeFKtU3b/eDpPEAZ34dkr72Pim03DYlbb+
uVtkdXT9KgfM6fRvVBivfHSGQdueioYd67cSe2zlMrdJzc/L7Q9plpDAALmSZiaOJlzDzXPTTs2O
kex4/Pe/1TCQc9KRokC8XCkFqfdZ63X1kbPaLVzXFnmuvEeWnEAzTt5jukreqH1fe5KUbLQBCN72
Wcou7q7DyKETTX3U9AQbpTEymqys/n7CYnvEH/PW9V7Zc/iB1FCQohCu/vxC/1HZlHEr0qzm1s5j
goRbtHhEm7rZ4TBy3/hpr17Kh3juORSMRDT9+tOUK7K+rDiiGX5dvcNQCqHX7Z1zNhjGG8vXa+8o
CB1eT8Gy8psOeEQXU610Bo5dOTyR5PDdtpsn2fH8sqS592DK/OvDEQsYpgvwYiaR8ZcfoDHTcDe7
tTqu5orQx50e2qHdKfoAb1zolYUZ0p5uY8uiDMEWdnETVwiteswRUCb2SzLPB29tnv780tsW/42L
MvSXa1yuylpe5EJwDVS9RkBqp7rq7M5+MAc4ObGcOu4iFll7atVuc+M/11NLtqnNwGYgtpPm34Ak
qsoY94gZGYxlGPsJ4O4xs/r2ahUivTf9hCzPBSpnrPTqUMJAgT3hLSFauPiU2h5qbR0LrW1sCTYk
mRoPq1+iuKgMMhTqsmsP2KFinwPUnNwR1kl1WG9AcLKg71JQbwej7ZaTBBJ8O1ppeTNq7XiEefSE
7bYLucNFVNIraoMUtdARhVIZ1NOq9vGQ2igGi+m6FlZGsk0+RH++va+9m+zirsF7Ym3JlL8+QeIu
mn5xeDfRCn5u5v4zUIA7YWmRVdaAlEmo/vP1XvvsqLkp9mjf/06Bs9OlaqxkqY7ENW89p9vJLE5T
X71RvP7uL9hSLlH4U5vQpvMvfhYhE6nVzn51REl6r1TWIhzyvjbFM5OoG6bS4WCbn5K2euPIZL1+
Xbq03FEO15cFma+IPlKTTU+kXtYP6azjEmqFdo/aXZd7BueccRq7hEGP520nQQYw4apYyBtzPAEe
Cux80k6WPmiR0YsqjFGH8cKpA8YPxlh+/sU2CKGe8G6HxJAkO783HHov7roDN/JoFrDbvdVuAmi3
AnrQCpI15+8B96++I/w23uU/A4xhYUY4uvj/sZKHadfnexde/fvGst96FK89cQybBsQk2gyWsd2y
f6zpmd7ZZVWM1ZHQqIXpUrBM+qEw+vGNN+u1tegf17ksjEY1lrIm6ujo2VtaLv0GsFXp/s+v72sb
IujGn75Y7AGXnDK9wT/aENVzZOjkhcuGqdXJFi9IXU+75Q3T2asXo1/JmcXH3XZ5iHBaFqNK8q1o
qVNyEl0PJLxEyMAQVPZvAT1fWwgc2v7sFlj2fit+JbQnJ0dKccTDem92rhOSjvFSy/Z7n2HeSp03
7qTx2nvhckriAIuXCrDnr+/F2inJ/aVOy2dJgsRqGlfe2k4nk178Dt5WehSqgfKtfOsh0+P0uCQo
m5M6q268xCsivxbLs4svAI12jC/2jdfp1T+PBZE2Ev1b/3JhnOa404qUMmdq1HfLT96n5vgoLYbJ
f36jXr2Oi7WZitLZfDO/3oZu1BboK0555CSq6Ob0n6tFm3b10L6xkb5Wtm5xprRYtv9xL75Da/KR
cSPAOvYIx9MOndtU3be1TRi4cSfr5qmU/huNitde4H9c8rJgzVchEero5VGb5kMy1N99IVG4Oldt
Pb5x5rBee3+38GV60QDR6CX9eh/7yRNqnd2SZcZcPvWp+kEOnBMSf+KFtG+TcGPChyUr8j5rNsGx
ZmzyrBblD3E2L4KmykvckGQ0mMiWsbZgNkj79jFZfSJfKynDMu68aHYn771ns2oSYtShmtC6ebcW
W2uzNn/ok4mmHQb+rPRPeT3c4klUexLev2feOAXlYmX7oVzMR4Xyks3etN94m167C/7m1KXFwXt7
OYCVUnVdhUj5uKr1tParEfS6eLGVfaZn+tJny/TGBV97xJs9A8egS7P18rarHLQi/K/ymDVw5kc1
tCr6SaS3wMnFQbcJU//8wbzyE9nXN7cx2dtU7hdnEt9ZPGImLHksoI3s03ZxbqqUCm3J6+4lBwB0
RIf05c/X/KnXuChC0d4AHYBOSevucl9PNJzwjifLo1OufphOg/MoUmMMK2uxz2kt5XsFEBIKDpKt
nzplLwX5Xw4rIUhoiQ7aRITbG7f+gnL7s1+BKoGuz7ZqA2Qxf33lYaysKh75ors1Rs9mJSJClWZF
XQxbiJxdK+BNQT5lE32XtGm4MJNBfi3eip+1XlnDNl84cowNPCsuW4U60gin7LMS33JuMRrZxM2Z
RdwBAsvKPvO43FOfI0nEZwFyTtJENrSSOSoZEuO7CeBCtCwxEQNiyxTvV/0DZXF1SCdeKWwTRYSy
xz6gy/2+oMhkyR73wsnTPYJBsWu1auN8Nu4etIC785KzWRfWY2FV8x2fLU6UhQ/hJfUG/0rq7ked
IKg3Duav/X4mYHjQ3W1Cf9k4ot2Wy663+P2ymB+JpkSQ5szZS2ZoafTnN/G1S6G+RGuAG51t42LX
ZOhEBvW2LRE8me5U422WnlkVYHhl8vLna/18bpdv/db9tTi9sg1eHv8rzZEDzCoOByMBLEHPwBjH
xyqMQ6zqkVxNaZyNWo/f9bM53ZqmltybvUZWhSXVQVVEePz8g/4H6PIGvmEbc7LM/Qcl8Duy/3vX
/6/3WZtkVUYD7ftPJsTp2//533//m39jHFz3L4amDpFyNHXwllv8R/+m9nvmX7iFt+Yq/SWqMlAt
/yG76H8526TQpWYgZpn+6H84Dpb7F6AIB/2L8xPj4Pj/BvBCucmK9csLZzksZWwlrkHv3Lrs/ySL
mGSFMPLUle5wrr0KNl1lqk2DUoqdFD0kQwI0jYfO0IKlTGSgZzPiSN2YjkXaavkeUaYbtb3fPtJf
0gLfknAAvV4eUl8DgZYNfn2uZ/LkBlasIuScaJ/g47ttNORDvIa2JiYHQ6It7UAU+FhHfynI3ihn
aIaQWr1iQO6wJC1AFi8hZ6zzwVLaSN99J//gT9N7o5OxE4i4W57XfoS9PcklykZNJystH+7RSxhX
ZC9keN2qbiKMTJNjuGpx82AvTUYe02qoXasT66xq7T6LVd7t0jmftgEZpp4J8ASOaf1lbdvxnFv6
8hSrxYqWtkvf4UBzGmQU2y+XVdHtweNnu4zpNfmO9ojimhHvI+ZvOzKtGQNrxz929cY4Axx7rglf
DhJCDG88rD0kx/Wh1uj1LhmBDQRdJvrHQuXuu7g2rHtOpvhuiRYSRlQjawmE9LR15w+0QTx3FHsT
vg0tZvRs/M3Fzup6EYraL9F6u4hHZuuFuZk6wpkG77qYB2NI7xJvHeGjLbqQO1TDZigwc6JYTlZx
3dMzoaConB7wxtoHcdkfOe71z6Jb8hwA8GrstdFsQ5EvVgnNprJ5HvZwjTP62Of6xyw37d3Ab0Fc
37+PKyKzSC98xuYoQn/Rq09IxpcrIyWHu1w8pKM459Fd2TuZJ8kDuVpWtRvdWkIXKZtbkpBLbrUs
UxdTXO3cJUPnvANsEO+01B0/xgji75eGcEE7cebrZVXfqVqSJaiW1dkjYgeCNeXd1QwojNhysvg8
Y8YwXUBDMJx4N1RafG9Y/YcEHk6IY7o4pU4bJ+ep1+V4P8OgbD63BEV+0qdm+EGQI2T9kkIvTxp2
P4esHs2GHWF3eFLDfmTiGSBJaW8GU/8EPm241RTFqjnp30VVfnKnqe7C0q6aE+Mwgp4zS7+j6DE2
ydPikciVDk+rNtQ4DmKJDjeWAym9w0DBLQY7j2KnrmQoq2n6lJKQpO8wfWRq32nNZoKmLgtWnvLe
xra+hyc66vcEt8uw0FP9WjW+C2bWWOL7UZnvJtv4uHb+R72llkBes29dHeiS72Tgd4WLAv4wdrwx
emI6L2xMHCnUdx3e40Jcn0TRzW4GInAcvbtUCga3vpeFeeqYx4Q154H/QhK4Vpfedk129hx/Os1I
8gEhOoJMuyHpJvOm87s1OXgxnX6M1+pjmWGWeWh7rEatTqK1NmDxGNBMtE2hbtB+Y+sfnZmUHf+w
CCs9FcU6NvfmanrlcYiNEtPisOTnwtLzYp91qpLBrNf2TUcI+t616hSdfmzsMRxMASZGbWcox3sR
bbnYtHHOFV7BbZacHgoPXlvsmFpkx/AKyWifokrkoCVmWXyYbWvZlXkznb2MfNoKg++WaQG9rqMf
RPSdfQ9lvNgrpxgDBzRU6I2FCPOmbK7ywlo5eA6KPsOW84rx+2YabRKcB6yh4Ox1+2T3XnuDp1N7
PyW7dJDnAYzGrpSc5unD1pAPNauMcnXG0ffBjIkHrCEikg4dr7S/OnWWtl7fkLDGQdomTrTFcNiY
sM4HohNOhTN6rFRtc4820HrirJeGjgNqLrWNlDQ9tS6HWItrqFSyKD6usOwCwZHszEQvD1ggPhGI
TEFE9ho0ANdvo00ogmdvvJVrsvwAizvyT103Su0Eh5WbqeHASf+riJ1m57ipXwQp4bS72tSHU0yw
IkziuL3O5PCJjcWJEKaPx2ptpo1ZUmtr0KtpcsBRZ/1Xs2K32bvCBexQxn40JsZjwqnhaGmlfs50
9HVt5eUH6Wo4uVfIxwp8JvMeb1+5W+oWdO4jVk0d2IFrhLFfpCccebAxyEc4O/1EbHrdelGndPN6
wEJ/Jscrg7wsH2JnXUK3S9wD9MXOQ5qX/UAABtBioYYMYPQJ+uAj+nvLbE6Nj88/gB/f7PTZetca
dajVMz5vgpGXmxR3122mz15YSEUq71r4O9vMjKulb2KSqJvzDMpnr6+Eqtt1O5PEpyZ471IREgvz
fB1EempX/wvmqvKU2O03UNLDfiimL1Dahr1uLMZ+GNhujDY9eW2XHEGZWbsy9m7RkD30XWXdWiWJ
nx7GtvtJZMRCat1tsuQPg95p91Oav5u5r1fxbJt8jfI2cYmHm50CF8OcJbZO4GXnRPbatTvBKRGj
yDj0IRa35VkUuJo4vk3iocH44VxBil4GwiP1pN4DeDLaAEaZpTg3Wwsxl2KqF32PI23V92nsq/Wx
zHRf+zB15rzsMhei+S6zOzMEblq5azAXhpRi7/YGoAJlZ4+22zr5bh1XSpmukAI+Pbpk3BOGFZg5
6ORAJ0n1+1IbM/iiYW3uzBot5E4xTnyxoFq8lOTAX7n4h89DU3WHhvYQwbIwjmjRLZBsSfCbWPol
dnQiBvrjQpbd3ihZMb1Ccz4vObnPAPuwQ+n+YAVg2MoHbx2yq1Ivux1H7T18rSlasDl9a0yQDV0/
2e+6xWuiyWuMyGr7nEZHxfJa4HhsA5LV5yjVk+S9WGK1c/OyD1pVdBQdJH4fs3YVI+ZdewgQvRr0
rx0Lc2wtlHVu1VCm+95sFY5tcxl8DwDmqONlY28LPFgR0B7cgVMGtrwraCFVsmN8Ng4nPV2Gs0wL
7aRhDaLwiwktD6AF+neGrTk9Jpy1yaLCBiFeez75Eak1wHdJGv1jZ+epgblEz+8xvTQP0MAZG9FJ
QEVtcLLsshgkKThElHfpPOLBnUcyYJfW7aDMLv2LRP29i7GZX5e5V9rQGublw2plInI6+2D18dAQ
MdgPYP6rTR4LjBkzmjUek0ybxkDDVbNHKFzeimWjklIBNfSTaGad8FXpL3GcEpGraHKGyWDR21SL
qEZeFyyQWdv3H1i8V4AlnXOufeOLcDH9L9DVyoAnSuK5LHR8CSQOp3vi1vKFE7hthn3vEDshnLS8
qxrML6FTpCSe25glbEyX/lT21xN5kScn9dRCK8Oz7zvZDsW+AzZ+EJXT7n0e2pU3dFBrZCWWb3Ps
pZ98au5nc3HccyzSiiyOZXSvMc9Xzi5OjMS/KZkYhubifuhLq3tZYrC/TmKLSGprEpqzrWPQWtY2
7CBIfLSUINuj8+AfoypmHZCmf4Nvd/kOwCQB85wZn1lPs6ts0gyYsML5MI4FieBFW7pxpDVZClVD
X5Ei9xhtF8yZD4NRW3vbmYhtJ5Bjj7vTPxBJPOzteRyB5I7T7dIl00PnFm2QV9Mc5nZBRnyh0s9L
M80NdtNaREaGe4CQcdXumc/0YVnP2ebta/aakzqRSZfwG0lU8zUZU+ut16zqUU3gG3F/1/mPuje6
J7/S5YfE0GVCwGfuX9VLQsCeK/UrXcUEV/G+nvUmce6ttZ/CSSfZ2oQEvtdWWwtQ36j9UrkGtb/u
7G07xmvm9mnB0lxW0eQo+5BLrTrNOrW4wiX1VKNLBRPQ0nZq8ruMtk+Qgy+4zek8n1kkxh0fIB+L
O5oULKx81sZ7TLVGkX+dO/tFGCV+53Fpgm2uScUg8rPKqFFkqeOp8Hv5NS0ckkKJYoXshEjsxwhu
5JtDGC7ofOnPN6NpzlY0taL+7+bH/5z/3zj/bxpdDt3///P/TVZV37u6/+Xs//e/9ffZ3/P/Eh7S
cBtNOgdrjvj/Ofv77l+odJBBcpKnsYqo6P+d/f2/0EZYuEHoF9B0cukY/N/YPuuvjU1n/0Tv2UDq
/hXcFQ3L1q78x+Efsw51DErDbdqy6ZIvOvhWWvglM0+dWler02YAEuFoO0rzGNeLMfOCgnmkorFG
IE2UmQZ2QNVbuBQl63S5ZlWg4DvczEss/Bpzfr6+zKsU4r3ho2neTZ3xheiT5LmcBzdk77dfRiH6
G4yhPWcxvIRRVudoaGr8CjfJxD8MKel9ddDyFH0quyBg5xky7AzRqe2tL9ok4uWsd83sBfjt++sx
90X1bBXUitcd4AodzJUzDWUgSmvjWyFOr8wOMLNT64FPFva6dCi9Wc12FiedkBSK4SOyoonydRhL
7aawMnsNGlY6FRU820e66qUTWmZVU8PLOHs2Uj7VJEVqFbZspc5J0GP9xlyjeXTEYJ461osDgRag
lPxlD/yIkCy9ITVp5DM95GYGMs0q3jm5G+eEfizWzeLmcbnrZyuDBoNGImjJ6Nr3hvaZ3LQ58HSy
Wk5t52pk8vjWHmuFP4ejh215Td3GBuGvdQ+sePbN6NukNfTUqqeBPIj63K9+/H4tPfdRuXb8xHGK
LbCNewuAfKdseZadgNcNSSD/ME5tilrDJB2daTv3QLExY629cvxannvlci+HElO66XSxTlGyTGcC
/xIv1BKV7t3MWR+aKhGZfgDA3h4Lg/icvmUCYvYT0wJCjUk2XcYUe2qTR94Sx0dRl+YHtdJtArGh
rU++dIkj6pPJzY5C0z1JDw69znOCyoc09aES5qyx5xL90R1Mdl69O6WJXeEQyqXNxkXufZvw5EBR
2Ez/92UnQrNR4hYAzbSf9RicA8Gnp2xcMZLHDkm9RJQURT3lYWYTLC/qpgxTx6fCGnoq+83ig+na
Nqe9xISNwcbjgKu5T8VM9pBtnpKhvbE3UAbJZ5xv6lvRrOCLbXgOM9g9t6hAsBfds6al9zPyiQBk
QhIl6wy8bVw+GvoEr8nN4igel0cdvzuEL8boq9Pk102p6bDLRRH1cWNe+XTeCT8wOk75DMBLMWcw
VGRN2VhnZ00u60mHn8IDkuYz9KFPVe+Rem8kbgAsSwsFzuaorty+Bypu5acum74QpSGvtrCgM8a6
YbeuJe4wtRzAF4WdUEMkqGngCze7rNSqMGk0X2OHzqmc0vS7vTYfXNKjAC3UClGFTiqWaAsvRCM4
0ZtakmtM3gztMyQVDVrVPtNgFtWZEYymHYeizY13/PX5ObcXraVL1asTvMzhu5JqIQ/e4ubwsR2h
ruwKV9GdTNb+WDfNqZrsRzJOHgovu16N+OC3g74B4p4yB1iC3vlX7lZw+NmpWkn29nSaSzl3P8Fl
5Y3iuWuag7fMNznO7cC3BwpSJWFPxSsTk1i8p4bONtd8tzNK+V0KnYNKNUHugtLxCFT9hlLdCP0e
13zT2yyCmXcj6PcEeYkxl4mCESA0EPdQoqp9ObdV6PrjxLulKLJ5Hg7+trILtdQfjl4rv67QqwNO
5v4VtBecYy2YTpxS+W3q9/lx8Jg+8FUY90na3I9QETSPH7XW1e1M7vtnua1mxRC7KvDyTjsrZYqH
zGycq1r1acgDayPFaP+j26QfQCmOW0n9I+1L45i4HQ7HrJHwNzYJlhb7V8OSEVPFsn7fwwshtcnx
T0Xucu5t76ex12HnuB4h3NrkhhCc+hfWlWFnEvdEhozV57e5CZaq6Yv+oPOgIr1uhluboJkHa579
m3bWH9ZW60FgQUVJTKiN/nC3zGWEaZ4+bU5LkAj0B7K7WV3SNIgHPY9yi+hpG4PA51Rkt4WVsjs0
2NsKAzdU3j/RgKVGLNf4cSqmG6U1ZKeBInkm1u7ZToghk9r4uVv9D4D/T+Zgb5XmoBCCyTlIzSlC
IHiqnfzgmzlHo7wRt6aRNIfJa79WkBz2RMJ327T7SeEF4QUumDuXqRzPdjPpt6lBGeyra9ml750C
Fowp172OZoJgO7V3NP+T8KcutIQdFttaqjTvnddZnIXy+WHm0dE4GhF9sox6nwrq+g8SP/iutVw+
NU3EgemON+4y7gG9XOFE6yN7bMwzh12PjAoFLw7VcRoWi/TIpxjWU1r3R2ahV2MWF4ce1neY+OiP
6YxHbGakP8S+G3gT4VwcFQfxFahQz4KNs+aWbBwidkuhEc/VNjdyyOhLTCO4udxOv2BKobthDtdz
1rAnTPLZEDRpIGD548rGmvtkZbX9I3DM2yZzy6/jXGHMWz7kbiH3I7+HbJe6oNfsZudxsU6cx42I
kDv8iwlIttvZRscAJ69Ru2FNjbOd2Um0aNYSdENifYzrQcE0NcDqaC38tD3H7ooDulW9S7Sxg4HU
pnRg2ddUhjxpqUE3oYJVUTWogRy+Kg4z06S/OQBhjy2NzIRp255psNWOH2iefTvpaLO0SlZ3eqJG
TJOLJOuOwWY+PFS55p38rliv5tF6FrOuvtAIg0IUlxAiI1B21oalMyY4dKJeRroS0tyPvf+11MZ3
RuoSpSOm/oFD37up0rSwKYBnEAB7VzDC7FqL0cjs1FfN6rxwDpVPcwY2TzP6vcHPI9ddNp9YXsVx
on/7OaeDsp8Qmpw475r7vB7TgyMdWFnAhcKyEPzYbvzo07jeE5+u3STjVLxXPl1PZBjeDwcF/m6w
FckcqSU/1567PLqT5jD28T5aBdF3pVe67wnnyHZa7OhAC9P8qUoqnXxnfRt7M1a2rLnezSD1p4gH
RsbabBVR42UsyD5/XgLpfl/m31RbfFl0zX0gdGN8sTqSI/0hvZV6Ye8WhCNwZMkADr0MVXK4qlYE
Sm/luSNU5EiEgKBGqJIbw5THvoiLUMNBS2PLrx+8EpIdy2063EMr8Y6r6zQv2uofYafMT2PHoB5E
n5+F/lpk11Xff2sK7yurs4wa3/F3kD6H54yGj1NZ/kH57bKzJy3bx8phg0DWsmOUQA49+N+K1l1u
3hJSTC/DtJtrsrLgPvXdcl2KyT8ybZp3tMy/ygRvH5jOzHinmMw8skB2ZPwMFqBEeovpduBPukiU
omDz6rTqYwN1/ZwAc40kteB7fWqtJaw90vogiC0WwETL+FJJ2/kCPAls37qxBuO0CTRDUjAM3HMT
XxU0RY/yuByv3GHVgmzQd5Vl3sUcVCy+26qFA5z6cldSeYSpl40JeZM0zKf03A6TGxXlmDzCjOpb
44ZCKyyr8X3rryfHnL7VseMcGoX6sezVvIeN6pziCtDSOts+QX/6gad2ZecCOlk2qp2s6zxg9vFp
7EUfmrhVQW3FFkSjmuSeuGH/K+pjKipiA2PVB8oz5NHqsQymbT5eVbCM49a6zdPces4EDAVJk/6c
peSh5T299ML1H5c1jeQIpadNR3HQjS8DXauoz+MaG3n8bCRtGcjG3MWasHZOqlAt223gwZe4ap2l
2tMaOq4V713Zzl2AEsAIa61SYUZTzYNhy3KSMZv0HBpEDfCStUg/TT7eYgr8CGCxBrBNPc91Ve+x
tKrAzsozZvNlh3elBOZDaSh7jeZ34ir2RFmfaHU80A0SByexvspqeK7VYt9pDrRXeo+Uy/YSzVMl
wlb1OyUWqD7Kbm+0Fv5yu2rme8gVsHpIcHuee8BEAGDY6hawH7kBucuqcfbDpSzod9aQlcAjl42a
o7qjpsvqOPtWtMYOairUxIy3fJZOwASwDJzZi59dQ1436SBuW+H3IR3QHxS/TIHTbr9FFdO6oHEz
i/FuTrsU6dFQPtOyYCYshiQiEM7fC/SaFN0exGstlzdFwuKyTEUZ+brd3Dpe/EXvWpS0OOEP6VTM
983iahGTVCNkAEbVYyj/Tlf5bTUvAzGRNX0g2GJ0lxkWCH25NenraBjb8NfUVuiO4xi4vjtde5b7
rea8IQ3to+mtnxPlHBioDdcccxduRhFNciWNtRj3q6YdZPpD8xocXM4Ww9Pl6tgU7Tus9udqTlke
oaaGw5jpkVIcb5l0WnQex4NJKzkgyO4MF4YNNKezVHjPZMci/8nWz7M7fI2H5EtdF7w/tXU/9Ddu
HT/XIwNBjlPJJ00z8VkKeSKYaw0Ty71efe+Dp+pd6/v1oWBzDCBiqlvyjBiyVLpxLYS6zxHRhxrx
XiGp7x0paF6i3xZxTaznqr0bYI14QVHOK1tCTuvYZCdoyCpTaYQKuDsxpHM+LW363Som3pF4WoLU
Muk4TUKiDU7t8qOsc0ToWWaUGK1MFJ4zuV4UeHXr7sy0rcAEmT3u1Jnk+dwpDnmmJW2ozFZPw7ro
1UdzMrJwZoTFIUc1z9PgydNIlPCJqro4kfVbHYRfCdqtK3NVfXAiaPtPC8FMTKX8O98b8ncVQas/
7KwbzmuaOVfKItjAlEtxNRDaGTGebp9EtSARbM3PnOHzm6ISHPAT/W5dkzEkVTm5tmbGm4Nh2jdI
xsW+WXFKWPWMXgzyWDS6Qot63/V2bcZkz6qqw1hZYpcQFROUsLSgBfYblWnRgoqpbPJf7J1Zb9xI
m6X/SmPuWWAEgxvQ0xdk7qnUZlmWdEPIks193/nr56Frtau6ar5Bz8UMGqiLMqqkdDKZwYjznvMc
RUjWqhJjK6MsuLFEZyHGzZ+dvHe9XNqvdphxxdjUAjPGX0tvwJHkAfmWcbhG3WNb0UY2z2L3xdV1
CiDwlm2SPEKnrsyCbVCzbMaUX9+6I7NPDlnQtrhd83GH0QnL+ARNapoSqmP07Mi+8WjnReJnWT7s
VuPSltWcUQGz5C2dkfuEQAGHKee+TzS15yiM4kI32zM9vXDAAqWnFx7VPIVGTgvIsu4ZX6XjVaQ+
NhKUNZTO3NcGjh+lkPXZZlSDmpzFB5pzhd804DDB7ernLq27E6L713phnuNmEHo5W8glvhas7ltI
1/lt0vAxlivJzU3llknN6GuoyhQXx90mrR3tPKrkNpYwgNMyv4SW/cgsod2zv65xInP7t9O0K4S+
B/mBJI6Y7ldkGnZ0a/OrnF56cdx9Wcrqziq7y1wBGW3mYLOExhaVYeUuGoWfazmd3F3E28uQa4zW
16OJVdnUgwNeQigKaWWyaZlPI99Uv1+NlHrfsUYSQCFpPHwe7ORzjHLvqPp26srpGDMP33CEZMDS
PWIKLHaqn7YctbiT6aT2u6EdIf7F+jVsAbl36G233IWHrurgAVfifk60o5P022WwUr+uReFy0FmK
T7XSkE3GcXR2MhMPrJ33EnI472jotuk3aqkz+mHDcZA+NcxhldejCNC4Ho8nuoLZx6nic9GV7l0S
anyQjgmtoY421mQsHx2hbslWd/hlhcQiou9IS9ueAv+HobE0tY2V2TMTbDt5oO/7iyPq63aR59Sx
Xg0hwaO/diKHtel8bQZgJroTz1sisQyRcndTJ4UvkorpWz18rTqyQJmWvkS1Fm1rRe9ey3iTQrwS
UcVBK2GaHG6KAi0gEgvbliTAwpvcNhELtN/2jTX5FQDEm7wf5EljT19RoUdEfBw4lA813dttz5O8
GtKcqXxVb4t2ook56mxvrK1zlYtzo5s+TQeUN01p1u9QcUKIBD0kw0VQJA4os+6vMPoDZ2pl5no4
LptjnNXBrcOq1nllKxoTZDe4XwcqPKWmD5qy8naXO602MyZNx8Y3RITUZnFGoNSZgV68S5QraukV
XCMzqNAcem3WGSE76nObAsnvrgLhtigW3jcR+r9ar99/Ka9f8y/tv6+/+I3NBetc1P3H939sf/5z
+KVc3W/f/WH7ze52139p5vsvLTTd//h3ftEv/+f/7n/8xTT3j0o8kbq/V+Jb9PEm/qMJj+zk+kO/
C/GUurtEKsmerja7Xxx4rvkTc1Ysxs6K//q1QwnvHWdBa9XFSZtyT/+mvxsW5WoQLgijCJ0YMlmU
X9/37c+yOpfs5+vwy5//DT30lnxE1/7P/4Gb4kf5nQkQzj9spexLDNrW+O9/yOk0AGLqvg4j2Ng6
u8wsC62h86Ca0itRWWp41sPcvtZMs7yPoYVcr4q5Vzu5DuzY7ZOtsNdSAtjX87aRU3oTObSOepZW
oMbZzX5yY+PUFb1AZoyremM6k0PnWkCbvBek7PNB6UfnIRvLKz1kVOCVMruqoia9tUvD2ee6G+0D
O7DpvMAHiOkAo1Xbp9Z+iaPmyGjAuvTtutTCPtJ8o58RrvPRkWd7KseXNLfwoNFWGfpG1A/gY9ed
Q1EG98R51Ogxpp2O/UpuX8pXZAGIR6lB1RPyascGkkL7cXX30Mlm3YzB5IT0LLvEjCIq24+ce9Uh
baT2NpZN/dWuYvfGoBTtWEL+/RJOMqhptK3EbQzwFNal0dyrVo34bWwd/GuazLlvJPILTamcUE1a
SVEbDc5R1CNfh3oRnsG0am+FBULIE1Upr7WlLo5zXD8N7lTfJ6O09mnkDB+jqus+uG43ccTQluaz
CuzwiVUhdVGA2XNSZ5H0SFnu4vVOceSka6OfU7tGyNFNbXbuonmt52nsfanGT3jPear0RfY5o9Dk
4C5xB1o5jt8Wvc+uYr25YaBrntKmq04NrL9zFeBlLEwbyPbktHJDVwunBX3uZcPnGaZPnHoR1LhK
Pb+N7MROtkZ2ngXtA02ZW7zRyeUhK4KeIkpTo1JDj/YTZrOHslDRp7SLGX6ORQV4ap7KcgsLAK66
FpgggCO5gmti7j0ka9VfegVPirC+bjAtpydmFy0A66ni0Ft/bIuIdjxDUEjrTiP2OdmzdZyMgtRm
1i77KomK29gyJ09xHLgKm3LZmAscY9k4+aWCcn0lGUExhc5HdCl0NZ5TZlmFj4G9SBykfag+19OI
/YyHOfv+jJNQWZGFIZkR2hgJFfswhw7hJTfduzCYgYGCDasiuKjRPGysxoTc6Q5vhW2kR71BPgJv
jTFkaPuZs3o0nUExgoBN3K746JZJ8KTlVqidUObrZOsyNX5HB2x7L9LH/n5YRjZBw5yK587NAjZ1
Rd3fCSrtX5qZ1lAaO8RritjDlnXu5vt2hPZ6UGzOW69xXDLncsYykRsTfVBdFNH+Gwjj0Rj06Fzr
kfrMhp+wo1DctD4EduAkYeG8JLZuXyBIz/pxcsm7LqiUaHcMm5iJoVVmAGfbcudERf5qhpH7Een/
s0YN8MaqGuMiemv+YlYNI66WUsViSxtt8ZRgtRTAYBOerGhizXNnc8TDEZFUAAUp2EXYYubWgX65
iuTEmbVr7kRLcgFwGd9nnsKE2cllbp2sWny2zJa3DCsRRFXxRqGAbxfACieaI+yTqbe2vxgRsiZd
WMkefxwrGlIIbFIXrMGQqfheDkBsy1hPp43mUki7VXajP0vyY0zDWEwHqeOwoNo1TvZ2V2VrF259
jRi2dqWUBo2OTqy4sHaefErjpAYDL1C6WcwCbGjhhOzsaGP1Mth0tTCJIqZEN0QYeKY+tzeqbbS3
0rQR+yGtD7RdzhqLyxK5XqklbsMMRA2gLKjNsMZ5/FIzuX/GYSIuBs6XfNuN1FysjPXVxRwY9U00
u0G6cWQF2jsaSUBLbZS+0KsPYdpWG4LLdLhY+AbyDA+ZVdgnRTHGZiCtSCd1m22GkK7LJGXZLIWq
95OeP4SF2e/bBuNcTFgU7aKJiWlr6VwwtBisba1Py/tiULy8HQRmvNLoc/TqaJDUxNLnR8d4NvRn
kFUWeXnV0BT9adFCzjezTe27/uTMKTo3Qo0hcMz0TIKTm2AKIIe7iXUjkjHYLSJr7jFB6PeWsMNb
lsVpbzvpchzC8ZF9anFfk3XCPdIGEmc57cdjY0GS1xj6eRD92dHOYfrorB3GXkuk556eguJW76f8
ljBWvWvD3PS7OFXXbsgwhTM2EijzNZZtnnb+lM/xdS/dHjESMCwb3jy/TihHeeqtlMRvm3EIWxu0
+Kq7iE6kxq2rWvDXZzwnL9QlBJzili74oJzGOsKkHsELIxrgaWR3bCzafFNoYU+diFaXoLTn4Not
q+oDEyf7GPLG3xDmlyOFIeZ+6mq6t4J6eUkJvwEHqWlQDAVm9QSjLqpHBxsRZ9M2Rf/BNhKL5Uw2
B540Lax+Pia3ddY3nllL4yYoGdyyyKbB/bgE69RCMlQpQ5okFmXzXevL23Cx4/16PR8ANosrN8EB
yXJhw7lutJs0HQYOtHJktO4u0XvQqfgQT5zOvKaeKl5H7+bTzFTqTqbNuHdn1z0Oom8fm6DMbwdh
Dge+Txb+6r6kMKCymSO0I6WlHjhLvPdJgYG0N9z6bqR/jBFqYmDJJdCzjcyYIpU6UzecNIPLYrvT
seXBGHsVqRbMw296GbtvojUk4GxA008xkh626yA9tqVW7Qsj0vCxDSw13H4RD2mVGaa/YkMx/ifp
LZOQ8aWy7XGTEtd+lmVM9cZMJ0cXrYsmyUwZ7xdAb8u2aaQsPxSz+xRLigm2A/j56ly3dS98Cspl
xGBhdJ9jLUg/mGza61uraanso0OwZjxiWanp54mo9StpoecgHotCr725i+Jqnddz5Uu5zB+aOtzA
uqKHx4gse1e5lu1HBWVgfhKOd4uQzEC7Bsz4oe+06MmsDDN+lRZfcX+mNcTcNiOTbWR5az2GXISY
poE5Z5jGen/ilpUNU6GhsDSoAsHyzLZ3+sTYtnhLhkk+ungCHkQd0nxRxw91Yc/b3KipWK9b4DX9
kNMrthbCLs8sgHQfRa9JZz3b/dh/Nij0xpbZ4NNozf7ZdmkOtGwnu61FtgWdrV3x4VB0gyHxWKRd
/dVY1uADdqi1KQc1PkaCjrNDU87dnWGO6ewj5SNNVQ1DiQfH6pttDjfjLlrY7zB/Gs1c+79zLrrE
b03Zll+7709C33b1vx+T/h86PRkWJLG/Oz19mkviZOEfD0+//Mwvhye4QjTHMs21dDJRZEA5D/1y
fuKYtJbK0ruznoVWO9JvhyiTamodixP5amWtyJffDlFK/wnrpi10TlB8HdEj/pVD1A8IAt3RTV2A
qOK4Bw4Fb9T3R6igR2FhTDhe9/l7yGMwyj7/4Wr8xSntxzPajy+Ah+u7M9oEfLaaeAEnsTy4U17v
vsbDdUwkNX//+5f6Bkr8ox3LgQRgcuAk/EddJLzB719rFq0gOarEJTEzuu8qos4SF+JMOEqmtfnS
JlPovFEf7XT6Xq8kfhm/zMw5Lk6gC+swf6ew27FDgjEq0l17HzTh2gxf9IShEWryq75RdP+ddYus
cta6SdBQU63PSBdaGTzMdbfDnmSegFOArSBJw8AzQURjcFPI0HOMxuw8OVgaW9RxMFCRTMB8UfoB
R1I4NDQ2FcR1Nvwl8CfH1szUoOjlqRFV/HGeMtzEQY0RbFnJ2zsOpZmRn+2O4axJ+9W1Qwfr+KKV
VG/TZs0Dw8G17EPfpZubp1a1MPFxI+3DqGuxKrb0hQSMs/0uTbopWLf78S/Mtf9qNeX/w1XjG2fj
P3c/forbt7Jo4+L7dePbT/0qulg/Yd+GhwQZlNgsXsff1g1X/uSs4ADqFrE62ogyvy8c9Ncju6xE
fQdEhW3whf/V/ShxPwLadU0LDWYlt/8rC8f6vf39u6bAe5grtlmiUkD2+lOAGC9klPZmZJ1JdTUH
7AfTLXCWho7YmdqLrmnNf8Cm/dULIkDphLVReiig+f7LnfKuK7b337AAzkaAZ98vbj/dWpmDyRff
/T/gGdaV78c3yNrL9cIyCuTlh8WEHTiBLojJZ7uMrNfE5QUYWYmH1hzi/d8vXKtO9cNL8VHzWZum
BaXhx4R0E40RbGChzpzMzdfYTqii7ZYYO5gMxXW3LO6jnSbiugnM6f7vX/ov3iV3EjxzgAiCp8p6
1f8goY01vmlda9S5lYk6FnCXAYiaBbYcepvyf2BvCfHnN8odKJioYISixviHz3Biz00IJFbnsbR4
Ibtq9MEbEyqX/KGziRkURlJFJ+xfLagaptHtkxJlFm0wAWi+TlzpH+hHf377JIEd4AgUaVgA139Q
EBMRcZ7Fq3bGxcPbdXN6vnSNEdD/4Wvx+OcBxS3MjfPDDRUSfM2ieVZnOobEdY/l9J1k4cSQSVbP
f/+prtfx+xvK4qlOKtmEcMETmC3HHz/VuKsajQJGdeaM9bWVrbvtZa79w6f5V9eORYh+eV6MVeqH
D1MfEmV3MqMoj667c+IMEc45iwGFWFJUq79/Rz+UeKzrDU5vCfQLYBKX8EeGBq0LYlg0YZx5wKb5
xmBKeRaB1lpe1rTVs1On5quyZr6ksTvdA8o1juEQGD/H+f9Tzfkv7mBLJyYsEZ35F0BH31/ZQAoZ
BFaqzqis8mQAM0VRDlznqtJa7lAggxRhpbLBD7D0s4CExpfXJGyxZwVpDn9/Uf7qE1Bs3pS7ftJ/
QqekGUeUPK348g7BdK/rOgMzzpJnxcFg+6+/lEWUHqj4Wtby4x01VU5TNnZtnGPER9xHTDN9LaPL
1ncsPom/f7Hvl3pTwojQXSi+8Pl4uT/dvlXUlVldVwiD7OIWT9Oa6rkA0PC8jLSsDsXM6vD3ryi+
X4LXl2RagXZtWdxnpAd+WAfhKFP5JWz3pBNE3NMjoWXoPS0nulGb7uM24HM1THoWiXvJhzjkK5Uz
xjzb+FzGjRNb9QGBuzl8W0E6ysRabgAZL7iLtEWQZy//6SKZ3xgdv3/LTR782Jlw0AMyMKAm/Eh4
oXE2wSBtqFOb6flOX6JlV8aWtgtB/PVeqeeg/ZhxJw0T2TKpZmsr+GV3TaNl+Xamf7olkR7wQQZm
2CFk5d37hFKBEhwtfK9krbHy6viLcRKKkUQUQSn1yhxvus8s6tL1hB9rKKI52hywm03LqPgI5bZ+
7tjFnp1QGSemough68DgFn671myprXEfuyWiczFyg1pANzb51a0dQc7M3YhZLhtR5hhhHxvWPitq
XsPhSlttNN/WNehiTw1KUl4WV+K6jcp1+KBE9TyTM1r2WrC41mmkquyMBSFvNnMjiuhENq97T5Os
frYr8AynXMTzvSC/fstYRRs8SnHD+EXMLh+ZvRjWevKmK+ARsxH3Xpdar2ksudsVifzXGRXjvWVT
zhN6GMzXfE7lGy2W8jDUdn3f0HtMpTO9bHYcqsFj/cXPMbqY7H2SpOJBA4twVpPjXKkgZfIzKa5o
EAePYFnifWAY7XvTUumhlVI80ObB9XGxGty3bbg8yoGwRIVH3PJya3QfxdS072mOBdizjA71tkXl
9mlWch975paWpwUYRN2g4LfkCZz3peO6qZ4MyM9P1IIn9a5qrYzBTo5p7BCqiYLs2ba5s1XEVJYk
JTLWKVo3Jt86a8M6d6/0RE731AxbYE91TbM2RPAEdlW02g2ZcfPVtlKuJqSDivBn6SCbDnpgY0hZ
10ttQDnZt2qoM7Iekr8MkR7q4puO56JFngWAtx7OIcqGI64j2Dt8lGbeOVR1OvW4sWfF8wYXY5B5
ojC4l4dEcx9bHUvc3ul6gFaaMd1WwuFZ1MEimHY4UNl0dIUpDZ8qnwXdjIi1L+LcfB3K2ny1ot6V
8BoavH0U90HSMhZ60yluwr0TWuqlGIbiwVni+ZLVDALqdqJ+NtEAdhG805sTNZfDMcxmXqbNpomx
z1L2G70NrAeaTuLRI9BEw6htJvM1B0r9nNOmzDEVXwnZCcr2JmAe/lws80OK1Wvbl5jtTqmOr73g
nmTCT2Txrqtaem6SoM+/lGbTfXXUUh7JyPbXMMt71K4pCYACpKxM1L+zcJHRa7gI2lw9WVnatLvW
nK23abHFpu2K4qpsdQIVgKtsPFs9AwWRlDh6yr68dpNBjEiiLaWd9JXTu9xVl5ko4b4u5uAs5s4m
BNCO1nMV5x1Rxmp5sQCGnAwq4ah5HNXygt02JQkoF78l0N1QA20OBCLG4gWng91tiiFqN6ne2Pt1
M0p+darXQVyTa1uCHIM3sHnBLiBxREYU0xXge+57sruIZXV1TBpqNWezn78EYTluadfV7ma3zJ/i
dFA+LEI8kUUMA7XG8UV4ktY2xfcjXrRNIPPI74dG7HJCjAlFqNdqinSWfyPAY8FsiQyuBe297Px0
BT7gykK4Czmht1M1XrHTdQ6SkZq5KeJhhKBCFyBKqhtssPKRFC+r1sfYGm2WcgZckZf9xyq16sof
inZHwIUIa6S/kQUrn9wsxonjimnXatg7UQT1vRt0+R1PpSXlg1+iK0vVo1eFOp+oHcqEfmoXKb/r
q1tYTtzUGmoSxMqgE9eaTPhKtC0nhi35BZmccUStOV4DEZ28Mqth2OgsSOXiiodZRz719G5wHxu7
n0IKZYm8btM4InnSlbU+eARXswVstFY+B0JNt9g6Nd+es+bQAZ5g2NPTT00kQgGrabL1t5F/a/dp
3LEEsRqzMatKVtuJcxQ8e7ZwFtiYh6FSfPVhxtYHNSHqH+gQrZ6ritt2TXyu8JysyNCf6TCgabsf
PWGUsuQ7H7VV/kJK2qm+ztWgvHawOyKfdodLO1Hjl9wZ69A3U8385FqBe2witz3Q/0tCvpjCGF4I
EZzP7dC9JhVhMVPFYegHM8vHE4mlXvtAUXppHNCvCfk3SexbGRWyEXVnh0SzFiyBRfVxYWhiYxZQ
40eIOvm9FVZfSS08TVKJm3T1+rGu2pkv3abfqr6S7yEGp/cljscPYW/zyfGNT7b1kGJEVqFNAGqI
4pRhWtbaJwsTH67wMatyv7VYx8mnkAGml3DSzzCu50vdEh2moS9m5pCnPbYwPoUE4ojjYr4nNbBl
KJJdpqZRN0u8ZDe1UP19Hjs1w2sBRGLQsi0xdOMz5ajDuUPXwv4UyNjyWgd/NoQiii97jBP4cjKW
CzcwMd456kSY4XNQaeOHsQtTprK9fsEjY76ko5WGfpNFcE+SQhDIgfJ27ao5ZrxiGifNHV2EwCFs
X2U8VuccIPu2iM3+jKVECzyFHbfZC5a8ncZmdiBNKSUTOHwBJPgBxD9YaVVhhDAWkIRRcMWoHtdv
REOoy0zsGa9NDbGhbVV8muJpMn2n1DHjO8HopJRwMqjdu1HfHjjlaleJvZQfMRNIvGNpj8eNnLue
HnpunmvCl9VXMdTtpcd+vieyMZ+LpM0ZALtRAHtFcLyIWNz2THFwbVbsLDQaPe3hLpQDmfoiCcyK
+zJrntOpw5kxZyaJD8kyCgMJa/BahE03T46fHAxNKS+dPUNpnN1aOAx6bbyHrL5fSmn1wc7V6mUX
VqE6KlXLLQ1htMj3dnzf5qL+2Iu5fXSyWW2HaUl9Cjewt+LF8pQeRStOJLE3RkX8CUYqsyo973gO
dfo8+IGGjrhRXKrbAVPsvshIrPgmJucbnDzTR70ZtYsZd3AyYqM2do5mMAWll55SztY2KV2XMX7D
nnv3a5BF06fKMbo38hT2+2h1VrzTK6tv6egRJqbqMiO4EzhG+RXCXR1vGuqO+wMD5q9mNIW3bUIb
jrfgHj0Z4xRRTEwJKCypmPkyA+rGB7KHhSOjGF3qVtBRysWePVzmNTAWlbS5mr3qnHPa6zOWf3t4
iqy57H07XJIbHS+O7gVwbG4KN6PhnBy8dhdpBp9ahoCkDmBBCP48TlFNk+LPJ9j/1kL/0X/GYvOH
09ifSHCXsoAQ+0MO/NvP/HGCIuHQI7fpqFQrb/23CQqWMkC0HNxW3BsH8t+VUBezGcdIXQJtM0ER
c+T7VQlVP6Fa0g6AP40TDwzIf0UJpZj5O7nF1JECwO7yj0EjED0UPyghFf5cVIE5urHxuWPz0HJs
0GMkTd+srXQ+2NAdCwy3YcRAIDaqSygzzc+wFL63AQlEzw5zWfmOzn13jJaadagEZ/y2sC5t8yKG
h6Pyar4qcddnn+JF1WzZFv09McLJ9URPGaenc3IHo6Qxk95THlx+JKNqk6Wu3WE4EYZpxktTWcWW
BiGe6TN+cPLHVnqpUKt80Qedh+P5Su/nKvaaymFbnBQLTcpz88L+q2HOHeH8HSZ9xgvjiC/0rGIC
/UbwdJ0gkls68LAWw+6ILyB0x2Of9fZBg+J/HMqcWUwTF9PdUGt7mfQSWpH7aSwmqki0rCM4Epbr
34p02KfJZKBKyIfk2jxdRVDemsMa0RICi7fgK9+XWULMxP42TBHrXIX9QNP6AOnwpHp88lxlfekx
r62zGJUs7W1bjYl1XkEXb1yR+Zz+PLuhXWQ5dj/PdOwmnNLtSv2q4OlN1b5xqijbcjYZL2Wislhl
q2cdZ2OxI2CYD8IfVYTOdKA5JCrriRhnNfT2eSGiQNrHZxol5LQd0ckTdrHwTCeI6SInbDmcs5Fm
DLhwE6Y8Jz1Sv8hxa1PR8/I8GFJw1JvZYwGond7xRVXJV5eU1FeIo3I0rmUBoFx8sMkc7RiZ2+yS
Kta2J1YvIl6czYarMUzTk0Vcb8XBpFBa5qxPjjHZAYPqSh7Yomy2eoz/hp7o8Yb2kQH7SJxwWxKe
2Mwch31NCgDXSVpuw1Bfdmxa0n1aRjcirqb7zupVTCIok5vYbaLCz+ouPDkOxiZgmlxtXyZOcNAL
Hdd1BnP2CMi42TGhbl9LWWVvsquFsXPT1mJXXeNe7pzAIeIDdZVHJ+CaU2sQsVNGmJ0SXEjioIr+
JUoUVJOlVObt2i1iYmOrQrD4Sj+HieKYwH5qPxiKoDwvd8moL9yLRUx3BWyTNSuDL0eJAF5e7Yy9
l0o9Pa8ZVZQz2ZI2Sa3iOIw6RrYuSLCUdJm6spxkOeFjwSvOrG+T9sz2aZjfOTqhS+TjayvC1rnp
lXWl23YLQz8NXtg4ufQsLDARE0Nt0zotTr2wq49Ju1ybhW3erXf2TSBaHZyhQai+Fhee0mRKYs7L
DnmlHVYdXIjKqPSvJa0xNyVKyVMINvDc1IqChSHNDm2GqXuOrXCfJEO6D5CqPGKf7bscqZOorMb9
ECp2HGh78spJ7cdF6jfI7IgThBGvQL6ZVzhs8C1S6v7JrMsR/Ar99mxUDPlMwzZP1n5eypDKMZ29
poSHBULS+KrZDvGxjquxSyFSHXswK8y3XJgOUKc3Wj/XrpcOlvpQrY9yUo9D+aacOXwg3EbleJk2
5mfSWuw4QBHwOyrtmDmZ9A2jQlPth+w46oQ406km0Ah2ahsMybQzitA5TCZFGmNVkNfpLWIdnYnm
5dl9F58Fm7uHDhOuz1k8fWin+o7bmoCjnK/cEZ+tmQbuQbOjymEeW9snp9FiF79Z5rxPVhHdupkT
H4agLN5xB7uAOtG2vCqnMWs7l0on5yWOgZXcQ+5xjpA9JsSO2fwgtLLKPTHOklSsEfhjR1ZAx+k5
Tyb0ANuu4+skw9ZR9rrxUmYhbO2oBxYyUs68majmejad0d0YolruS6zHbOKb8ROhMVhgRlJeZAav
yhvs6U2bCjLM0ui+hgSRfHg8y5YhSbuflDSeJGH9m0Vg6B0mZ7mdaQ/fiSzsbmXTVGf6MfQPtmjY
I7Z1k9a7sgT0ROO4/upAwt4oqk7vE6bZHXHlCLxH0mueEl34lTSKfiiGwn428FRplD0iMi8sOX7U
zQMb7DAaN0XJyu+MGEdtZ7AuskZf4Rtp7FQo5MewdismLWZ0Kt2mwv5CIKXjcMmVdaP5SzwTeaa/
pE78WgbRptXnDJ+YIJ8XTLXlCTHI49LMc+8rWX+BYGdsxVS6+ABleSHynvgoa83VUpTjHci6Ldhk
91IPdB15oAGi4GhYWnqJdFFvyOUkL1k7yIcEiP3FrhzQEaMA/Agnyb1X7oTZ2ummYzkFscL0rUaf
k5l+0wxV+il3y/pT6BTNLXGl4LFKg/jcT5TVR6OzfBSNmrccSJL9THxhG0ChQ/gpkAEU77b0p07q
3ZF99gAXwO4/ooazW41VW2y0mDiTZapyi0NVv2WDTQzHxiF6KugkB+eUjvMZ9ShPoWwJuXVKZXAd
u/EJpqDpmQPCDBAACCHk+peTiIX1hvFD1/wyKOJbDp8jaQ7d/cQ5gyS+WnjQOwXWaK8N23hnxal1
BWGwegjsAZSHZjZEacIAq+fGGaervi6bXVtRbfOz/v7fm+N/2hyj27Nb/M+NAtdl00X/tnlNfyQl
/fyDv+yQXesnExcAezwLlZSpCRvuX3fIq/2I3S/dSr/ZCH5NanzbIa8YZMIa+ID+SEoyf1qJRljw
dPlziuNf2iF/a2r4fVTB9I5KTijjkryG6ag/dfYo10Fgnmx5tdBxGS576HJzF6zMSsC17UXrlLut
coJ23uCYSe3hllqeNZkRaJWxOLRDpV0F7O6BqWn5Dn5/id1uaS9lWByixuhPSML2BuUN3FxfaB+g
DlZ+WYTauYuddUeXWx8Gp5o+JiAeC6+Hu7EXVV16ecuT0GK3hbK5iJ3E3FcgJAQGHk+Kn/l786U2
wwNS2MUy8uYkXfzxUR3cjXAPJ+QZm+u4bs/FASegwQTUSX07s05CBZugh0QZhfV7zwBl0yPJ+Tla
kt8YxXzBXERGo9M306C/RRrAAUQfbRtgMtghyC17E9ELWovca4VZfHLnIdm2VRpvAERts6m5acAA
b7Uw7V4psDd2mZ1DM8N6fjByi9fPeSRypdSmKxz3MLd9fA8IptzkgsKBKkXyABS5PkYroH9dctPM
ru7XUBm2TMGFh+kXQrJOwWWEvW0DFpAZRt5P3sAU/5TG9iUSgKSFkd+7er5Soe29m/cHds8pJVfA
MFFhQRsboU5qUN9rbOF8goePZjfMjPvXN1Gl3abjabnJ5h7RCCjiNnP6z3nLc3Ca8lOFgHRGu57B
R6FjLvZOowR4BzOn2BCkIZrPWJR2IuvgglzpZsIoTiohdCyB9khzRYnQ0ps83njYGz05SKnQ2bQh
n4+yBMKA/X45tsIZNjhd8UJPAso0sbRNO+lqU+Ck8Uwn3E89QkrNwWLriuQFCIw612RI5yIgOW4a
9abHJQ6wItwDcEQOrAkLZZm2TZP6oWytR2darhI52l7IdminFdTHC/TcvV3lr4uZvCR1p/YJ1FZM
1GMB0iHRTrV0v6hFSzaIskhuGE8yHk4WmiZG0ZBawqTc9SEKsoSv5achIxZHMJ9iFuiJzjzWMhEv
s1qEj+B/nrT08zIDZoV4V22TOJkPZhHm/kJvrMcenvFDkdQbO6zUIVrY4qlonnxYSvUG9ueT1nY5
8KApwDnfkiws53ovHD7BkuH0zkqAGAZG8rGRVngp9CjfGc7n0G31EwXXtW9WlvbA7AV7eW9FamNn
cXyf/y/2zmw7UuTsoq/yvwC9gGC8zTlTSs1T1Q1LpZKYA4IpgKf/N+q2XV1tdy3fu6+8LKlSyoTg
G87ZZ4BxJFvPpNpMpj0GpObBlBiMWcLmdzNGv03bzucWRe+OHkRvqQi83cyQbuMyl9rKESNMZxsm
lpcGTMzM7gjDBPN8sIg4GEW2qvzMO1o2FoE0DuDU2vGxcwf7ojXMfmPYSf0IwZd3EW3BxnYyf+3F
oQZbASTbdCugY25mPmKUMlmdWBBzBwZwpLRA8u3pMymh5H0OUuUmqnvzZHWtdlehR/+71sTwAHqD
3zR2oM9wNOdbMZG7xq/aX7IyFnyjcSmrtNhj7b0ynPxbOkBVwoGF3Vv5MV6nwdj4M+9nPbfuwU8K
PNXC/Bgj0JGjJgOnRqm/yrzuHmHisZeDRxYR1ihkxndelCmWPqLaJpitwGoV3sZhqcdKN3yjTr9L
aS4jq78perYjZpZa+yk13skCnnZFQ3fR+Zep5vtbX+61B35W4jQAI2U06xK1xWaKhnYF+S3APZO+
qopiFg76fVvZ48Fnlg3e0zdYoIKwxQg4be20YqEj6ZHN2GvOk+3v+tJ+DRXU2iDNBArx1r2P7CRe
lz5iFWzjJrcaBa16H9pCs5LFF+A2mdibBU0pjWK+ywobLvpEhzt1eb3RYRkcEszmVWF/9bz2Mosd
AF3u+BTolgKcbpttkPDwzKXyIQyH5yJi5VzX/juOEaq7KO3WOi4ebKu/8J2uuaoD+5RWsC/cCoQ6
aSor8iFuiiSSm0hAjoyU+mga4CBpCFzInftq7zg9TTHYzK3SXXGJTBNf7NgElPB0HQVQ2lZAIyVk
5GFypkNVSOti9ojIG0jh3HUBsMsx4BXlAq8enPQGNBR8FB5CoxEBJdeMl3IrLnZN78LeLd37Oi9x
JoMcvZhUe4wbVa8YARn00Ti7WXqbm6RU3hdSPl501DNqnSA89Da4grhIdr3d6f0oR0QDMnLXfjmE
1/Cib8yYUSo2w+UXBwSl2mjduYyoStyHICy20Dl2o2KhyYFWHK3EeAbclK0U4wpB08pZ2PfHYJgb
zpq02QKq8w6cv+kJwIgmyIhTDuuYi1cfRTBNHzOrWbg7FiAC03bNItSprX3sZ896SN3jbAQPU9de
tDm4pNqIP4RR+ycWQ8BU2eGunNqzdm7lB1vLKc1TUJuQUUG80LBX0Q7fT7UB/TAL+a3w2oW/T3cP
5YipiwrlYQRU49SU5Sqo9FMXASpe6mevzYqV4uorA9AvTQjFy0/QAHCTQXlgW3tQ2CIYA/m1Z0eP
otfLjpYhVtNitnTbitOb6DxaJJaC0o7cO3aivtd8qdjLzPLUoGHyQ0biJGC5LAuQuCUFg/WGmITz
Z834v/L6V+W1DQv/b8vr92/Na5v/efj8+w/9o7R2fxMW0ngYpEuB7Sz/3o+lNQo7lvYwRVHi/Gv2
LJg9i0W+74NNQTSFnOgfs2fzv6mk4dv9NGtG1EeZj+hrESu5/GJ8/QfBZiF6A49UMlyKcg6HBNMv
9hsuO+GobJKXg586U11CZ8RdxXwhIFdx8Vy5i/uqXXxYRRlgyZL8+udm8WnZi2Nr/DRvdYuPy/60
dNmiAXI2p/2Lszi+mmAxfw2LDyzsgvTKXrxh+adNbHkObWvWsWsIb+IKzY27Zs+iduYQlBjWTHnT
aXxn4acFLV3caBAt9cn5tKiNi1vNBE7/1JuJYePOrsK7Ap/AHTXtE7U09RkqHSA0uN885c53mOqa
uzEW0U4sLrk56satoUV3ymuGrqMWOQhUa6SCAWu/SnNVPPQA4l59v1QH9qlRvHJmb0RKVLc3nu8l
z4rN6bSmX683Ih7sXZj4DFddldwhq8+2g+mQJWJQnFw2sWaIptrHEncxeihknsznGNiuTVHPD7Lr
8zV772/5iChnJWA+H0zWa5c0FRwFsnbbr6mcmbApPsPHIs/Kq0APyc7okvnUlIs8JWGkvimGwKcY
yKFQZZGRLiEp2cEo4msgJ9kOomsOuNQFGeGF4cHUFdO6hOAMaVgpFL3SI/io1NM9g4d+l+NiXXf4
DK8D6EyHyVby7CtTXzJvmA6Ig8Vr5ojqBGesuyelrhiZMhj5FpUUMLsmsYNjScd/ni1l7pTlGxsZ
FfLW6Exx301O9wUIb/GBVcF8sAeefh77hWse5wZKTH8XY4J74b2qp7UaZchEIyhfRJMOOyuo5UYy
Ctlqmc97Zq4G7NRmxALcttdWV1eX2diN61AMqVplXDiooIwwfIO7ifFZNRamKoMzvViTxphvHYZ3
t0tKBw7+UHU8c0gMKM0KwkubzFCpnNfBHoILdsoI/IRbXzmNRU6ENEF82HNPpGg87kbLCMftwGz5
sp4dh5TgOjgwoSreMxlnN2YNsD/N4/k6d7O6XmVuZLyBKOIpFsWtFa6U9mAhcqD3FzL1fM6vJDml
rG1WooyyDVoh9wU6kPncjNl46YU5jH6n7c+pX2Pcrmo13DZGPH9RBbsAKvN6vADJHz+EJPtcB8rB
0VvH+2HwsXqbbXdnEzmzzV3RTdB3qYG5JqVPwaL6eZV0AFa9Fu0TtkJpgAwIPGZgWRYdidZtjpQp
bbECwgmniAEbSySviconjpGasWExHyQk+i2+ZHdLlIh59hNL6n0/1BjecCVvGzi+12VcxtdN4tgb
T3nia4EBHAkMoK3nNkooZMegn+7x+Il4zeLV2M5org+Mb8tTP2PNW5WGr6P1YCh32MmaIXeG0peI
WVfm5ZUBoenJtyRFje9VEWh4pSJOkrSeN3NZfS8WlxQj4HI8i9kvGaLlbppvsmkwnuKhRaSZWS5t
fGHE40YQKoRnNJPK3o1YAKFF0t3f2kQxPTdtJHt49nZTq13hVfAkzkwygjHlg4vpeu0dg7+4DAnl
nTwe76PZt+Y9iUlA5R8Jc6i7u27BNABWpXuWp7n+dBd1BO+M9cYZ7FzfN5/2IydmHSPhJhemdh/L
IdPkwAU1sLGd0fdd9n1ii2jle/CnTcODi9nR/+qAX9UBkLV5kP7NmO1d/9/5fUzfqh8NOUi3lh/7
5xp6eao7JAKHmMb+hCO3TEZpCHRNTmjWyj8acsgboxRgkBagZV78ODyw/ygFhPWb4EajesB5AT2c
sLqf8Cd/i0NZnvz/mrG5+FR4eTfA+Ea9gf/tJ3+BYkc561hmlw0AnenVYUeGfQxFmLM1iRKTzMn1
khdFZkHVlsaxogN2mzU+H3moNMxpnK/T90Zgxl4bZu2uR+6j+WKUnv+umsLfcJ7RaquD7GJwzJjM
Cj059wana9DHi0rPZu1U+JLDzpzgTbvbfJ6zJLw2U6PzCU/qBwDotddBR74XEoj22tNDZ34phC7S
aQWFG8RRk1To0k4p9ID1GNBG2gNbKCRw8ezmIyK4geMguE9spDsgpxeXJFwsqFDzkotQl+0DyiXP
2gY81QrzOVWogvu9rIfARkVlltDaUyvNASaYirFb2+x8VU83rl1InHWTzvhRbzLmr6QB+un/CvH3
T5TRr25Anxvm727Au6T6/v5/x7Z4ld//dAv+/oN/3IK+9Ztlc6dgNwuJGvnRE8eXeITjG2A+9Gce
kf0bP8HN5VHLOIuj7p83oMM/Rzm9KEq4b/+bmw/n7Z/vPocwTa60xYzBtJvB+VK3/1CXKwhVTQl8
kNUiG7tsSqp7gG1duo2DkPgw233R5TCcqbDTVdbXL0XsGkdT+1d21RdgZuck39StU96GQykZzJhP
bmQCzK0LSO+Vo4PN3BuAzyzUhM5k+LtsGjURWf5VXQxwKkcMp6NuXkNRnj1dnIWh91FXR5uucUHp
6JIImKEPVsOSs2T26RWDFm+t0KytyARTYA4BipFORJVgzmS2mDee1TKnavRrNWqiqXLaeGeiIuzS
j7bI8k1JNNySHHzli3GvKWDW8FM+wlyetTXckXSE5z2Ffm7nZxbIN2TcXTBWIFEqM1Zjkr5OdVdt
KjW/uV1+KgbrrfK9FzW1u6pgotnAaiXdeMnmCbwVVBgyckg9BBwfXAEaecmH4tVHtkq4uL4zm/y8
vANdie4b2tJHtkjxWqbaO1FAOhQlM+l+mWkMeniIhb4LJFlEAfPKY1OEb3ARwr2VOIc4RhvS29Vx
JoYV0F7LG2OaAAbTk530NqTs8cFLpjtdOy+JyE/xWLw2KnutZvcKfCVSV89ptw5/kHbSD9i5N07B
ZzWJDkxuDR/JyU+MVyF0wl5lKAApERhmsrITsoQYMiBxts1km+YLONQYiB+owcPFxvJeJuUrKj80
5Mth2DG7Xy+vVTt8A9LAG92aN51NfZbMF1bAbNcYzIvah10z5MmH4IDdulZ6zvPxgpAz90CjBVQw
5S+EBPREG0U+WOcVDLOINiDegdlOSgxTEjrzZeNmxMDMT42jItYh4wNxOZtxkijDYUdsoip9lYMO
txDRqYbni8GOl/i6Bsa48l/S0fwWKHEd6pREH812A10sWUvNQY3Dw6zcQ4rkgQtVHFDTUtSTWrDO
O1BefT9feNWUbDX1K52AJU6hz5Uwzl23UnYpVnVrPsnYeguFJg0ARjzRB8XJ8ocH1fQPzlh8lGZG
c+fB2OnL8UFEVkJH3NW7wq7YX3tGsrYsEiY+33dLeleYbl8qJbMdCrKrGhfODpPeg+DvJLWWGaAW
3kvqN9MBQTXeJGu8qm2j/kqfFq79LJlI942GW4HscFOMcbRmA+OuUXsOBwV7/KQqdyAr1AuO42AA
EUmmArpmTeCRUU87E8DQqUyg+tpGId6I4/k6DY13aQV5DTtnrFL2OYQmQQjEaSQ2fj7r18ivWLhT
vBbePnOUfMpl9FSOhkcYgQO+f1XaMEWT6MqR+VcwQIjvx4JNgDdBCUo3dTcRFoTw3do0JLEyZyZB
8BRUXbbyfHVVGMmNrNhIs4B+qgxaJpiBLm2B+zrKCbC7tCHNkDeyxRRE5wM/ssaCsyvTEp79VEU3
rCO6VSy5/OfMfqssHA+tKtmiDSYcc5u4Lr/ic4Pls+qZUOCns1iK4XG+dkyfsDubi27K/Rff8EDR
KH2MhubD0M2F4+WnHx46N79XSz8y5X5ynnGKozEMoS5w6/vuX+ywaUYASaYBKiOMZqbSq24dBeNV
6qrzHFne6u9f7c/+vSUNO6T+s01BseZgiP2pYgsd3UtvovyCSl5tpAWkvED+6jE4+MUr/WRvW15p
ESdinzRNm2Lzp1fSvj+KjATkg93lr2HEabgcxxlylTWo9bY68r/M3d//dQzGfqxHf3/NAO4FMaBU
v/5PlrpYyDAJ6KsOE8xR5qHDA/zYAokG3HUDLfDy9+KKucAq/quccYEi9K+vjdsFvRUkQ//nGGjU
a3rOUOgf2rKBFFuVwc0UeclyXFxAyMwPZji+6RYadK7RR2YDcTYN2jjmHdNbgrgolvNFHw88dYV7
CEPMswwdtnagAVNzfAcew3Bk30B3szOpY7vSHe7GMn4y3QRnw+hc9QEST3hv4R78YP0lRoe6dgKO
h79/k//NJQR7it2+5VkYJe2fPli7SMOysh224DYk9Mq8McP5ppwb9YsLaNHY/uUdZXG/lFYs32l9
+foP9U2orWDki1yrYeEcYcreTFZKZ1FwCEsvJK8vyM9dbJW3xTDd+J1Z3rJhQMU0xx9q4FxeSpWM
HL4VosiL2ECmFur+wQi9Kwhue1CAKFDxEK3jGA2LGu3xJXbtaY+xrd6O6YTAxmzaO5mPT2PDY7+3
U+fEch8vjIc70JHpR5Syr5U5PjYYiNUeFvFHVM1PQdzv5o68w7EWh2RyD0kiSXIg5QLm0njBpgp/
Rj/f+JMi39Dm3w4D42uzuHN8ixrr7z+wf3PCiMV+4bP48pFk/PSBzb4BvtEQ8jBr67OcGDnZ3NrG
p6fF4e9f66eO8PMOdMEz82kxh/6LQ7uxJ2LbnEke3Hy4Ix/1VFa/OjA/76Qfus7lNXy8+g5uVMsO
UT//+bpIE5V3hWnSQoZDvWtTSMtONL8tJz0rnWnfNdEpt51DaNhXOgpJOZLFyRij5zbLvkGEx3KB
JIIdUCYOzEJ4yIacTvVUni0r/pg9jf4JV9WhEB4BoGyjVr05t5dF6m0RdDwGJAauPBYuRxwm0xqY
Cw4hMojXii38zm7wiQLQsvf9WLPptNMPV3IJqjQ/D2N+yt14wsCcUaBamurXqtdSssAdzO6uknay
RYbyC2+z82/uWD6L0AkAyIB6+NlJvYxVx2oq5cEqaBSGpEzXKXNjnCc5f3PCO5BSbqGICK5K16vX
UdsgPLXK6y7jWo5ySZKf7Hc6mvWq86xq0yfmi85qsQlM0jxRXF4tua8wmF2Cb2zYMA0nUV1ppCrZ
9ISA+G2GR02s1v0oqA6hW6brxhjBcZpPE4UY7OKk3osCYlmt72LX61cZm32WbBx8rYfPLTSQLOIc
Dve2Oz+FdTP83ib/R5v9v7lJeGYs/1kCBRKIoz8dNjpWSIH0IA86kBtKnHHla34dx+yxb8S/+ESg
Lv31bIPvITjWmNiT0PvTPakcMYFU6eGO263cWhjaN0GUnSKeVKHF58OgAQfeRIPEBLkjnZAKMC7O
BF8DJSXQYVXJkLQDBALb0GOumGLHIzQ7AFVsYXQNrosQ7UMSUu2PshIYcdq3MpvvxmLC/7Q8jLnM
YpG/RnqpUgEXZrN5Vr3cQLmz15SrhJ9kARFW7tVnezk7oyDDlW8kQfPkGR0/UethV0d9Bxq6S44j
RvnPJiiSBIvoLkdB2OuHtKORDPKYIGxFq+fO+qHpEONODhJYMTzYuXWjjPQkBNWaRZpVKvMJSQZ6
iZL/JxqWC7Lumd47TbtdbqN2dK8qXz948dJAYLfjfoIBUSiqJTPKziM5IRu/5rsbw31RGXEokiiu
y9Ad35qu2+ieN5jd5zllzroOR0pxp3BesmS408IhN65yMXuVJ2PITnOpFChobuCuK040xfsy4smS
AnoAjjc/ebo7YzP6mjDuPuWWezUg6RZ2M62XxmicG2h+qsGZTmVfdM6LjbLoF89j79/c3tQ6cDpx
hXBF/cwkRmGQKdtxy0PrT2+sI+5ak+feQJtFfEi2Weqvz1a76kJr14VUep/3vEwwz2qI52zx3qQq
Bdw9CRMV/VgwNMIH3E6yETwKuQ3HfjoUFtm1AyQMkvScdKsInH/Drx+e6ybEbhrzXMRkH6IxKajy
fTwDBmcMwcFPg6DcMhtRrz0z7ddjzJanCKisYxpDnoeJQPpCIrs++ln/0A2coKziwH3SkoZ9cR76
/s5x+3RfFTi/0yYXG6XnizLRD4TwAY6xyJh2q+nNa+eaRLDuzqc7QEDnXQ08RGgy+wfB/m2p5jv/
H8/X/424fzFhY0m9MFP+84j7vupRkq5fm6pI/+y2+uNH/zFjC35z+aeYu2Gpcj/HZX/suwPxG2AM
CgoKGEbcTMz+gasT7m8ISBk+g14DB+X+oCQVjN941gGLgvmDs575938z5A6Xo//HeiP02X+bUPEg
JtHv/9zJ9FAYJG7c6jAOvqUJH8wFUwhJWm7CXHjnSQ7yNau64BZ6N9HpdirTK/w81WZgrUxghegt
LtRUPH8CJSrPlvdD60VfgfaMN/VMWNsBK6N7AOZbUqPyHl2kS3tGDGGFo3/MPZImjTFDAMXUX1xS
5ydXuVXRLxaQa1hrqUIRMZnGgE9JeESwg+pt3MxDRhBMCbVi5YeTs8uN1rlOrGy8yZPIWeLMB2Nr
KgNmRgRok4WXK7ONIRI7OQ5ji6wH1MLZNhrWYJ2N9bQvhTjpORBHTk0Tpy9Mgi9myS+1UWXUvfMq
kDsaR6IZinosG6ugJnmYf7iYtiG7+uMY0bqsCZ8jmROcOHMYsGH+Vsxm+ZHygR9c7OM3nnSh4lpz
Gn2fPZcTOLd0+wzee0l85zd7dthrP0tt5nesMxGWjWlyrftIPsApqK67FhH8BevF2MUVz3QLx5Ef
tKuiLKyIbbkir2fGjXFLvsC0VTw8OKesCNqyKQi5plEdfVJ25vqrFQfBTVRQyeBnbUxrQ/waRp8Q
APvOD8qWx5l/HOuyvs4tFd64LdjXS4IE3EPL+7cD8RBekuul9nOS6MuF9bAbkwGjOaL76t6yVHBr
0EfQpWBsQaPlHkqLZxLPGOshqnLnmJKgdjJwgh3H3q+u80YNxv3slBN595l1cuDrkk6U9w7PZht9
/WyUBPT12JyAdKtvmufXl6av7OfanGAQhIy+vDWZfu13yyjZp3YJ2c2BnsLbsY4TlEROeM8zKib1
csaUH44NMyZ3EF8Z4LUELRWGa2+6xNCvRCoFeGOt8LKuhR/v+smMT86YyfQQ+aqbj33PpnKfRr1x
aeP4JbeZTPWtMMeAHKwWJUUHTx184CrWdX8H2MDNLxMxhjd1AHQJrK/nPUprcs4J6kkNkr4gXJTo
nozJ59rDTyL2MchsBMFGluka8y1vRHOY3LQKvqihIqmlCzVQ+doTEZ/PkjEOra5Xehv4QbCLG2u2
+0PEJKs7dR6KyiMIoCl9ZqcUErbJf0t4qm2+AMQ37ieN4c/Oo7NflsNFOnTtc6LKqygU8SV5SrBv
M3z1gJhtUVaOcYpL08cSxq730RVmukvnBfKOBZlwrCnfwYjEfwaf64hhRT+lnU1UW5hU5zZLFKLr
7i7rrWSD9pg62M9si5wgrqEnzyO+68DtbZDnJqJ91SDeWqEqLWsWU1a9AdIObTofYyQedht/x/hF
9tpkpizbWZj1m6kbxwsDo9ARXxAZbqG8q+bgsstaaNSD1aJAr8aTTsk5AZxWMFomnkxVDNwNx/iO
EHqrkDGuMXvsxwDF5JTa1orJun+FgfC+m9sYUa8GiJK5T+yTiVLse3D6U19d68C8w9JqsxKgFTZa
6obYQV48FARuBLUX7yKJbztz5YUp6/Y9m/wrMsujL/iGNKI5VdxLj+I2g9KwnnJEBA6Gmhu8pGKn
KvgtOkXY6wCmTFUw7Yk269YJqO0d0GUc6QY/ZTEPwMjSVPUmD+YvFdk5S4DV9Vw3507n0bq2E6aV
omr2KpLNLvMMMANNpK+9lvgd1DzfQk7bPQkowTYF3rDDTpGtkTJCssbic5gripliGICLl6l1Qb7I
sOr9+GuV2u0mtuh8cn+SG3RNRKp0VfOsM6UPZhl3j8x7Oi4MbezjZvzoG6/YT0k2bbtGWw8DGLCv
ZPsZJQmjiXP0MqckaIou49h7dAtI8B33QqqU0PoQgxnUDoxudZ87pwDP5Ho0DP+2rxNiN2ceTVmJ
8b5znZKrwpt9IoUU0oghn9NsG6i0uwtbFT2Fyl0gVGWEoJ3QPyKv1DdyKCt6EwIOX2q/KHdWTzMd
pXawK9su3Fd4jL7UOjKfwyY2tt2Ac6eCSnMFl7lCMaqbQynK4FbwhTMODeOaVvrJh+9jrq0Q9RBp
wN5VY0cWLsCxy62TO2bxZZiXQciMDCh90aUQSXObqnGlvHTeOBodhts51XqwLXEloghDf5mMDVlN
Mt0TDxQgfPdz8mjiYtPUcY9stDeeutpsn7ni8PunPWAIUzSLkLm6Zdhvgl7M5SboeKf7gsvA0TsT
aNB6XJY2NhLv1dA6xrEhdeddsEV778tmIcEjksNqEKHMboDDnSRjErHOJoUuhqzjxwrFxl0S5lj/
WGFv61AFlyqyvxph/5FC/X3xbA9H2CTNdeu4j9JxjTP3VL4mtwEujcU5N08qeowbZ8+A9Wvk9WQi
KnePQbVbzdE8rEU6vUzDFG66Ag207xNWAYJ+NQjzmGMU3eLiqt9j7FarPDOqDW6c7DDYrOTI+sPe
MXuRBd3Fa7Z5q/NbaXlXMu7kJSO+fluiniKmDGI4yuWk0fW2tcr5arHW4KZpv+M7fmANQSlFfcE0
xmJ5MeBiJoVuw3bRVisidBDOuWopZshq6+jqVsTg4fmQEfDsPH8wbI/9mVbm18QmUhoOuP/eWM0d
u/yPiO4jaMhNDQ3/C/Anc6PcLt2PuemfwimaL2sTP7Iv1JcqphcA13lC6xVxdtb1ljU+wP54wD89
TuVRDDWCJHS7mWc9pnrKiYFl7o+IytoBlWfUkC0pvGa2b4aiPlXdeO/MkH/IPZJsNpESJ9n8vaP+
XHeir+4Z2w/kds6811EpJuYpmCZd1kCrSbblDptjuWqM4C2K7Rew3tEXU7niGtllsS4D9xZPHdeV
+1baJVHXc8+iDV/uBZbT6qJX9rtf6jV1wXemniRDYVat17hi9SGoIzj7Tu1sU0WM5xB4yZ6Kxb+z
SJmArqyznUn1eG1LP7qBA39q+NCxr+/ThADciaxtIjm5RNngbaZkRDVvAf4UdfY45rXHVjXp9wiK
3X7lE6h+1yd9tc5oBX1MlK4XVzh2RuBaqvU2rTc/dVkKd95BtyevwaPFa0eHdHnVB5oy5MtlsUoM
8zrS7fVcQO9JunbdIJbPQOuwF0U/3Y4Puu1vaqu77khsplrDF+HNTNo6GFNYMXNqQLw7YI5hbwSk
AWxcAVF6NfqOeykzGGdeqZA7ec3KnnwUKYy55hu7kfnvY5z/NX6/avzQt9CJ/efG7+Fdyve2fX//
UVchfv+pP3q+wPrNwymFSOJ3CvkfDV9oon12Me7Z4FHxhwcMzv7wDhLlhJ4C5bNjs7paGsV/qiqE
8xtEc5SnLNLc/zrlyfH/snmAc+xBoTDZPiBy+nnz4E+NMBLtyqOBntaq90Rkx9mwxcmsobmV1Fkr
y/NtfdnZ07QuW8XAqoUs4XOqHlTpkFDsRsTn0raCnlKO98ABlW89eqZNHHutu9aN2JaxN74AnlVq
MwlXvIYxGfd2bRbrPgRyo5LYYRDtf+9l3R0H0cZ7lwfEBoWyAqmTk7Y7d/1+GsAT8oxxqtUcju2O
2LMStE+QF0hCqhenVsGrbNryCGRr3pmpt+tb39+YHavQIUvja6uJgoOc0uLBThC+Lo81hMaCQ/gl
sXq1twdjPoEUWoo12/O+RYFfE/ddIhNZlRgKz1UzdY8QvQM03bN51+vG3sgC9VVvhWczw6wWlHH8
Fbt4wsQvHw4z4QWbPOWsjTKz2Tc+GzudOtjGxHRb1ZV/bKQN8oLck9XMqX8tF+KOzDduNeY3BuXM
yo+wyCNNCLYF0TikHyr3vlmYBlo55tpER0t2xtge+3Y2DpEx0yrliXFi/l1vczzia2iQM/hIszor
L/HJuguMhaDCfgjWhLO1LZc8o6h097hCSkyaRFWwBJhv68Fuzz7JEqu8tx+AoY5vE932ttUZbaaf
t7dzznmMZLPYeX1F1E09TndOmvnfeo6vWk5fCdZosYLy1O0HrJYI9qKnIUirHTJZ7ztgz3xiO2Bn
59gtl0FZDcpgHLtyG5SYdVJGCiC+mmanPHqGyVw82aDusJaAUGymJvwWNFJ/oBoNd/Pib6NUL+WW
+8a5dRj44RHK6sekt7LHgLXAq8Gaj4UagWZng/jTi8BYrCylyYechkm9rWNaZ+wmwSah5TtF+Mqv
hTVU50Jbj8loML5nwaoOxJfkt2OljFMgxXANYyqEGJZSzdSFQ9ZtSsfpH3oDpeCuwfMJn6R3csBR
/ZKzmM67TNpDSGHZiF3i1MHa5iG5dB52eZj6gBp7DsmzYNhCnnNh48oTeh7sTaZgJVKFpKvRnssb
w2B76ipSZ4ltOjee/QrZ1Y8ulSjG5KK2imePTJ27snL3kRFYxrFNeyey9wX+vdxfDaGW4dvsTAod
VTTN1zPzhpu2t4PyjW0tFQZMkJUMuv7RrUdxQ+hNQl2E++zBiVrGp01vbQncCU+68m0yDqO2mDZ1
4tV39WiUmV6n0xAfagcu4KNdaIc0JNfMJUGXqB4r/wRoJWiNTelmUDM4KHnfy6GedwAgGJ1sqzgy
v8wJXq+1iS3pityt0n8GyWyrZtuCkLyVY9hH38kAwB6RzuGKEw6igWOwOaVI4cp1c6TpZc9SpXGs
fD0OBQMiswuzb/A5JuMQyMGE7lgVYFSroIczMvQNDrulEnDOGknyUznV7mtusfwHmTlZMX6szhxW
UunxRsJj+c6wocv3DA0GZluTohMeYF4wRWfMAnzNzXnJuYgbiKKjaT2AxqwIhm4L9hXg0tI9Zx+v
+DtrEysChrMyxrXH/DmU1bUfTHZF9mWvEtFdIAp1zU1VDShS/NGP0Z5K73ociKJzl1A60ywGwqhc
3mPmBtH0UCyJdw3a04YA00YRSVyGGh0L6XgydNQxT0Pu+9GNNu5njJ7dC3/fW3ayl/4Q7Kslb08S
vDfHSANXjeVWmCHI5Ytw9u0q3RHWVzjkxa7kZ4hfv+T5dZlnnwIi/twl6497FXeGFXvptokrYezQ
fQLJKOps69ktDlqhXWNFLKBE4wUeIxh8Rtce0zb3M2rQFuHFJAJBRjap0PnoxGw9aROIFu1x45bt
PL2pSX3jGdVcMVz1dtqPjHVKMHJAlJ0y7+PZinajmRGC7MTtreMYEQ8HWRyL2G+vqy4wdgX5l6dB
mtEbWW0uagZgfD7yNY7O6EAUhPmS+1a6IUQ0+DJYaqxWXWTXpNGp8cKf/fnMJjJYxQrrSK2njGpe
0MyparhysD1Q2zlo0kxiSJGxWxgbYOhsM2r4G3b72TZBH9cWC/AQAOhx8v6fvXNrThtbovBfSeUd
Snehh0zVMcZ3O4mTODPnhVJsRhK6oQsg9Ovn2xJ4kLCd+Eh1xnXqUHmJsVubZl96d/daa7U8ldMI
iDq9uYAzZBJfZTZYjdcB/EAmKbf5cVoo6IyrbPGWourHpFORDeL5XwrYrI8UmUykA6b302LjAL6k
/XGioWZ6avABThYZ7X2QqWguW2Op/a6qCQSmK91a2LTx5tdQYsoz8ifxCTz56gRaKPnMyBL1O9Qo
i4liIRi8kDPnZA6VxSSN8uDGl9bJ3ZJ1eM21Pv1EC7V1RbtMNOb6ML/iJuadJqq7uvFjvRzTC2yc
Qc/x72SkeVcQzbrfp6RnUJOWIdWdZwaRQFgGgHQBnMehKt1khRvmY4+V/0mfm8WppRipTbcEeHrD
B8te5p9pcylQkAtHxnnIteuzb4hGPdiVfqwzBy2fIoRwEwT7uSs53ylrGVwouIXTlYzm2GCj0kPq
AySV5MHvRTSVJlrqLODl86RLdZABU+D0TwTnLWgDLsVUGuX8G/3U0AjDGUm2UDOLiTUgd5qtCsMa
J/TOjEkhCGpZR6FeDsEq1RnJN2SImln3o1KFg3+ZrvJjuAB1WymI5QuNW9aRKc1h3U1TH8EqgMcb
1/yipvORw5GH7Ijjfs0MaMQ+V0Hr/+P7n8X3FHZotnk+vq8LO4cUIaKswx9uQ3woQuhMrqQeVF3X
Kjq8fRwjLW8qlHgaEhsilt9RhMADohHzjNRHhaIteEFDTWSk0yVnqEAYqgvAK+o6iipq7Ht1HYj6
qA7B7kcfE62W9Gw1S/4WxMb5dJoMLjVNXn0G5RBOSi2FNSwo/Ym5QOpQIr64hfZydQrrTTmRSaqc
owhEIOzH669I6YWXakaPv5zkI8qNEpzbcGlE4yiW52MTdBiycM6tQxOQRnMpMt4pndRadLde+p/W
CvkaxP9G0IBS8ERYFkH0TBTFwwhuHM2XUKXWAuVLHoE6WywU1g716httvcq+RqpFDh2cxTHLJXiQ
BsujzUj9Rp/Zn+oC7h9zuoSReEMSOTaElDSyfUdg2MJbb14uL+CmSC43pktjQQESEfKy0jueB6AN
N2vDPA8d5AXn8zK/0NKpdZJnS7IDflwaxP+SdMPBqRQI0CMjuyqofRyZBfsYJFVg+0oplSbSQiON
qif6lZSOzoJAuV1InJMwhcvXUNFdRtMipM3AWopjECiZK8hnk9H0JJdgnWXCxBMkP9OjBK6pI48M
vuOryEZHeXhZwnN/YuoD8yKkJQJebmo2S81cnBQK+o9nRcTlcqxnVC78oPyS6GT21hv3jrKU8o1+
dOO8gKDzj0iOQT3CyncsbdR4erNIN2ACOUe8lF1q4MrS5SqawvYapaoPbMNbx6PBvR8UHAJHcbAc
lCdLoNqk3SNIEccwN0C5DldSkh+hjLS5TdRohLahJQ2AnCPjTlS+SugcUJBjoJAPtDSMSLZ6MjrZ
RRjltwOa18gSeYPQzY9GZaau6Cn29CtiRLRuZVKtk4FfUqWCmYMEypy4+WawgdZxQJNEwb3uNK4x
3PEW0u3XCG8MZeC9FzX6m2tWLrDgAheelhVG3MpiT0DGUxLR8/Xnae6Hp1EtSKWa5Wq1PrGmrrQs
TzXy4yInXIHP1hUSbbCqYGngFoPQghOkgqxxHFUINr8GtK29aAO8DTA/WDdZwN5iAYBbV1i4TYWL
g2wHjBzqUQWSBQI5N1gKFB1R8uDOrbB1SoWzywXkzq/Qd5GVUIdwkpJefmV6GwUuIGLA0mD25v7C
vZvWSL75RpHHoQD4lau1sSKeEbg/YkZaf2VIyC82AhgYC4igR7+Cg7QswMG0whCqAk7oV8hCXYAM
EwE3DATwMBEQREOAEfMVsESjQigyAOm6lDKdSz0AxkJAGT0BajSyNLqDEYPii5kI1KNWISBlAYZU
BCzSFQDJ0cIEK6lXuElHQCjlgZyXHLwAK/MKY0kbGnhLWUAvXQHCXAo4ZiKAmSYITVde6R/hTXe+
Tiv4ZoXkTASo83/rQNye7ILvddKWO38Etol3K4Hvr/F/9ku7Q+dpQ78okQ4vXrt3ohpUJdD+ko3A
zmnOe5h9eI8sH+g7wsZKMIrONY7eAIap7duUfoa8owIApPtavEhzcabvOek5N7z8CQ/l4w/tND7B
PQRYuZCdd7y4IT9GD2crzHjGBy0Lf/tAtYY6zewmScTHz7jvAwuUpExqUCjWVK/6gf99H9gPaDYe
e5AHeff5flqUvq02X8QzTmiZ2HOCOYSl1TAsGe5h8SJpuu8EWbaGcPYjZaTVLY71A9+QExTgkQy6
EXG+2gv6UOBkhURc/VUTz+17wbSGMlqNSG8ZtZeIOf+R5dD6HmfVTnX+8OG9gEr84oJo2dibC8pQ
QElgPeUoFK/WXKCjCgYPFS0wZGvE65/aFFqfYM8LpBtpweo0FxQ6yiy2Rroh61fbC+IqwcZIbbN+
/+15gRJp+w722hXBAUGbvNj+tpsf635/RYxYEYBUVRDc9Yp5e/sCW1e9TOtG7scj9zXHpDYcmZog
xdlufu1jUh+abBkmnd+1F97cvkBezOi6O3J5tqBF0eiueZzx+3PB1IcG79AxuZ0rb88L9H/Wy7TD
XJCAbHNQbve+g93RNIcjlDctlO3quVAvwTd0UqrkWNq119fuC7BAaEDkyM08fUYQNKnME7xAHVS8
XuGFX3DVYyQ+dr3goYrBvVlWreg6tPzpL+zi00MD27hTnKYiuGz8osh61abrw0b8/7fGMVTFxntv
7mLl6jnbP99+wMNHN561+1S7H555s9RO791N9cZmO8wbOySO/1dg/7BDez8o5Hthqv89kg/vG+Pc
Ox1/YrhFNIYyOLeOznZTr4ybDd0Uy5mV3Q37dpTZ2c5SFRQhFL77/5N5y8dA4SVXjO0A8HsaeQ03
17F311Ej2B2n9kODx4UcJRtod8v0UdznHgyZO2PCJbSMsSK7Gj+eBfbaThs9GhBK9ODs3TXnXfzn
O5yzDH803Q7EqodZeILXvYfG98l+JkLHrp45ncWp0xzyNjTvavkMj3veboTV9IZSr4eZcv5gu40J
SO5Q7mELOYd0AlLY5oqsQ9OuvjiPHuBoaH5/YDt7+P7O43XLrDXiMth1wJeHe5MhKz2sl0tGtrz3
N7shVvOCW1wPi+QqXnrZgZsBzfYwN65tL2rsHmDu+zherm1kydqkPCB6evgKr+0ss+/dZTbL88ac
pv6j9eES7971HLuZ5KrvMF1n37UneuranPxkdHpYMNdelol/i0Vjb6LJSerJerxM26Z7GfjzQl7P
c0T9UsBw8wJNa2fTK7t5bpELVnsIn26glDuzw0VGoaqxMLFv9bB6hP2LWZrNGjsVt1NROu06v4Xx
5/nwOrt8/e6POPV3wxQ77PZW3XnclVzGUyDHbVKznwccFtsxL4Q8upr/6HqNwEGpKxOdzfoBEUnz
VoNpq4dN9mM6c9p1BPIW3V3xibZlITtmt64JSp156OqSnxHOdZzjdVPGUxNxh7bt5QGHE3HX9dHR
/ItN451tF81b5TaN0vUr/Zbb7m7eiT2FTjqlh2j+bpaGnGwNyxzFPZzFdx43m9b0prdcMCV29cV3
m3MHJFBzaZJcRuuyu/FZlr97cvBkLXu4DH/3svs4yrxG5KYagA16GPsmpvbn7AxV88SA9Gv3g+ey
Gk9lmh7Lt4f5p11Z9qk/aybXxG/cBzM7/e0vAAAA//8=</cx:binary>
              </cx:geoCache>
            </cx:geography>
          </cx:layoutPr>
          <cx:valueColors>
            <cx:minColor>
              <a:schemeClr val="accent3">
                <a:lumMod val="20000"/>
                <a:lumOff val="80000"/>
              </a:schemeClr>
            </cx:minColor>
            <cx:midColor>
              <a:srgbClr val="6B8E23"/>
            </cx:midColor>
            <cx:maxColor>
              <a:srgbClr val="556B2F"/>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12.xml"/><Relationship Id="rId7" Type="http://schemas.openxmlformats.org/officeDocument/2006/relationships/image" Target="../media/image2.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5" Type="http://schemas.openxmlformats.org/officeDocument/2006/relationships/chart" Target="../charts/chart14.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chart" Target="../charts/chart19.xml"/><Relationship Id="rId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604838</xdr:colOff>
      <xdr:row>4</xdr:row>
      <xdr:rowOff>161925</xdr:rowOff>
    </xdr:from>
    <xdr:to>
      <xdr:col>6</xdr:col>
      <xdr:colOff>504825</xdr:colOff>
      <xdr:row>17</xdr:row>
      <xdr:rowOff>80962</xdr:rowOff>
    </xdr:to>
    <xdr:graphicFrame macro="">
      <xdr:nvGraphicFramePr>
        <xdr:cNvPr id="11" name="Chart 10">
          <a:extLst>
            <a:ext uri="{FF2B5EF4-FFF2-40B4-BE49-F238E27FC236}">
              <a16:creationId xmlns:a16="http://schemas.microsoft.com/office/drawing/2014/main" id="{66885CD8-BA2A-4A69-9AE6-CC99E96F0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23</xdr:row>
      <xdr:rowOff>0</xdr:rowOff>
    </xdr:from>
    <xdr:to>
      <xdr:col>7</xdr:col>
      <xdr:colOff>241300</xdr:colOff>
      <xdr:row>36</xdr:row>
      <xdr:rowOff>123825</xdr:rowOff>
    </xdr:to>
    <xdr:graphicFrame macro="">
      <xdr:nvGraphicFramePr>
        <xdr:cNvPr id="17" name="Chart 16">
          <a:extLst>
            <a:ext uri="{FF2B5EF4-FFF2-40B4-BE49-F238E27FC236}">
              <a16:creationId xmlns:a16="http://schemas.microsoft.com/office/drawing/2014/main" id="{18B2DD46-FA62-42E9-9141-D8720E84A7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23</xdr:row>
      <xdr:rowOff>0</xdr:rowOff>
    </xdr:from>
    <xdr:to>
      <xdr:col>14</xdr:col>
      <xdr:colOff>547688</xdr:colOff>
      <xdr:row>35</xdr:row>
      <xdr:rowOff>100013</xdr:rowOff>
    </xdr:to>
    <xdr:graphicFrame macro="">
      <xdr:nvGraphicFramePr>
        <xdr:cNvPr id="18" name="Chart 17">
          <a:extLst>
            <a:ext uri="{FF2B5EF4-FFF2-40B4-BE49-F238E27FC236}">
              <a16:creationId xmlns:a16="http://schemas.microsoft.com/office/drawing/2014/main" id="{8BFA8AAE-07B6-46DA-92B1-7E6391D68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23</xdr:row>
      <xdr:rowOff>0</xdr:rowOff>
    </xdr:from>
    <xdr:to>
      <xdr:col>22</xdr:col>
      <xdr:colOff>21432</xdr:colOff>
      <xdr:row>36</xdr:row>
      <xdr:rowOff>8186</xdr:rowOff>
    </xdr:to>
    <xdr:graphicFrame macro="">
      <xdr:nvGraphicFramePr>
        <xdr:cNvPr id="20" name="Chart 19">
          <a:extLst>
            <a:ext uri="{FF2B5EF4-FFF2-40B4-BE49-F238E27FC236}">
              <a16:creationId xmlns:a16="http://schemas.microsoft.com/office/drawing/2014/main" id="{4610D047-7233-4728-BC71-9574E3F67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209549</xdr:colOff>
      <xdr:row>4</xdr:row>
      <xdr:rowOff>85726</xdr:rowOff>
    </xdr:from>
    <xdr:to>
      <xdr:col>15</xdr:col>
      <xdr:colOff>423863</xdr:colOff>
      <xdr:row>18</xdr:row>
      <xdr:rowOff>114301</xdr:rowOff>
    </xdr:to>
    <xdr:graphicFrame macro="">
      <xdr:nvGraphicFramePr>
        <xdr:cNvPr id="22" name="Chart 21">
          <a:extLst>
            <a:ext uri="{FF2B5EF4-FFF2-40B4-BE49-F238E27FC236}">
              <a16:creationId xmlns:a16="http://schemas.microsoft.com/office/drawing/2014/main" id="{A7A09FB1-2FAB-4CCE-B13B-0063D8134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614363</xdr:colOff>
      <xdr:row>38</xdr:row>
      <xdr:rowOff>123825</xdr:rowOff>
    </xdr:from>
    <xdr:to>
      <xdr:col>14</xdr:col>
      <xdr:colOff>600076</xdr:colOff>
      <xdr:row>51</xdr:row>
      <xdr:rowOff>94298</xdr:rowOff>
    </xdr:to>
    <xdr:graphicFrame macro="">
      <xdr:nvGraphicFramePr>
        <xdr:cNvPr id="24" name="Chart 23">
          <a:extLst>
            <a:ext uri="{FF2B5EF4-FFF2-40B4-BE49-F238E27FC236}">
              <a16:creationId xmlns:a16="http://schemas.microsoft.com/office/drawing/2014/main" id="{5C6BD313-9050-4484-B8D7-3DC32C91A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533400</xdr:colOff>
      <xdr:row>38</xdr:row>
      <xdr:rowOff>71438</xdr:rowOff>
    </xdr:from>
    <xdr:to>
      <xdr:col>21</xdr:col>
      <xdr:colOff>628650</xdr:colOff>
      <xdr:row>51</xdr:row>
      <xdr:rowOff>107633</xdr:rowOff>
    </xdr:to>
    <xdr:graphicFrame macro="">
      <xdr:nvGraphicFramePr>
        <xdr:cNvPr id="25" name="Chart 24">
          <a:extLst>
            <a:ext uri="{FF2B5EF4-FFF2-40B4-BE49-F238E27FC236}">
              <a16:creationId xmlns:a16="http://schemas.microsoft.com/office/drawing/2014/main" id="{DDFA0A8A-2394-4EE6-95CE-8FD747C67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338137</xdr:colOff>
      <xdr:row>42</xdr:row>
      <xdr:rowOff>123825</xdr:rowOff>
    </xdr:from>
    <xdr:to>
      <xdr:col>7</xdr:col>
      <xdr:colOff>80962</xdr:colOff>
      <xdr:row>56</xdr:row>
      <xdr:rowOff>156210</xdr:rowOff>
    </xdr:to>
    <xdr:graphicFrame macro="">
      <xdr:nvGraphicFramePr>
        <xdr:cNvPr id="26" name="Chart 25">
          <a:extLst>
            <a:ext uri="{FF2B5EF4-FFF2-40B4-BE49-F238E27FC236}">
              <a16:creationId xmlns:a16="http://schemas.microsoft.com/office/drawing/2014/main" id="{2A6D63B5-7A46-4FF1-AB9F-26BB7ABC9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633412</xdr:colOff>
      <xdr:row>62</xdr:row>
      <xdr:rowOff>176213</xdr:rowOff>
    </xdr:from>
    <xdr:to>
      <xdr:col>8</xdr:col>
      <xdr:colOff>23812</xdr:colOff>
      <xdr:row>78</xdr:row>
      <xdr:rowOff>23813</xdr:rowOff>
    </xdr:to>
    <xdr:graphicFrame macro="">
      <xdr:nvGraphicFramePr>
        <xdr:cNvPr id="27" name="Chart 26">
          <a:extLst>
            <a:ext uri="{FF2B5EF4-FFF2-40B4-BE49-F238E27FC236}">
              <a16:creationId xmlns:a16="http://schemas.microsoft.com/office/drawing/2014/main" id="{5C47F4BA-54B0-4F40-BBAB-96D7A532A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261937</xdr:colOff>
      <xdr:row>63</xdr:row>
      <xdr:rowOff>42863</xdr:rowOff>
    </xdr:from>
    <xdr:to>
      <xdr:col>15</xdr:col>
      <xdr:colOff>300037</xdr:colOff>
      <xdr:row>78</xdr:row>
      <xdr:rowOff>71438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419A2EE8-20F6-437A-8974-D89E8BE96D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5443537" y="11444288"/>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4</xdr:row>
      <xdr:rowOff>280988</xdr:rowOff>
    </xdr:from>
    <xdr:to>
      <xdr:col>2</xdr:col>
      <xdr:colOff>1059180</xdr:colOff>
      <xdr:row>6</xdr:row>
      <xdr:rowOff>260795</xdr:rowOff>
    </xdr:to>
    <xdr:sp macro="" textlink="'Pivot Table &amp; Charts'!B5">
      <xdr:nvSpPr>
        <xdr:cNvPr id="10" name="Rectangle: Rounded Corners 9">
          <a:extLst>
            <a:ext uri="{FF2B5EF4-FFF2-40B4-BE49-F238E27FC236}">
              <a16:creationId xmlns:a16="http://schemas.microsoft.com/office/drawing/2014/main" id="{9BEDBE62-87C9-FECA-1897-1A8CD0188423}"/>
            </a:ext>
          </a:extLst>
        </xdr:cNvPr>
        <xdr:cNvSpPr/>
      </xdr:nvSpPr>
      <xdr:spPr>
        <a:xfrm>
          <a:off x="809625" y="1604963"/>
          <a:ext cx="2011680" cy="941832"/>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rgbClr val="000000"/>
            </a:solidFill>
            <a:latin typeface="Aptos Narrow"/>
          </a:endParaRPr>
        </a:p>
        <a:p>
          <a:pPr algn="l"/>
          <a:endParaRPr lang="en-US" sz="1600" b="1" i="0" u="none" strike="noStrike">
            <a:solidFill>
              <a:srgbClr val="000000"/>
            </a:solidFill>
            <a:latin typeface="Aptos Narrow"/>
          </a:endParaRPr>
        </a:p>
        <a:p>
          <a:pPr algn="l"/>
          <a:fld id="{6D65E00D-41B2-428A-BA8C-EF80D847675D}" type="TxLink">
            <a:rPr lang="en-US" sz="1600" b="1" i="0" u="none" strike="noStrike">
              <a:solidFill>
                <a:srgbClr val="000000"/>
              </a:solidFill>
              <a:latin typeface="Aptos Narrow"/>
            </a:rPr>
            <a:pPr algn="l"/>
            <a:t>$117,278</a:t>
          </a:fld>
          <a:endParaRPr lang="en-US" sz="1600" b="1">
            <a:solidFill>
              <a:srgbClr val="2F2F2F"/>
            </a:solidFill>
          </a:endParaRPr>
        </a:p>
      </xdr:txBody>
    </xdr:sp>
    <xdr:clientData/>
  </xdr:twoCellAnchor>
  <xdr:twoCellAnchor>
    <xdr:from>
      <xdr:col>1</xdr:col>
      <xdr:colOff>14288</xdr:colOff>
      <xdr:row>6</xdr:row>
      <xdr:rowOff>390525</xdr:rowOff>
    </xdr:from>
    <xdr:to>
      <xdr:col>8</xdr:col>
      <xdr:colOff>114300</xdr:colOff>
      <xdr:row>11</xdr:row>
      <xdr:rowOff>414337</xdr:rowOff>
    </xdr:to>
    <xdr:sp macro="" textlink="">
      <xdr:nvSpPr>
        <xdr:cNvPr id="33" name="Rectangle: Rounded Corners 32">
          <a:extLst>
            <a:ext uri="{FF2B5EF4-FFF2-40B4-BE49-F238E27FC236}">
              <a16:creationId xmlns:a16="http://schemas.microsoft.com/office/drawing/2014/main" id="{60FB40FA-79C1-6822-2615-EDABE262B838}"/>
            </a:ext>
          </a:extLst>
        </xdr:cNvPr>
        <xdr:cNvSpPr/>
      </xdr:nvSpPr>
      <xdr:spPr>
        <a:xfrm>
          <a:off x="661988" y="2676525"/>
          <a:ext cx="7900987" cy="2428875"/>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8</xdr:col>
      <xdr:colOff>161928</xdr:colOff>
      <xdr:row>6</xdr:row>
      <xdr:rowOff>400048</xdr:rowOff>
    </xdr:from>
    <xdr:to>
      <xdr:col>12</xdr:col>
      <xdr:colOff>1009650</xdr:colOff>
      <xdr:row>11</xdr:row>
      <xdr:rowOff>428624</xdr:rowOff>
    </xdr:to>
    <xdr:sp macro="" textlink="">
      <xdr:nvSpPr>
        <xdr:cNvPr id="34" name="Rectangle: Rounded Corners 33">
          <a:extLst>
            <a:ext uri="{FF2B5EF4-FFF2-40B4-BE49-F238E27FC236}">
              <a16:creationId xmlns:a16="http://schemas.microsoft.com/office/drawing/2014/main" id="{F3FFEAA1-3553-40EC-B203-38F0B96E54ED}"/>
            </a:ext>
          </a:extLst>
        </xdr:cNvPr>
        <xdr:cNvSpPr/>
      </xdr:nvSpPr>
      <xdr:spPr>
        <a:xfrm>
          <a:off x="8610603" y="2686048"/>
          <a:ext cx="5305422" cy="2433639"/>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1</xdr:col>
      <xdr:colOff>90488</xdr:colOff>
      <xdr:row>12</xdr:row>
      <xdr:rowOff>52387</xdr:rowOff>
    </xdr:from>
    <xdr:to>
      <xdr:col>5</xdr:col>
      <xdr:colOff>171450</xdr:colOff>
      <xdr:row>17</xdr:row>
      <xdr:rowOff>452437</xdr:rowOff>
    </xdr:to>
    <xdr:sp macro="" textlink="">
      <xdr:nvSpPr>
        <xdr:cNvPr id="35" name="Rectangle: Rounded Corners 34">
          <a:extLst>
            <a:ext uri="{FF2B5EF4-FFF2-40B4-BE49-F238E27FC236}">
              <a16:creationId xmlns:a16="http://schemas.microsoft.com/office/drawing/2014/main" id="{B7BCADE4-B52B-4013-84DF-72D7C5C6C177}"/>
            </a:ext>
          </a:extLst>
        </xdr:cNvPr>
        <xdr:cNvSpPr/>
      </xdr:nvSpPr>
      <xdr:spPr>
        <a:xfrm>
          <a:off x="738188" y="5224462"/>
          <a:ext cx="4538662" cy="2805113"/>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5</xdr:col>
      <xdr:colOff>200027</xdr:colOff>
      <xdr:row>12</xdr:row>
      <xdr:rowOff>66676</xdr:rowOff>
    </xdr:from>
    <xdr:to>
      <xdr:col>9</xdr:col>
      <xdr:colOff>185739</xdr:colOff>
      <xdr:row>17</xdr:row>
      <xdr:rowOff>342900</xdr:rowOff>
    </xdr:to>
    <xdr:sp macro="" textlink="">
      <xdr:nvSpPr>
        <xdr:cNvPr id="37" name="Rectangle: Rounded Corners 36">
          <a:extLst>
            <a:ext uri="{FF2B5EF4-FFF2-40B4-BE49-F238E27FC236}">
              <a16:creationId xmlns:a16="http://schemas.microsoft.com/office/drawing/2014/main" id="{A26DBA10-5B12-4B0E-9903-CFE4861F336E}"/>
            </a:ext>
          </a:extLst>
        </xdr:cNvPr>
        <xdr:cNvSpPr/>
      </xdr:nvSpPr>
      <xdr:spPr>
        <a:xfrm>
          <a:off x="5305427" y="5238751"/>
          <a:ext cx="4443412" cy="2681287"/>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9</xdr:col>
      <xdr:colOff>276226</xdr:colOff>
      <xdr:row>12</xdr:row>
      <xdr:rowOff>14287</xdr:rowOff>
    </xdr:from>
    <xdr:to>
      <xdr:col>12</xdr:col>
      <xdr:colOff>985838</xdr:colOff>
      <xdr:row>17</xdr:row>
      <xdr:rowOff>400050</xdr:rowOff>
    </xdr:to>
    <xdr:sp macro="" textlink="">
      <xdr:nvSpPr>
        <xdr:cNvPr id="38" name="Rectangle: Rounded Corners 37">
          <a:extLst>
            <a:ext uri="{FF2B5EF4-FFF2-40B4-BE49-F238E27FC236}">
              <a16:creationId xmlns:a16="http://schemas.microsoft.com/office/drawing/2014/main" id="{1DCBA5B3-81A4-4688-8E8B-7CA0FDB8776A}"/>
            </a:ext>
          </a:extLst>
        </xdr:cNvPr>
        <xdr:cNvSpPr/>
      </xdr:nvSpPr>
      <xdr:spPr>
        <a:xfrm>
          <a:off x="9839326" y="5186362"/>
          <a:ext cx="4052887" cy="2790826"/>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a:solidFill>
              <a:srgbClr val="000000"/>
            </a:solidFill>
            <a:latin typeface="Aptos Narrow"/>
            <a:ea typeface="+mn-ea"/>
            <a:cs typeface="+mn-cs"/>
          </a:endParaRPr>
        </a:p>
      </xdr:txBody>
    </xdr:sp>
    <xdr:clientData/>
  </xdr:twoCellAnchor>
  <xdr:twoCellAnchor>
    <xdr:from>
      <xdr:col>1</xdr:col>
      <xdr:colOff>152398</xdr:colOff>
      <xdr:row>4</xdr:row>
      <xdr:rowOff>423862</xdr:rowOff>
    </xdr:from>
    <xdr:to>
      <xdr:col>2</xdr:col>
      <xdr:colOff>85724</xdr:colOff>
      <xdr:row>5</xdr:row>
      <xdr:rowOff>133349</xdr:rowOff>
    </xdr:to>
    <xdr:sp macro="" textlink="">
      <xdr:nvSpPr>
        <xdr:cNvPr id="39" name="TextBox 38">
          <a:extLst>
            <a:ext uri="{FF2B5EF4-FFF2-40B4-BE49-F238E27FC236}">
              <a16:creationId xmlns:a16="http://schemas.microsoft.com/office/drawing/2014/main" id="{405FCEA9-DFE1-D1E8-9EBF-12A5B9E7EB78}"/>
            </a:ext>
          </a:extLst>
        </xdr:cNvPr>
        <xdr:cNvSpPr txBox="1"/>
      </xdr:nvSpPr>
      <xdr:spPr>
        <a:xfrm>
          <a:off x="800098" y="1747837"/>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6B7280"/>
              </a:solidFill>
            </a:rPr>
            <a:t>TOTAL</a:t>
          </a:r>
          <a:r>
            <a:rPr lang="en-US" sz="1000" baseline="0">
              <a:solidFill>
                <a:srgbClr val="6B7280"/>
              </a:solidFill>
            </a:rPr>
            <a:t> REVENUE</a:t>
          </a:r>
          <a:endParaRPr lang="en-US" sz="1000">
            <a:solidFill>
              <a:srgbClr val="6B7280"/>
            </a:solidFill>
          </a:endParaRPr>
        </a:p>
      </xdr:txBody>
    </xdr:sp>
    <xdr:clientData/>
  </xdr:twoCellAnchor>
  <xdr:twoCellAnchor>
    <xdr:from>
      <xdr:col>1</xdr:col>
      <xdr:colOff>261938</xdr:colOff>
      <xdr:row>7</xdr:row>
      <xdr:rowOff>42861</xdr:rowOff>
    </xdr:from>
    <xdr:to>
      <xdr:col>7</xdr:col>
      <xdr:colOff>1076326</xdr:colOff>
      <xdr:row>11</xdr:row>
      <xdr:rowOff>428625</xdr:rowOff>
    </xdr:to>
    <xdr:graphicFrame macro="">
      <xdr:nvGraphicFramePr>
        <xdr:cNvPr id="45" name="Chart 44">
          <a:extLst>
            <a:ext uri="{FF2B5EF4-FFF2-40B4-BE49-F238E27FC236}">
              <a16:creationId xmlns:a16="http://schemas.microsoft.com/office/drawing/2014/main" id="{EDBDEB12-46C0-41B4-AD9A-0F7E65A6C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357191</xdr:colOff>
      <xdr:row>7</xdr:row>
      <xdr:rowOff>19048</xdr:rowOff>
    </xdr:from>
    <xdr:to>
      <xdr:col>12</xdr:col>
      <xdr:colOff>728662</xdr:colOff>
      <xdr:row>11</xdr:row>
      <xdr:rowOff>366712</xdr:rowOff>
    </xdr:to>
    <xdr:graphicFrame macro="">
      <xdr:nvGraphicFramePr>
        <xdr:cNvPr id="46" name="Chart 45">
          <a:extLst>
            <a:ext uri="{FF2B5EF4-FFF2-40B4-BE49-F238E27FC236}">
              <a16:creationId xmlns:a16="http://schemas.microsoft.com/office/drawing/2014/main" id="{5C83905A-B722-43D7-9C00-E09EC153C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166688</xdr:colOff>
      <xdr:row>12</xdr:row>
      <xdr:rowOff>204786</xdr:rowOff>
    </xdr:from>
    <xdr:to>
      <xdr:col>4</xdr:col>
      <xdr:colOff>1071563</xdr:colOff>
      <xdr:row>17</xdr:row>
      <xdr:rowOff>323849</xdr:rowOff>
    </xdr:to>
    <xdr:graphicFrame macro="">
      <xdr:nvGraphicFramePr>
        <xdr:cNvPr id="47" name="Chart 46">
          <a:extLst>
            <a:ext uri="{FF2B5EF4-FFF2-40B4-BE49-F238E27FC236}">
              <a16:creationId xmlns:a16="http://schemas.microsoft.com/office/drawing/2014/main" id="{2FD76945-0F08-421E-9D32-1C7C1624E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319090</xdr:colOff>
      <xdr:row>12</xdr:row>
      <xdr:rowOff>180976</xdr:rowOff>
    </xdr:from>
    <xdr:to>
      <xdr:col>9</xdr:col>
      <xdr:colOff>47626</xdr:colOff>
      <xdr:row>17</xdr:row>
      <xdr:rowOff>309563</xdr:rowOff>
    </xdr:to>
    <xdr:graphicFrame macro="">
      <xdr:nvGraphicFramePr>
        <xdr:cNvPr id="48" name="Chart 47">
          <a:extLst>
            <a:ext uri="{FF2B5EF4-FFF2-40B4-BE49-F238E27FC236}">
              <a16:creationId xmlns:a16="http://schemas.microsoft.com/office/drawing/2014/main" id="{9A0C3F9D-6611-4AB5-B7B2-62B7676CD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419101</xdr:colOff>
      <xdr:row>12</xdr:row>
      <xdr:rowOff>133347</xdr:rowOff>
    </xdr:from>
    <xdr:to>
      <xdr:col>12</xdr:col>
      <xdr:colOff>823914</xdr:colOff>
      <xdr:row>17</xdr:row>
      <xdr:rowOff>376237</xdr:rowOff>
    </xdr:to>
    <xdr:graphicFrame macro="">
      <xdr:nvGraphicFramePr>
        <xdr:cNvPr id="49" name="Chart 48">
          <a:extLst>
            <a:ext uri="{FF2B5EF4-FFF2-40B4-BE49-F238E27FC236}">
              <a16:creationId xmlns:a16="http://schemas.microsoft.com/office/drawing/2014/main" id="{401CBDC9-D83B-46EF-913F-4B6E4D22B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1085851</xdr:colOff>
      <xdr:row>3</xdr:row>
      <xdr:rowOff>66674</xdr:rowOff>
    </xdr:from>
    <xdr:to>
      <xdr:col>9</xdr:col>
      <xdr:colOff>752476</xdr:colOff>
      <xdr:row>4</xdr:row>
      <xdr:rowOff>200025</xdr:rowOff>
    </xdr:to>
    <xdr:grpSp>
      <xdr:nvGrpSpPr>
        <xdr:cNvPr id="25" name="Group 24">
          <a:extLst>
            <a:ext uri="{FF2B5EF4-FFF2-40B4-BE49-F238E27FC236}">
              <a16:creationId xmlns:a16="http://schemas.microsoft.com/office/drawing/2014/main" id="{1BCB0A15-C239-3E06-3F75-B23179458FB7}"/>
            </a:ext>
          </a:extLst>
        </xdr:cNvPr>
        <xdr:cNvGrpSpPr/>
      </xdr:nvGrpSpPr>
      <xdr:grpSpPr>
        <a:xfrm>
          <a:off x="8420101" y="909637"/>
          <a:ext cx="1895475" cy="614363"/>
          <a:chOff x="8763001" y="604838"/>
          <a:chExt cx="1795462" cy="612648"/>
        </a:xfrm>
      </xdr:grpSpPr>
      <xdr:sp macro="" textlink="">
        <xdr:nvSpPr>
          <xdr:cNvPr id="50" name="Rectangle: Rounded Corners 49">
            <a:extLst>
              <a:ext uri="{FF2B5EF4-FFF2-40B4-BE49-F238E27FC236}">
                <a16:creationId xmlns:a16="http://schemas.microsoft.com/office/drawing/2014/main" id="{B58AABCD-C523-3FE7-B9A9-10C695F5A8DC}"/>
              </a:ext>
            </a:extLst>
          </xdr:cNvPr>
          <xdr:cNvSpPr/>
        </xdr:nvSpPr>
        <xdr:spPr>
          <a:xfrm>
            <a:off x="8763001" y="604838"/>
            <a:ext cx="1764792"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0" name="Months (Order Date)">
                <a:extLst>
                  <a:ext uri="{FF2B5EF4-FFF2-40B4-BE49-F238E27FC236}">
                    <a16:creationId xmlns:a16="http://schemas.microsoft.com/office/drawing/2014/main" id="{D9A7642A-5316-4F86-B94E-FA193259D31D}"/>
                  </a:ext>
                </a:extLst>
              </xdr:cNvPr>
              <xdr:cNvGraphicFramePr/>
            </xdr:nvGraphicFramePr>
            <xdr:xfrm>
              <a:off x="8796338" y="609642"/>
              <a:ext cx="1762125" cy="59055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8455295" y="914454"/>
                <a:ext cx="1860281" cy="592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9</xdr:col>
      <xdr:colOff>847724</xdr:colOff>
      <xdr:row>3</xdr:row>
      <xdr:rowOff>71437</xdr:rowOff>
    </xdr:from>
    <xdr:to>
      <xdr:col>11</xdr:col>
      <xdr:colOff>399097</xdr:colOff>
      <xdr:row>4</xdr:row>
      <xdr:rowOff>203073</xdr:rowOff>
    </xdr:to>
    <xdr:grpSp>
      <xdr:nvGrpSpPr>
        <xdr:cNvPr id="26" name="Group 25">
          <a:extLst>
            <a:ext uri="{FF2B5EF4-FFF2-40B4-BE49-F238E27FC236}">
              <a16:creationId xmlns:a16="http://schemas.microsoft.com/office/drawing/2014/main" id="{5A4B1B33-ADE8-8929-B237-B9DA3A1DD5C9}"/>
            </a:ext>
          </a:extLst>
        </xdr:cNvPr>
        <xdr:cNvGrpSpPr/>
      </xdr:nvGrpSpPr>
      <xdr:grpSpPr>
        <a:xfrm>
          <a:off x="10410824" y="914400"/>
          <a:ext cx="1780223" cy="612648"/>
          <a:chOff x="10558462" y="600075"/>
          <a:chExt cx="1780223" cy="612648"/>
        </a:xfrm>
      </xdr:grpSpPr>
      <xdr:sp macro="" textlink="">
        <xdr:nvSpPr>
          <xdr:cNvPr id="51" name="Rectangle: Rounded Corners 50">
            <a:extLst>
              <a:ext uri="{FF2B5EF4-FFF2-40B4-BE49-F238E27FC236}">
                <a16:creationId xmlns:a16="http://schemas.microsoft.com/office/drawing/2014/main" id="{84E52978-D8BD-4EEF-BCF0-8CC5C8C1CA59}"/>
              </a:ext>
            </a:extLst>
          </xdr:cNvPr>
          <xdr:cNvSpPr/>
        </xdr:nvSpPr>
        <xdr:spPr>
          <a:xfrm>
            <a:off x="10558462" y="600075"/>
            <a:ext cx="1764792"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1" name="State">
                <a:extLst>
                  <a:ext uri="{FF2B5EF4-FFF2-40B4-BE49-F238E27FC236}">
                    <a16:creationId xmlns:a16="http://schemas.microsoft.com/office/drawing/2014/main" id="{53D64C16-0CC9-491F-B6D7-B3ADC32BD961}"/>
                  </a:ext>
                </a:extLst>
              </xdr:cNvPr>
              <xdr:cNvGraphicFramePr/>
            </xdr:nvGraphicFramePr>
            <xdr:xfrm>
              <a:off x="10601325" y="609599"/>
              <a:ext cx="1737360" cy="59436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453687" y="923924"/>
                <a:ext cx="1737360" cy="594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461962</xdr:colOff>
      <xdr:row>3</xdr:row>
      <xdr:rowOff>52386</xdr:rowOff>
    </xdr:from>
    <xdr:to>
      <xdr:col>12</xdr:col>
      <xdr:colOff>814388</xdr:colOff>
      <xdr:row>4</xdr:row>
      <xdr:rowOff>184022</xdr:rowOff>
    </xdr:to>
    <xdr:grpSp>
      <xdr:nvGrpSpPr>
        <xdr:cNvPr id="27" name="Group 26">
          <a:extLst>
            <a:ext uri="{FF2B5EF4-FFF2-40B4-BE49-F238E27FC236}">
              <a16:creationId xmlns:a16="http://schemas.microsoft.com/office/drawing/2014/main" id="{97F0FF5C-1089-CACA-1B8D-6CBE9BCE4370}"/>
            </a:ext>
          </a:extLst>
        </xdr:cNvPr>
        <xdr:cNvGrpSpPr/>
      </xdr:nvGrpSpPr>
      <xdr:grpSpPr>
        <a:xfrm>
          <a:off x="12253912" y="895349"/>
          <a:ext cx="1466851" cy="612648"/>
          <a:chOff x="12392025" y="619125"/>
          <a:chExt cx="1352550" cy="612648"/>
        </a:xfrm>
      </xdr:grpSpPr>
      <xdr:sp macro="" textlink="">
        <xdr:nvSpPr>
          <xdr:cNvPr id="52" name="Rectangle: Rounded Corners 51">
            <a:extLst>
              <a:ext uri="{FF2B5EF4-FFF2-40B4-BE49-F238E27FC236}">
                <a16:creationId xmlns:a16="http://schemas.microsoft.com/office/drawing/2014/main" id="{D788A22C-67BC-48DA-8DD2-6DA34CA56B80}"/>
              </a:ext>
            </a:extLst>
          </xdr:cNvPr>
          <xdr:cNvSpPr/>
        </xdr:nvSpPr>
        <xdr:spPr>
          <a:xfrm>
            <a:off x="12392025" y="619125"/>
            <a:ext cx="1352550" cy="612648"/>
          </a:xfrm>
          <a:prstGeom prst="roundRect">
            <a:avLst/>
          </a:prstGeom>
          <a:solidFill>
            <a:srgbClr val="FFFFFF"/>
          </a:solidFill>
          <a:ln>
            <a:solidFill>
              <a:srgbClr val="D8D6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32" name="Product Category">
                <a:extLst>
                  <a:ext uri="{FF2B5EF4-FFF2-40B4-BE49-F238E27FC236}">
                    <a16:creationId xmlns:a16="http://schemas.microsoft.com/office/drawing/2014/main" id="{392E9F58-50D3-424F-87EB-94C7A806CF53}"/>
                  </a:ext>
                </a:extLst>
              </xdr:cNvPr>
              <xdr:cNvGraphicFramePr/>
            </xdr:nvGraphicFramePr>
            <xdr:xfrm>
              <a:off x="12493028" y="638171"/>
              <a:ext cx="1199691" cy="58103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363451" y="914395"/>
                <a:ext cx="1301074" cy="5810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133348</xdr:colOff>
      <xdr:row>4</xdr:row>
      <xdr:rowOff>309559</xdr:rowOff>
    </xdr:from>
    <xdr:to>
      <xdr:col>4</xdr:col>
      <xdr:colOff>1030603</xdr:colOff>
      <xdr:row>6</xdr:row>
      <xdr:rowOff>289366</xdr:rowOff>
    </xdr:to>
    <xdr:grpSp>
      <xdr:nvGrpSpPr>
        <xdr:cNvPr id="17" name="Group 16">
          <a:extLst>
            <a:ext uri="{FF2B5EF4-FFF2-40B4-BE49-F238E27FC236}">
              <a16:creationId xmlns:a16="http://schemas.microsoft.com/office/drawing/2014/main" id="{1BE8F6BB-9170-ABBA-3E65-AC69DE3A70E2}"/>
            </a:ext>
          </a:extLst>
        </xdr:cNvPr>
        <xdr:cNvGrpSpPr/>
      </xdr:nvGrpSpPr>
      <xdr:grpSpPr>
        <a:xfrm>
          <a:off x="3009898" y="1633534"/>
          <a:ext cx="2011680" cy="941832"/>
          <a:chOff x="2947986" y="1343023"/>
          <a:chExt cx="2124077" cy="933449"/>
        </a:xfrm>
      </xdr:grpSpPr>
      <xdr:sp macro="" textlink="'Pivot Table &amp; Charts'!C5">
        <xdr:nvSpPr>
          <xdr:cNvPr id="13" name="Rectangle: Rounded Corners 12">
            <a:extLst>
              <a:ext uri="{FF2B5EF4-FFF2-40B4-BE49-F238E27FC236}">
                <a16:creationId xmlns:a16="http://schemas.microsoft.com/office/drawing/2014/main" id="{5296A297-332A-79AD-C614-BD140E79D122}"/>
              </a:ext>
            </a:extLst>
          </xdr:cNvPr>
          <xdr:cNvSpPr/>
        </xdr:nvSpPr>
        <xdr:spPr>
          <a:xfrm>
            <a:off x="2971801" y="1343023"/>
            <a:ext cx="2100262" cy="933449"/>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A3B7E328-BB09-40A7-9F70-29CABAAC947F}" type="TxLink">
              <a:rPr lang="en-US" sz="1600" b="1" i="0" u="none" strike="noStrike">
                <a:solidFill>
                  <a:srgbClr val="000000"/>
                </a:solidFill>
                <a:latin typeface="Aptos Narrow"/>
                <a:ea typeface="+mn-ea"/>
                <a:cs typeface="+mn-cs"/>
              </a:rPr>
              <a:pPr marL="0" indent="0" algn="l"/>
              <a:t>$81,853</a:t>
            </a:fld>
            <a:endParaRPr lang="en-US" sz="1600" b="1" i="0" u="none" strike="noStrike">
              <a:solidFill>
                <a:srgbClr val="2F2F2F"/>
              </a:solidFill>
              <a:latin typeface="Aptos Narrow"/>
              <a:ea typeface="+mn-ea"/>
              <a:cs typeface="+mn-cs"/>
            </a:endParaRPr>
          </a:p>
        </xdr:txBody>
      </xdr:sp>
      <xdr:sp macro="" textlink="">
        <xdr:nvSpPr>
          <xdr:cNvPr id="40" name="TextBox 39">
            <a:extLst>
              <a:ext uri="{FF2B5EF4-FFF2-40B4-BE49-F238E27FC236}">
                <a16:creationId xmlns:a16="http://schemas.microsoft.com/office/drawing/2014/main" id="{F395F43D-2E43-45F3-A9D1-B03364A23E57}"/>
              </a:ext>
            </a:extLst>
          </xdr:cNvPr>
          <xdr:cNvSpPr txBox="1"/>
        </xdr:nvSpPr>
        <xdr:spPr>
          <a:xfrm>
            <a:off x="2947986" y="1385886"/>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TOTAL PROFIT</a:t>
            </a:r>
          </a:p>
        </xdr:txBody>
      </xdr:sp>
    </xdr:grpSp>
    <xdr:clientData/>
  </xdr:twoCellAnchor>
  <xdr:twoCellAnchor>
    <xdr:from>
      <xdr:col>5</xdr:col>
      <xdr:colOff>166687</xdr:colOff>
      <xdr:row>4</xdr:row>
      <xdr:rowOff>290511</xdr:rowOff>
    </xdr:from>
    <xdr:to>
      <xdr:col>6</xdr:col>
      <xdr:colOff>1063942</xdr:colOff>
      <xdr:row>6</xdr:row>
      <xdr:rowOff>270318</xdr:rowOff>
    </xdr:to>
    <xdr:grpSp>
      <xdr:nvGrpSpPr>
        <xdr:cNvPr id="18" name="Group 17">
          <a:extLst>
            <a:ext uri="{FF2B5EF4-FFF2-40B4-BE49-F238E27FC236}">
              <a16:creationId xmlns:a16="http://schemas.microsoft.com/office/drawing/2014/main" id="{553CCB6D-ACA2-4C7F-A5CB-193C8063D0A1}"/>
            </a:ext>
          </a:extLst>
        </xdr:cNvPr>
        <xdr:cNvGrpSpPr/>
      </xdr:nvGrpSpPr>
      <xdr:grpSpPr>
        <a:xfrm>
          <a:off x="5272087" y="1614486"/>
          <a:ext cx="2011680" cy="941832"/>
          <a:chOff x="5176837" y="1347787"/>
          <a:chExt cx="2071688" cy="947737"/>
        </a:xfrm>
      </xdr:grpSpPr>
      <xdr:sp macro="" textlink="'Pivot Table &amp; Charts'!D5">
        <xdr:nvSpPr>
          <xdr:cNvPr id="15" name="Rectangle: Rounded Corners 14">
            <a:extLst>
              <a:ext uri="{FF2B5EF4-FFF2-40B4-BE49-F238E27FC236}">
                <a16:creationId xmlns:a16="http://schemas.microsoft.com/office/drawing/2014/main" id="{946C01B4-9DB3-D88F-A489-76A8AD96745B}"/>
              </a:ext>
            </a:extLst>
          </xdr:cNvPr>
          <xdr:cNvSpPr/>
        </xdr:nvSpPr>
        <xdr:spPr>
          <a:xfrm>
            <a:off x="5176837" y="1347787"/>
            <a:ext cx="2071688" cy="947737"/>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87FFD6F8-E5CE-41B5-995C-0FC659636068}" type="TxLink">
              <a:rPr lang="en-US" sz="1600" b="1" i="0" u="none" strike="noStrike">
                <a:solidFill>
                  <a:srgbClr val="000000"/>
                </a:solidFill>
                <a:latin typeface="Aptos Narrow"/>
                <a:ea typeface="+mn-ea"/>
                <a:cs typeface="+mn-cs"/>
              </a:rPr>
              <a:pPr marL="0" indent="0" algn="l"/>
              <a:t>69.8%</a:t>
            </a:fld>
            <a:endParaRPr lang="en-US" sz="1600" b="1" i="0" u="none" strike="noStrike">
              <a:solidFill>
                <a:srgbClr val="2F2F2F"/>
              </a:solidFill>
              <a:latin typeface="Aptos Narrow"/>
              <a:ea typeface="+mn-ea"/>
              <a:cs typeface="+mn-cs"/>
            </a:endParaRPr>
          </a:p>
        </xdr:txBody>
      </xdr:sp>
      <xdr:sp macro="" textlink="">
        <xdr:nvSpPr>
          <xdr:cNvPr id="44" name="TextBox 43">
            <a:extLst>
              <a:ext uri="{FF2B5EF4-FFF2-40B4-BE49-F238E27FC236}">
                <a16:creationId xmlns:a16="http://schemas.microsoft.com/office/drawing/2014/main" id="{0103C4DF-936C-45B3-A19B-9FC2696D794B}"/>
              </a:ext>
            </a:extLst>
          </xdr:cNvPr>
          <xdr:cNvSpPr txBox="1"/>
        </xdr:nvSpPr>
        <xdr:spPr>
          <a:xfrm>
            <a:off x="5281612" y="1362074"/>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PROFIT MARGIN</a:t>
            </a:r>
          </a:p>
        </xdr:txBody>
      </xdr:sp>
    </xdr:grpSp>
    <xdr:clientData/>
  </xdr:twoCellAnchor>
  <xdr:twoCellAnchor>
    <xdr:from>
      <xdr:col>7</xdr:col>
      <xdr:colOff>200028</xdr:colOff>
      <xdr:row>4</xdr:row>
      <xdr:rowOff>261936</xdr:rowOff>
    </xdr:from>
    <xdr:to>
      <xdr:col>8</xdr:col>
      <xdr:colOff>1097283</xdr:colOff>
      <xdr:row>6</xdr:row>
      <xdr:rowOff>241743</xdr:rowOff>
    </xdr:to>
    <xdr:grpSp>
      <xdr:nvGrpSpPr>
        <xdr:cNvPr id="19" name="Group 18">
          <a:extLst>
            <a:ext uri="{FF2B5EF4-FFF2-40B4-BE49-F238E27FC236}">
              <a16:creationId xmlns:a16="http://schemas.microsoft.com/office/drawing/2014/main" id="{A023FFD2-38E8-6492-FBE5-3803FDD6AF5E}"/>
            </a:ext>
          </a:extLst>
        </xdr:cNvPr>
        <xdr:cNvGrpSpPr/>
      </xdr:nvGrpSpPr>
      <xdr:grpSpPr>
        <a:xfrm>
          <a:off x="7534278" y="1585911"/>
          <a:ext cx="2011680" cy="941832"/>
          <a:chOff x="7458137" y="1323764"/>
          <a:chExt cx="2024062" cy="947738"/>
        </a:xfrm>
      </xdr:grpSpPr>
      <xdr:sp macro="" textlink="'Pivot Table &amp; Charts'!F5">
        <xdr:nvSpPr>
          <xdr:cNvPr id="22" name="Rectangle: Rounded Corners 21">
            <a:extLst>
              <a:ext uri="{FF2B5EF4-FFF2-40B4-BE49-F238E27FC236}">
                <a16:creationId xmlns:a16="http://schemas.microsoft.com/office/drawing/2014/main" id="{DE125B48-E227-B9C6-FBFF-5E26ED2929E4}"/>
              </a:ext>
            </a:extLst>
          </xdr:cNvPr>
          <xdr:cNvSpPr/>
        </xdr:nvSpPr>
        <xdr:spPr>
          <a:xfrm>
            <a:off x="7458137" y="1323764"/>
            <a:ext cx="2024062" cy="947738"/>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896E4B1A-039B-429B-B370-60766E922024}" type="TxLink">
              <a:rPr lang="en-US" sz="1600" b="1" i="0" u="none" strike="noStrike">
                <a:solidFill>
                  <a:srgbClr val="000000"/>
                </a:solidFill>
                <a:latin typeface="Aptos Narrow"/>
                <a:ea typeface="+mn-ea"/>
                <a:cs typeface="+mn-cs"/>
              </a:rPr>
              <a:pPr marL="0" indent="0" algn="l"/>
              <a:t>$117</a:t>
            </a:fld>
            <a:endParaRPr lang="en-US" sz="1600" b="1" i="0" u="none" strike="noStrike">
              <a:solidFill>
                <a:srgbClr val="2F2F2F"/>
              </a:solidFill>
              <a:latin typeface="Aptos Narrow"/>
              <a:ea typeface="+mn-ea"/>
              <a:cs typeface="+mn-cs"/>
            </a:endParaRPr>
          </a:p>
        </xdr:txBody>
      </xdr:sp>
      <xdr:sp macro="" textlink="">
        <xdr:nvSpPr>
          <xdr:cNvPr id="43" name="TextBox 42">
            <a:extLst>
              <a:ext uri="{FF2B5EF4-FFF2-40B4-BE49-F238E27FC236}">
                <a16:creationId xmlns:a16="http://schemas.microsoft.com/office/drawing/2014/main" id="{7D6EE1F1-560A-4850-9DB7-E8B3DF9115BE}"/>
              </a:ext>
            </a:extLst>
          </xdr:cNvPr>
          <xdr:cNvSpPr txBox="1"/>
        </xdr:nvSpPr>
        <xdr:spPr>
          <a:xfrm>
            <a:off x="7467598" y="1423986"/>
            <a:ext cx="1423989"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AVERAGE ORDER VALUE</a:t>
            </a:r>
          </a:p>
        </xdr:txBody>
      </xdr:sp>
    </xdr:grpSp>
    <xdr:clientData/>
  </xdr:twoCellAnchor>
  <xdr:twoCellAnchor>
    <xdr:from>
      <xdr:col>8</xdr:col>
      <xdr:colOff>266702</xdr:colOff>
      <xdr:row>4</xdr:row>
      <xdr:rowOff>66675</xdr:rowOff>
    </xdr:from>
    <xdr:to>
      <xdr:col>8</xdr:col>
      <xdr:colOff>599766</xdr:colOff>
      <xdr:row>4</xdr:row>
      <xdr:rowOff>326965</xdr:rowOff>
    </xdr:to>
    <xdr:pic>
      <xdr:nvPicPr>
        <xdr:cNvPr id="9" name="Graphic 8" descr="Dollar outline">
          <a:extLst>
            <a:ext uri="{FF2B5EF4-FFF2-40B4-BE49-F238E27FC236}">
              <a16:creationId xmlns:a16="http://schemas.microsoft.com/office/drawing/2014/main" id="{92460F58-1029-4C32-9596-3E6F89B4FE4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8715377" y="1390650"/>
          <a:ext cx="333064" cy="260290"/>
        </a:xfrm>
        <a:prstGeom prst="rect">
          <a:avLst/>
        </a:prstGeom>
      </xdr:spPr>
    </xdr:pic>
    <xdr:clientData/>
  </xdr:twoCellAnchor>
  <xdr:twoCellAnchor>
    <xdr:from>
      <xdr:col>9</xdr:col>
      <xdr:colOff>204789</xdr:colOff>
      <xdr:row>4</xdr:row>
      <xdr:rowOff>276227</xdr:rowOff>
    </xdr:from>
    <xdr:to>
      <xdr:col>10</xdr:col>
      <xdr:colOff>1102044</xdr:colOff>
      <xdr:row>6</xdr:row>
      <xdr:rowOff>256034</xdr:rowOff>
    </xdr:to>
    <xdr:grpSp>
      <xdr:nvGrpSpPr>
        <xdr:cNvPr id="20" name="Group 19">
          <a:extLst>
            <a:ext uri="{FF2B5EF4-FFF2-40B4-BE49-F238E27FC236}">
              <a16:creationId xmlns:a16="http://schemas.microsoft.com/office/drawing/2014/main" id="{1584A37C-2A6C-6DA4-710F-6284DCAED252}"/>
            </a:ext>
          </a:extLst>
        </xdr:cNvPr>
        <xdr:cNvGrpSpPr/>
      </xdr:nvGrpSpPr>
      <xdr:grpSpPr>
        <a:xfrm>
          <a:off x="9767889" y="1600202"/>
          <a:ext cx="2011680" cy="941832"/>
          <a:chOff x="9677402" y="1352552"/>
          <a:chExt cx="1900238" cy="928688"/>
        </a:xfrm>
      </xdr:grpSpPr>
      <xdr:sp macro="" textlink="'Pivot Table &amp; Charts'!G5">
        <xdr:nvSpPr>
          <xdr:cNvPr id="23" name="Rectangle: Rounded Corners 22">
            <a:extLst>
              <a:ext uri="{FF2B5EF4-FFF2-40B4-BE49-F238E27FC236}">
                <a16:creationId xmlns:a16="http://schemas.microsoft.com/office/drawing/2014/main" id="{24148BDB-2737-527B-2272-A41AD918C999}"/>
              </a:ext>
            </a:extLst>
          </xdr:cNvPr>
          <xdr:cNvSpPr/>
        </xdr:nvSpPr>
        <xdr:spPr>
          <a:xfrm>
            <a:off x="9677402" y="1352552"/>
            <a:ext cx="1900238" cy="928688"/>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600" b="1" i="0" u="none" strike="noStrike">
              <a:solidFill>
                <a:srgbClr val="000000"/>
              </a:solidFill>
              <a:latin typeface="Aptos Narrow"/>
              <a:ea typeface="+mn-ea"/>
              <a:cs typeface="+mn-cs"/>
            </a:endParaRPr>
          </a:p>
          <a:p>
            <a:pPr marL="0" indent="0" algn="l"/>
            <a:endParaRPr lang="en-US" sz="1600" b="1" i="0" u="none" strike="noStrike">
              <a:solidFill>
                <a:srgbClr val="000000"/>
              </a:solidFill>
              <a:latin typeface="Aptos Narrow"/>
              <a:ea typeface="+mn-ea"/>
              <a:cs typeface="+mn-cs"/>
            </a:endParaRPr>
          </a:p>
          <a:p>
            <a:pPr marL="0" indent="0" algn="l"/>
            <a:fld id="{F5DB5A92-000A-412B-8F67-ACB03BFD7CD8}" type="TxLink">
              <a:rPr lang="en-US" sz="1600" b="1" i="0" u="none" strike="noStrike">
                <a:solidFill>
                  <a:srgbClr val="000000"/>
                </a:solidFill>
                <a:latin typeface="Aptos Narrow"/>
                <a:ea typeface="+mn-ea"/>
                <a:cs typeface="+mn-cs"/>
              </a:rPr>
              <a:pPr marL="0" indent="0" algn="l"/>
              <a:t>60.2%</a:t>
            </a:fld>
            <a:endParaRPr lang="en-US" sz="1600" b="1" i="0" u="none" strike="noStrike">
              <a:solidFill>
                <a:srgbClr val="2F2F2F"/>
              </a:solidFill>
              <a:latin typeface="Aptos Narrow"/>
              <a:ea typeface="+mn-ea"/>
              <a:cs typeface="+mn-cs"/>
            </a:endParaRPr>
          </a:p>
        </xdr:txBody>
      </xdr:sp>
      <xdr:sp macro="" textlink="">
        <xdr:nvSpPr>
          <xdr:cNvPr id="42" name="TextBox 41">
            <a:extLst>
              <a:ext uri="{FF2B5EF4-FFF2-40B4-BE49-F238E27FC236}">
                <a16:creationId xmlns:a16="http://schemas.microsoft.com/office/drawing/2014/main" id="{416837FD-38EB-4C36-9722-66F45B21947D}"/>
              </a:ext>
            </a:extLst>
          </xdr:cNvPr>
          <xdr:cNvSpPr txBox="1"/>
        </xdr:nvSpPr>
        <xdr:spPr>
          <a:xfrm>
            <a:off x="9729786" y="1390650"/>
            <a:ext cx="1662114" cy="223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DELIVERY SUCCESS RATE</a:t>
            </a:r>
          </a:p>
        </xdr:txBody>
      </xdr:sp>
    </xdr:grpSp>
    <xdr:clientData/>
  </xdr:twoCellAnchor>
  <xdr:twoCellAnchor>
    <xdr:from>
      <xdr:col>11</xdr:col>
      <xdr:colOff>223607</xdr:colOff>
      <xdr:row>4</xdr:row>
      <xdr:rowOff>295399</xdr:rowOff>
    </xdr:from>
    <xdr:to>
      <xdr:col>12</xdr:col>
      <xdr:colOff>1059180</xdr:colOff>
      <xdr:row>6</xdr:row>
      <xdr:rowOff>260793</xdr:rowOff>
    </xdr:to>
    <xdr:grpSp>
      <xdr:nvGrpSpPr>
        <xdr:cNvPr id="24" name="Group 23">
          <a:extLst>
            <a:ext uri="{FF2B5EF4-FFF2-40B4-BE49-F238E27FC236}">
              <a16:creationId xmlns:a16="http://schemas.microsoft.com/office/drawing/2014/main" id="{9B604D7C-7D66-1056-D10E-6DD615714870}"/>
            </a:ext>
          </a:extLst>
        </xdr:cNvPr>
        <xdr:cNvGrpSpPr/>
      </xdr:nvGrpSpPr>
      <xdr:grpSpPr>
        <a:xfrm>
          <a:off x="12015557" y="1619374"/>
          <a:ext cx="1949998" cy="927419"/>
          <a:chOff x="11896781" y="1433383"/>
          <a:chExt cx="1957386" cy="919163"/>
        </a:xfrm>
      </xdr:grpSpPr>
      <xdr:sp macro="" textlink="'Pivot Table &amp; Charts'!H5">
        <xdr:nvSpPr>
          <xdr:cNvPr id="21" name="Rectangle: Rounded Corners 20">
            <a:extLst>
              <a:ext uri="{FF2B5EF4-FFF2-40B4-BE49-F238E27FC236}">
                <a16:creationId xmlns:a16="http://schemas.microsoft.com/office/drawing/2014/main" id="{CF7872FF-ED57-8528-A51A-FEEA673EDA52}"/>
              </a:ext>
            </a:extLst>
          </xdr:cNvPr>
          <xdr:cNvSpPr/>
        </xdr:nvSpPr>
        <xdr:spPr>
          <a:xfrm>
            <a:off x="11896781" y="1433383"/>
            <a:ext cx="1957386" cy="919163"/>
          </a:xfrm>
          <a:prstGeom prst="roundRect">
            <a:avLst/>
          </a:prstGeom>
          <a:solidFill>
            <a:srgbClr val="FFFFFF"/>
          </a:solidFill>
          <a:ln>
            <a:solidFill>
              <a:srgbClr val="D8D6CE">
                <a:alpha val="89804"/>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400" b="1" i="0" u="none" strike="noStrike">
              <a:solidFill>
                <a:srgbClr val="000000"/>
              </a:solidFill>
              <a:latin typeface="Aptos Narrow"/>
              <a:ea typeface="+mn-ea"/>
              <a:cs typeface="+mn-cs"/>
            </a:endParaRPr>
          </a:p>
          <a:p>
            <a:pPr marL="0" indent="0" algn="l"/>
            <a:endParaRPr lang="en-US" sz="1400" b="1" i="0" u="none" strike="noStrike">
              <a:solidFill>
                <a:srgbClr val="000000"/>
              </a:solidFill>
              <a:latin typeface="Aptos Narrow"/>
              <a:ea typeface="+mn-ea"/>
              <a:cs typeface="+mn-cs"/>
            </a:endParaRPr>
          </a:p>
          <a:p>
            <a:pPr marL="0" indent="0" algn="l"/>
            <a:fld id="{80074D10-FA06-4980-9E12-750035CF902E}" type="TxLink">
              <a:rPr lang="en-US" sz="1400" b="1" i="0" u="none" strike="noStrike">
                <a:solidFill>
                  <a:srgbClr val="000000"/>
                </a:solidFill>
                <a:latin typeface="Aptos Narrow"/>
                <a:ea typeface="+mn-ea"/>
                <a:cs typeface="+mn-cs"/>
              </a:rPr>
              <a:pPr marL="0" indent="0" algn="l"/>
              <a:t>7.2%</a:t>
            </a:fld>
            <a:endParaRPr lang="en-US" sz="1400" b="1" i="0" u="none" strike="noStrike">
              <a:solidFill>
                <a:srgbClr val="2F2F2F"/>
              </a:solidFill>
              <a:latin typeface="Aptos Narrow"/>
              <a:ea typeface="+mn-ea"/>
              <a:cs typeface="+mn-cs"/>
            </a:endParaRPr>
          </a:p>
        </xdr:txBody>
      </xdr:sp>
      <xdr:sp macro="" textlink="">
        <xdr:nvSpPr>
          <xdr:cNvPr id="41" name="TextBox 40">
            <a:extLst>
              <a:ext uri="{FF2B5EF4-FFF2-40B4-BE49-F238E27FC236}">
                <a16:creationId xmlns:a16="http://schemas.microsoft.com/office/drawing/2014/main" id="{8546624C-91F9-495C-BDC8-14049A958B20}"/>
              </a:ext>
            </a:extLst>
          </xdr:cNvPr>
          <xdr:cNvSpPr txBox="1"/>
        </xdr:nvSpPr>
        <xdr:spPr>
          <a:xfrm>
            <a:off x="11954378" y="1461580"/>
            <a:ext cx="1047751"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rgbClr val="6B7280"/>
                </a:solidFill>
                <a:latin typeface="+mn-lt"/>
                <a:ea typeface="+mn-ea"/>
                <a:cs typeface="+mn-cs"/>
              </a:rPr>
              <a:t>RETURN RATE</a:t>
            </a:r>
          </a:p>
        </xdr:txBody>
      </xdr:sp>
    </xdr:grpSp>
    <xdr:clientData/>
  </xdr:twoCellAnchor>
  <mc:AlternateContent xmlns:mc="http://schemas.openxmlformats.org/markup-compatibility/2006">
    <mc:Choice xmlns:a14="http://schemas.microsoft.com/office/drawing/2010/main" Requires="a14">
      <xdr:twoCellAnchor editAs="oneCell">
        <xdr:from>
          <xdr:col>1</xdr:col>
          <xdr:colOff>195263</xdr:colOff>
          <xdr:row>7</xdr:row>
          <xdr:rowOff>42863</xdr:rowOff>
        </xdr:from>
        <xdr:to>
          <xdr:col>2</xdr:col>
          <xdr:colOff>200025</xdr:colOff>
          <xdr:row>7</xdr:row>
          <xdr:rowOff>228600</xdr:rowOff>
        </xdr:to>
        <xdr:pic>
          <xdr:nvPicPr>
            <xdr:cNvPr id="28" name="Picture 27">
              <a:extLst>
                <a:ext uri="{FF2B5EF4-FFF2-40B4-BE49-F238E27FC236}">
                  <a16:creationId xmlns:a16="http://schemas.microsoft.com/office/drawing/2014/main" id="{F2F152A3-ED5A-93AD-B2CD-68264ED9F7A5}"/>
                </a:ext>
              </a:extLst>
            </xdr:cNvPr>
            <xdr:cNvPicPr>
              <a:picLocks noChangeAspect="1" noChangeArrowheads="1"/>
              <a:extLst>
                <a:ext uri="{84589F7E-364E-4C9E-8A38-B11213B215E9}">
                  <a14:cameraTool cellRange="$C$2" spid="_x0000_s2219"/>
                </a:ext>
              </a:extLst>
            </xdr:cNvPicPr>
          </xdr:nvPicPr>
          <xdr:blipFill>
            <a:blip xmlns:r="http://schemas.openxmlformats.org/officeDocument/2006/relationships" r:embed="rId8"/>
            <a:srcRect/>
            <a:stretch>
              <a:fillRect/>
            </a:stretch>
          </xdr:blipFill>
          <xdr:spPr bwMode="auto">
            <a:xfrm>
              <a:off x="842963" y="2809875"/>
              <a:ext cx="1119187" cy="185738"/>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1</xdr:col>
      <xdr:colOff>66675</xdr:colOff>
      <xdr:row>2</xdr:row>
      <xdr:rowOff>23813</xdr:rowOff>
    </xdr:from>
    <xdr:to>
      <xdr:col>12</xdr:col>
      <xdr:colOff>1062037</xdr:colOff>
      <xdr:row>2</xdr:row>
      <xdr:rowOff>366713</xdr:rowOff>
    </xdr:to>
    <xdr:sp macro="" textlink="">
      <xdr:nvSpPr>
        <xdr:cNvPr id="2" name="TextBox 1">
          <a:extLst>
            <a:ext uri="{FF2B5EF4-FFF2-40B4-BE49-F238E27FC236}">
              <a16:creationId xmlns:a16="http://schemas.microsoft.com/office/drawing/2014/main" id="{25F8C164-377A-947A-B7BA-CA0F18CC185A}"/>
            </a:ext>
          </a:extLst>
        </xdr:cNvPr>
        <xdr:cNvSpPr txBox="1"/>
      </xdr:nvSpPr>
      <xdr:spPr>
        <a:xfrm>
          <a:off x="714375" y="385763"/>
          <a:ext cx="13254037"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rgbClr val="556B2F"/>
              </a:solidFill>
            </a:rPr>
            <a:t>GREENLEAF KPI PERFORMANCE</a:t>
          </a:r>
          <a:r>
            <a:rPr lang="en-US" sz="2200" b="1" baseline="0">
              <a:solidFill>
                <a:srgbClr val="556B2F"/>
              </a:solidFill>
            </a:rPr>
            <a:t> DASHBOARD</a:t>
          </a:r>
          <a:endParaRPr lang="en-US" sz="2200" b="1">
            <a:solidFill>
              <a:srgbClr val="556B2F"/>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359713</xdr:colOff>
      <xdr:row>2</xdr:row>
      <xdr:rowOff>73766</xdr:rowOff>
    </xdr:from>
    <xdr:to>
      <xdr:col>18</xdr:col>
      <xdr:colOff>442913</xdr:colOff>
      <xdr:row>25</xdr:row>
      <xdr:rowOff>4763</xdr:rowOff>
    </xdr:to>
    <xdr:sp macro="" textlink="[1]Working!C4">
      <xdr:nvSpPr>
        <xdr:cNvPr id="2" name="Rectangle 1">
          <a:extLst>
            <a:ext uri="{FF2B5EF4-FFF2-40B4-BE49-F238E27FC236}">
              <a16:creationId xmlns:a16="http://schemas.microsoft.com/office/drawing/2014/main" id="{462B4ACF-2AC8-4C61-B8ED-1E23774962BB}"/>
            </a:ext>
          </a:extLst>
        </xdr:cNvPr>
        <xdr:cNvSpPr/>
      </xdr:nvSpPr>
      <xdr:spPr>
        <a:xfrm>
          <a:off x="9427513" y="435716"/>
          <a:ext cx="2674000" cy="4093422"/>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US" sz="1600" b="1" i="0" u="none" strike="noStrike">
            <a:solidFill>
              <a:schemeClr val="bg2"/>
            </a:solidFill>
            <a:latin typeface="Georgia" panose="02040502050405020303" pitchFamily="18" charset="0"/>
            <a:ea typeface="Calibri"/>
            <a:cs typeface="Calibri"/>
          </a:endParaRPr>
        </a:p>
      </xdr:txBody>
    </xdr:sp>
    <xdr:clientData/>
  </xdr:twoCellAnchor>
  <xdr:twoCellAnchor>
    <xdr:from>
      <xdr:col>10</xdr:col>
      <xdr:colOff>615724</xdr:colOff>
      <xdr:row>15</xdr:row>
      <xdr:rowOff>162698</xdr:rowOff>
    </xdr:from>
    <xdr:to>
      <xdr:col>14</xdr:col>
      <xdr:colOff>325502</xdr:colOff>
      <xdr:row>26</xdr:row>
      <xdr:rowOff>100013</xdr:rowOff>
    </xdr:to>
    <xdr:sp macro="" textlink="[1]Working!C4">
      <xdr:nvSpPr>
        <xdr:cNvPr id="3" name="Rectangle 2">
          <a:extLst>
            <a:ext uri="{FF2B5EF4-FFF2-40B4-BE49-F238E27FC236}">
              <a16:creationId xmlns:a16="http://schemas.microsoft.com/office/drawing/2014/main" id="{97A368DA-9540-41C2-AA3F-643295C76175}"/>
            </a:ext>
          </a:extLst>
        </xdr:cNvPr>
        <xdr:cNvSpPr/>
      </xdr:nvSpPr>
      <xdr:spPr>
        <a:xfrm>
          <a:off x="7092724" y="2877323"/>
          <a:ext cx="2300578" cy="1928040"/>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US" sz="1600" b="1" i="0" u="none" strike="noStrike">
            <a:solidFill>
              <a:schemeClr val="bg2"/>
            </a:solidFill>
            <a:latin typeface="Georgia" panose="02040502050405020303" pitchFamily="18" charset="0"/>
            <a:ea typeface="Calibri"/>
            <a:cs typeface="Calibri"/>
          </a:endParaRPr>
        </a:p>
      </xdr:txBody>
    </xdr:sp>
    <xdr:clientData/>
  </xdr:twoCellAnchor>
  <xdr:twoCellAnchor>
    <xdr:from>
      <xdr:col>7</xdr:col>
      <xdr:colOff>34486</xdr:colOff>
      <xdr:row>15</xdr:row>
      <xdr:rowOff>136073</xdr:rowOff>
    </xdr:from>
    <xdr:to>
      <xdr:col>10</xdr:col>
      <xdr:colOff>590550</xdr:colOff>
      <xdr:row>26</xdr:row>
      <xdr:rowOff>90487</xdr:rowOff>
    </xdr:to>
    <xdr:sp macro="" textlink="[1]Working!C4">
      <xdr:nvSpPr>
        <xdr:cNvPr id="4" name="Rectangle 3">
          <a:extLst>
            <a:ext uri="{FF2B5EF4-FFF2-40B4-BE49-F238E27FC236}">
              <a16:creationId xmlns:a16="http://schemas.microsoft.com/office/drawing/2014/main" id="{BD92356F-9C75-4BB0-9F7F-5966925BB284}"/>
            </a:ext>
          </a:extLst>
        </xdr:cNvPr>
        <xdr:cNvSpPr/>
      </xdr:nvSpPr>
      <xdr:spPr>
        <a:xfrm>
          <a:off x="4568386" y="2850698"/>
          <a:ext cx="2499164" cy="1945139"/>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US" sz="1600" b="1" i="0" u="none" strike="noStrike">
            <a:solidFill>
              <a:schemeClr val="bg2"/>
            </a:solidFill>
            <a:latin typeface="Georgia" panose="02040502050405020303" pitchFamily="18" charset="0"/>
            <a:ea typeface="Calibri"/>
            <a:cs typeface="Calibri"/>
          </a:endParaRPr>
        </a:p>
      </xdr:txBody>
    </xdr:sp>
    <xdr:clientData/>
  </xdr:twoCellAnchor>
  <xdr:twoCellAnchor>
    <xdr:from>
      <xdr:col>2</xdr:col>
      <xdr:colOff>522029</xdr:colOff>
      <xdr:row>15</xdr:row>
      <xdr:rowOff>142285</xdr:rowOff>
    </xdr:from>
    <xdr:to>
      <xdr:col>7</xdr:col>
      <xdr:colOff>0</xdr:colOff>
      <xdr:row>26</xdr:row>
      <xdr:rowOff>90487</xdr:rowOff>
    </xdr:to>
    <xdr:sp macro="" textlink="[1]Working!C4">
      <xdr:nvSpPr>
        <xdr:cNvPr id="5" name="Rectangle 4">
          <a:extLst>
            <a:ext uri="{FF2B5EF4-FFF2-40B4-BE49-F238E27FC236}">
              <a16:creationId xmlns:a16="http://schemas.microsoft.com/office/drawing/2014/main" id="{A583A877-C8F8-4216-BB83-B82622AC836B}"/>
            </a:ext>
          </a:extLst>
        </xdr:cNvPr>
        <xdr:cNvSpPr/>
      </xdr:nvSpPr>
      <xdr:spPr>
        <a:xfrm>
          <a:off x="1817429" y="2856910"/>
          <a:ext cx="2716471" cy="1938927"/>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endParaRPr lang="en-US" sz="1600" b="1" i="0" u="none" strike="noStrike">
            <a:solidFill>
              <a:schemeClr val="bg2"/>
            </a:solidFill>
            <a:latin typeface="Georgia" panose="02040502050405020303" pitchFamily="18" charset="0"/>
            <a:ea typeface="Calibri"/>
            <a:cs typeface="Calibri"/>
          </a:endParaRPr>
        </a:p>
      </xdr:txBody>
    </xdr:sp>
    <xdr:clientData/>
  </xdr:twoCellAnchor>
  <xdr:twoCellAnchor>
    <xdr:from>
      <xdr:col>0</xdr:col>
      <xdr:colOff>62495</xdr:colOff>
      <xdr:row>0</xdr:row>
      <xdr:rowOff>38587</xdr:rowOff>
    </xdr:from>
    <xdr:to>
      <xdr:col>23</xdr:col>
      <xdr:colOff>329195</xdr:colOff>
      <xdr:row>2</xdr:row>
      <xdr:rowOff>20704</xdr:rowOff>
    </xdr:to>
    <xdr:sp macro="" textlink="">
      <xdr:nvSpPr>
        <xdr:cNvPr id="7" name="Rectangle 6">
          <a:extLst>
            <a:ext uri="{FF2B5EF4-FFF2-40B4-BE49-F238E27FC236}">
              <a16:creationId xmlns:a16="http://schemas.microsoft.com/office/drawing/2014/main" id="{B6976A6E-76AC-4359-AD35-48DFF60240DF}"/>
            </a:ext>
          </a:extLst>
        </xdr:cNvPr>
        <xdr:cNvSpPr/>
      </xdr:nvSpPr>
      <xdr:spPr>
        <a:xfrm>
          <a:off x="62495" y="38587"/>
          <a:ext cx="15163800" cy="344067"/>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0</xdr:row>
      <xdr:rowOff>33336</xdr:rowOff>
    </xdr:from>
    <xdr:to>
      <xdr:col>16</xdr:col>
      <xdr:colOff>87474</xdr:colOff>
      <xdr:row>2</xdr:row>
      <xdr:rowOff>9525</xdr:rowOff>
    </xdr:to>
    <xdr:sp macro="" textlink="">
      <xdr:nvSpPr>
        <xdr:cNvPr id="8" name="TextBox 7">
          <a:extLst>
            <a:ext uri="{FF2B5EF4-FFF2-40B4-BE49-F238E27FC236}">
              <a16:creationId xmlns:a16="http://schemas.microsoft.com/office/drawing/2014/main" id="{5268DFFA-3DCA-4A9E-A6D9-752FE6D5ED12}"/>
            </a:ext>
          </a:extLst>
        </xdr:cNvPr>
        <xdr:cNvSpPr txBox="1"/>
      </xdr:nvSpPr>
      <xdr:spPr>
        <a:xfrm>
          <a:off x="5353049" y="33336"/>
          <a:ext cx="5097625" cy="33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n>
                <a:noFill/>
              </a:ln>
              <a:solidFill>
                <a:srgbClr val="D8D6CE"/>
              </a:solidFill>
              <a:latin typeface="Georgia" panose="02040502050405020303" pitchFamily="18" charset="0"/>
            </a:rPr>
            <a:t>Greenleaf KPI </a:t>
          </a:r>
          <a:r>
            <a:rPr lang="en-US" sz="1800" b="1" baseline="0">
              <a:ln>
                <a:noFill/>
              </a:ln>
              <a:solidFill>
                <a:srgbClr val="D8D6CE"/>
              </a:solidFill>
              <a:latin typeface="Georgia" panose="02040502050405020303" pitchFamily="18" charset="0"/>
            </a:rPr>
            <a:t>Performance Dashboard</a:t>
          </a:r>
          <a:endParaRPr lang="en-US" sz="1800" b="1">
            <a:ln>
              <a:noFill/>
            </a:ln>
            <a:solidFill>
              <a:srgbClr val="D8D6CE"/>
            </a:solidFill>
            <a:latin typeface="Georgia" panose="02040502050405020303" pitchFamily="18" charset="0"/>
            <a:ea typeface="+mn-ea"/>
            <a:cs typeface="+mn-cs"/>
          </a:endParaRPr>
        </a:p>
      </xdr:txBody>
    </xdr:sp>
    <xdr:clientData/>
  </xdr:twoCellAnchor>
  <xdr:twoCellAnchor>
    <xdr:from>
      <xdr:col>0</xdr:col>
      <xdr:colOff>9720</xdr:colOff>
      <xdr:row>6</xdr:row>
      <xdr:rowOff>66286</xdr:rowOff>
    </xdr:from>
    <xdr:to>
      <xdr:col>2</xdr:col>
      <xdr:colOff>90682</xdr:colOff>
      <xdr:row>8</xdr:row>
      <xdr:rowOff>42475</xdr:rowOff>
    </xdr:to>
    <xdr:sp macro="" textlink="">
      <xdr:nvSpPr>
        <xdr:cNvPr id="15" name="TextBox 14">
          <a:extLst>
            <a:ext uri="{FF2B5EF4-FFF2-40B4-BE49-F238E27FC236}">
              <a16:creationId xmlns:a16="http://schemas.microsoft.com/office/drawing/2014/main" id="{655359FF-7E31-4416-ABCC-7B900C55216C}"/>
            </a:ext>
          </a:extLst>
        </xdr:cNvPr>
        <xdr:cNvSpPr txBox="1"/>
      </xdr:nvSpPr>
      <xdr:spPr>
        <a:xfrm>
          <a:off x="9720" y="1152136"/>
          <a:ext cx="1376362" cy="33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ln>
                <a:noFill/>
              </a:ln>
              <a:solidFill>
                <a:srgbClr val="F2F4F3"/>
              </a:solidFill>
              <a:latin typeface="Georgia" panose="02040502050405020303" pitchFamily="18" charset="0"/>
              <a:ea typeface="+mn-ea"/>
              <a:cs typeface="+mn-cs"/>
            </a:rPr>
            <a:t>Total Profit</a:t>
          </a:r>
        </a:p>
      </xdr:txBody>
    </xdr:sp>
    <xdr:clientData/>
  </xdr:twoCellAnchor>
  <xdr:twoCellAnchor>
    <xdr:from>
      <xdr:col>0</xdr:col>
      <xdr:colOff>0</xdr:colOff>
      <xdr:row>10</xdr:row>
      <xdr:rowOff>127811</xdr:rowOff>
    </xdr:from>
    <xdr:to>
      <xdr:col>2</xdr:col>
      <xdr:colOff>80962</xdr:colOff>
      <xdr:row>12</xdr:row>
      <xdr:rowOff>104000</xdr:rowOff>
    </xdr:to>
    <xdr:sp macro="" textlink="">
      <xdr:nvSpPr>
        <xdr:cNvPr id="16" name="TextBox 15">
          <a:extLst>
            <a:ext uri="{FF2B5EF4-FFF2-40B4-BE49-F238E27FC236}">
              <a16:creationId xmlns:a16="http://schemas.microsoft.com/office/drawing/2014/main" id="{7567E193-B78B-46D3-803A-069DF4924B2F}"/>
            </a:ext>
          </a:extLst>
        </xdr:cNvPr>
        <xdr:cNvSpPr txBox="1"/>
      </xdr:nvSpPr>
      <xdr:spPr>
        <a:xfrm>
          <a:off x="0" y="1937561"/>
          <a:ext cx="1376362" cy="33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ln>
                <a:noFill/>
              </a:ln>
              <a:solidFill>
                <a:srgbClr val="F2F4F3"/>
              </a:solidFill>
              <a:latin typeface="Georgia" panose="02040502050405020303" pitchFamily="18" charset="0"/>
              <a:ea typeface="+mn-ea"/>
              <a:cs typeface="+mn-cs"/>
            </a:rPr>
            <a:t>Profit</a:t>
          </a:r>
          <a:r>
            <a:rPr lang="en-US" sz="1100" b="0" baseline="0">
              <a:ln>
                <a:noFill/>
              </a:ln>
              <a:solidFill>
                <a:srgbClr val="F2F4F3"/>
              </a:solidFill>
              <a:latin typeface="Georgia" panose="02040502050405020303" pitchFamily="18" charset="0"/>
              <a:ea typeface="+mn-ea"/>
              <a:cs typeface="+mn-cs"/>
            </a:rPr>
            <a:t> Margin</a:t>
          </a:r>
          <a:endParaRPr lang="en-US" sz="1100" b="0">
            <a:ln>
              <a:noFill/>
            </a:ln>
            <a:solidFill>
              <a:srgbClr val="F2F4F3"/>
            </a:solidFill>
            <a:latin typeface="Georgia" panose="02040502050405020303" pitchFamily="18" charset="0"/>
            <a:ea typeface="+mn-ea"/>
            <a:cs typeface="+mn-cs"/>
          </a:endParaRPr>
        </a:p>
      </xdr:txBody>
    </xdr:sp>
    <xdr:clientData/>
  </xdr:twoCellAnchor>
  <xdr:twoCellAnchor>
    <xdr:from>
      <xdr:col>0</xdr:col>
      <xdr:colOff>0</xdr:colOff>
      <xdr:row>15</xdr:row>
      <xdr:rowOff>4182</xdr:rowOff>
    </xdr:from>
    <xdr:to>
      <xdr:col>2</xdr:col>
      <xdr:colOff>200024</xdr:colOff>
      <xdr:row>16</xdr:row>
      <xdr:rowOff>160180</xdr:rowOff>
    </xdr:to>
    <xdr:sp macro="" textlink="">
      <xdr:nvSpPr>
        <xdr:cNvPr id="17" name="TextBox 16">
          <a:extLst>
            <a:ext uri="{FF2B5EF4-FFF2-40B4-BE49-F238E27FC236}">
              <a16:creationId xmlns:a16="http://schemas.microsoft.com/office/drawing/2014/main" id="{6A358B28-2BC0-4C92-9917-5C84B040A4C4}"/>
            </a:ext>
          </a:extLst>
        </xdr:cNvPr>
        <xdr:cNvSpPr txBox="1"/>
      </xdr:nvSpPr>
      <xdr:spPr>
        <a:xfrm>
          <a:off x="0" y="2718807"/>
          <a:ext cx="1495424" cy="336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ln>
                <a:noFill/>
              </a:ln>
              <a:solidFill>
                <a:srgbClr val="F2F4F3"/>
              </a:solidFill>
              <a:latin typeface="Georgia" panose="02040502050405020303" pitchFamily="18" charset="0"/>
              <a:ea typeface="+mn-ea"/>
              <a:cs typeface="+mn-cs"/>
            </a:rPr>
            <a:t>Average</a:t>
          </a:r>
          <a:r>
            <a:rPr lang="en-US" sz="1100" b="0" baseline="0">
              <a:ln>
                <a:noFill/>
              </a:ln>
              <a:solidFill>
                <a:srgbClr val="F2F4F3"/>
              </a:solidFill>
              <a:latin typeface="Georgia" panose="02040502050405020303" pitchFamily="18" charset="0"/>
              <a:ea typeface="+mn-ea"/>
              <a:cs typeface="+mn-cs"/>
            </a:rPr>
            <a:t> Order Value</a:t>
          </a:r>
          <a:endParaRPr lang="en-US" sz="1100" b="0">
            <a:ln>
              <a:noFill/>
            </a:ln>
            <a:solidFill>
              <a:srgbClr val="F2F4F3"/>
            </a:solidFill>
            <a:latin typeface="Georgia" panose="02040502050405020303" pitchFamily="18" charset="0"/>
            <a:ea typeface="+mn-ea"/>
            <a:cs typeface="+mn-cs"/>
          </a:endParaRPr>
        </a:p>
      </xdr:txBody>
    </xdr:sp>
    <xdr:clientData/>
  </xdr:twoCellAnchor>
  <xdr:twoCellAnchor>
    <xdr:from>
      <xdr:col>0</xdr:col>
      <xdr:colOff>9718</xdr:colOff>
      <xdr:row>19</xdr:row>
      <xdr:rowOff>149778</xdr:rowOff>
    </xdr:from>
    <xdr:to>
      <xdr:col>2</xdr:col>
      <xdr:colOff>319088</xdr:colOff>
      <xdr:row>21</xdr:row>
      <xdr:rowOff>125967</xdr:rowOff>
    </xdr:to>
    <xdr:sp macro="" textlink="">
      <xdr:nvSpPr>
        <xdr:cNvPr id="18" name="TextBox 17">
          <a:extLst>
            <a:ext uri="{FF2B5EF4-FFF2-40B4-BE49-F238E27FC236}">
              <a16:creationId xmlns:a16="http://schemas.microsoft.com/office/drawing/2014/main" id="{19604E2E-2A01-48D2-A791-0AD5FFB55D59}"/>
            </a:ext>
          </a:extLst>
        </xdr:cNvPr>
        <xdr:cNvSpPr txBox="1"/>
      </xdr:nvSpPr>
      <xdr:spPr>
        <a:xfrm>
          <a:off x="9718" y="3588303"/>
          <a:ext cx="1604770" cy="338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ln>
                <a:noFill/>
              </a:ln>
              <a:solidFill>
                <a:srgbClr val="F2F4F3"/>
              </a:solidFill>
              <a:latin typeface="Georgia" panose="02040502050405020303" pitchFamily="18" charset="0"/>
              <a:ea typeface="+mn-ea"/>
              <a:cs typeface="+mn-cs"/>
            </a:rPr>
            <a:t>Delivery</a:t>
          </a:r>
          <a:r>
            <a:rPr lang="en-US" sz="1100" b="0" baseline="0">
              <a:ln>
                <a:noFill/>
              </a:ln>
              <a:solidFill>
                <a:srgbClr val="F2F4F3"/>
              </a:solidFill>
              <a:latin typeface="Georgia" panose="02040502050405020303" pitchFamily="18" charset="0"/>
              <a:ea typeface="+mn-ea"/>
              <a:cs typeface="+mn-cs"/>
            </a:rPr>
            <a:t> Success Rate</a:t>
          </a:r>
          <a:endParaRPr lang="en-US" sz="1100" b="0">
            <a:ln>
              <a:noFill/>
            </a:ln>
            <a:solidFill>
              <a:srgbClr val="F2F4F3"/>
            </a:solidFill>
            <a:latin typeface="Georgia" panose="02040502050405020303" pitchFamily="18" charset="0"/>
            <a:ea typeface="+mn-ea"/>
            <a:cs typeface="+mn-cs"/>
          </a:endParaRPr>
        </a:p>
      </xdr:txBody>
    </xdr:sp>
    <xdr:clientData/>
  </xdr:twoCellAnchor>
  <xdr:twoCellAnchor>
    <xdr:from>
      <xdr:col>2</xdr:col>
      <xdr:colOff>541174</xdr:colOff>
      <xdr:row>2</xdr:row>
      <xdr:rowOff>93889</xdr:rowOff>
    </xdr:from>
    <xdr:to>
      <xdr:col>5</xdr:col>
      <xdr:colOff>583163</xdr:colOff>
      <xdr:row>4</xdr:row>
      <xdr:rowOff>71245</xdr:rowOff>
    </xdr:to>
    <xdr:sp macro="" textlink="">
      <xdr:nvSpPr>
        <xdr:cNvPr id="24" name="TextBox 23">
          <a:extLst>
            <a:ext uri="{FF2B5EF4-FFF2-40B4-BE49-F238E27FC236}">
              <a16:creationId xmlns:a16="http://schemas.microsoft.com/office/drawing/2014/main" id="{692D3DDA-C3EE-4198-B08E-3557B579FD81}"/>
            </a:ext>
          </a:extLst>
        </xdr:cNvPr>
        <xdr:cNvSpPr txBox="1"/>
      </xdr:nvSpPr>
      <xdr:spPr>
        <a:xfrm>
          <a:off x="1836574" y="455839"/>
          <a:ext cx="1985089" cy="339306"/>
        </a:xfrm>
        <a:prstGeom prst="rect">
          <a:avLst/>
        </a:prstGeom>
        <a:solidFill>
          <a:srgbClr val="D8D6C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n>
                <a:noFill/>
              </a:ln>
              <a:solidFill>
                <a:srgbClr val="5D5D00"/>
              </a:solidFill>
              <a:latin typeface="Georgia" panose="02040502050405020303" pitchFamily="18" charset="0"/>
            </a:rPr>
            <a:t>Trend</a:t>
          </a:r>
          <a:r>
            <a:rPr lang="en-US" sz="1100" baseline="0">
              <a:ln>
                <a:noFill/>
              </a:ln>
              <a:solidFill>
                <a:srgbClr val="5D5D00"/>
              </a:solidFill>
              <a:latin typeface="Georgia" panose="02040502050405020303" pitchFamily="18" charset="0"/>
            </a:rPr>
            <a:t> of Profit by Year</a:t>
          </a:r>
          <a:endParaRPr lang="en-US" sz="1100">
            <a:ln>
              <a:noFill/>
            </a:ln>
            <a:solidFill>
              <a:srgbClr val="5D5D00"/>
            </a:solidFill>
            <a:latin typeface="Georgia" panose="02040502050405020303" pitchFamily="18" charset="0"/>
            <a:ea typeface="+mn-ea"/>
            <a:cs typeface="+mn-cs"/>
          </a:endParaRPr>
        </a:p>
      </xdr:txBody>
    </xdr:sp>
    <xdr:clientData/>
  </xdr:twoCellAnchor>
  <xdr:twoCellAnchor>
    <xdr:from>
      <xdr:col>10</xdr:col>
      <xdr:colOff>606099</xdr:colOff>
      <xdr:row>15</xdr:row>
      <xdr:rowOff>139375</xdr:rowOff>
    </xdr:from>
    <xdr:to>
      <xdr:col>13</xdr:col>
      <xdr:colOff>614362</xdr:colOff>
      <xdr:row>17</xdr:row>
      <xdr:rowOff>42601</xdr:rowOff>
    </xdr:to>
    <xdr:sp macro="" textlink="">
      <xdr:nvSpPr>
        <xdr:cNvPr id="25" name="TextBox 24">
          <a:extLst>
            <a:ext uri="{FF2B5EF4-FFF2-40B4-BE49-F238E27FC236}">
              <a16:creationId xmlns:a16="http://schemas.microsoft.com/office/drawing/2014/main" id="{9DD1E003-4F77-41E3-AD1C-E0E08F2A75D1}"/>
            </a:ext>
          </a:extLst>
        </xdr:cNvPr>
        <xdr:cNvSpPr txBox="1"/>
      </xdr:nvSpPr>
      <xdr:spPr>
        <a:xfrm>
          <a:off x="7083099" y="2854000"/>
          <a:ext cx="1951363"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ln>
                <a:noFill/>
              </a:ln>
              <a:solidFill>
                <a:srgbClr val="F2F4F3"/>
              </a:solidFill>
              <a:latin typeface="Georgia" panose="02040502050405020303" pitchFamily="18" charset="0"/>
              <a:ea typeface="+mn-ea"/>
              <a:cs typeface="+mn-cs"/>
            </a:rPr>
            <a:t>Return Rate by Category</a:t>
          </a:r>
        </a:p>
      </xdr:txBody>
    </xdr:sp>
    <xdr:clientData/>
  </xdr:twoCellAnchor>
  <xdr:twoCellAnchor>
    <xdr:from>
      <xdr:col>7</xdr:col>
      <xdr:colOff>78141</xdr:colOff>
      <xdr:row>15</xdr:row>
      <xdr:rowOff>165422</xdr:rowOff>
    </xdr:from>
    <xdr:to>
      <xdr:col>9</xdr:col>
      <xdr:colOff>123825</xdr:colOff>
      <xdr:row>17</xdr:row>
      <xdr:rowOff>38100</xdr:rowOff>
    </xdr:to>
    <xdr:sp macro="" textlink="">
      <xdr:nvSpPr>
        <xdr:cNvPr id="26" name="TextBox 25">
          <a:extLst>
            <a:ext uri="{FF2B5EF4-FFF2-40B4-BE49-F238E27FC236}">
              <a16:creationId xmlns:a16="http://schemas.microsoft.com/office/drawing/2014/main" id="{DB32D45D-7DC7-4046-89B1-16796A1CA078}"/>
            </a:ext>
          </a:extLst>
        </xdr:cNvPr>
        <xdr:cNvSpPr txBox="1"/>
      </xdr:nvSpPr>
      <xdr:spPr>
        <a:xfrm>
          <a:off x="4612041" y="2880047"/>
          <a:ext cx="1341084" cy="234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ln>
                <a:noFill/>
              </a:ln>
              <a:solidFill>
                <a:srgbClr val="F2F4F3"/>
              </a:solidFill>
              <a:latin typeface="Georgia" panose="02040502050405020303" pitchFamily="18" charset="0"/>
              <a:ea typeface="+mn-ea"/>
              <a:cs typeface="+mn-cs"/>
            </a:rPr>
            <a:t>Top 10 Customers</a:t>
          </a:r>
        </a:p>
      </xdr:txBody>
    </xdr:sp>
    <xdr:clientData/>
  </xdr:twoCellAnchor>
  <xdr:twoCellAnchor>
    <xdr:from>
      <xdr:col>2</xdr:col>
      <xdr:colOff>541562</xdr:colOff>
      <xdr:row>15</xdr:row>
      <xdr:rowOff>167172</xdr:rowOff>
    </xdr:from>
    <xdr:to>
      <xdr:col>4</xdr:col>
      <xdr:colOff>523876</xdr:colOff>
      <xdr:row>17</xdr:row>
      <xdr:rowOff>70398</xdr:rowOff>
    </xdr:to>
    <xdr:sp macro="" textlink="">
      <xdr:nvSpPr>
        <xdr:cNvPr id="27" name="TextBox 26">
          <a:extLst>
            <a:ext uri="{FF2B5EF4-FFF2-40B4-BE49-F238E27FC236}">
              <a16:creationId xmlns:a16="http://schemas.microsoft.com/office/drawing/2014/main" id="{D33AF266-5800-4DE6-B528-C67A48985F56}"/>
            </a:ext>
          </a:extLst>
        </xdr:cNvPr>
        <xdr:cNvSpPr txBox="1"/>
      </xdr:nvSpPr>
      <xdr:spPr>
        <a:xfrm>
          <a:off x="1836962" y="2881797"/>
          <a:ext cx="1277714"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ln>
                <a:noFill/>
              </a:ln>
              <a:solidFill>
                <a:srgbClr val="F2F4F3"/>
              </a:solidFill>
              <a:latin typeface="Georgia" panose="02040502050405020303" pitchFamily="18" charset="0"/>
              <a:ea typeface="+mn-ea"/>
              <a:cs typeface="+mn-cs"/>
            </a:rPr>
            <a:t>Profit by Product</a:t>
          </a:r>
        </a:p>
      </xdr:txBody>
    </xdr:sp>
    <xdr:clientData/>
  </xdr:twoCellAnchor>
  <xdr:twoCellAnchor>
    <xdr:from>
      <xdr:col>14</xdr:col>
      <xdr:colOff>403741</xdr:colOff>
      <xdr:row>2</xdr:row>
      <xdr:rowOff>82810</xdr:rowOff>
    </xdr:from>
    <xdr:to>
      <xdr:col>17</xdr:col>
      <xdr:colOff>542924</xdr:colOff>
      <xdr:row>3</xdr:row>
      <xdr:rowOff>167011</xdr:rowOff>
    </xdr:to>
    <xdr:sp macro="" textlink="">
      <xdr:nvSpPr>
        <xdr:cNvPr id="28" name="TextBox 27">
          <a:extLst>
            <a:ext uri="{FF2B5EF4-FFF2-40B4-BE49-F238E27FC236}">
              <a16:creationId xmlns:a16="http://schemas.microsoft.com/office/drawing/2014/main" id="{203AAA54-61C8-47DA-B013-07D3F85FE390}"/>
            </a:ext>
          </a:extLst>
        </xdr:cNvPr>
        <xdr:cNvSpPr txBox="1"/>
      </xdr:nvSpPr>
      <xdr:spPr>
        <a:xfrm>
          <a:off x="9471541" y="444760"/>
          <a:ext cx="2082283" cy="265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ln>
                <a:noFill/>
              </a:ln>
              <a:solidFill>
                <a:srgbClr val="F2F4F3"/>
              </a:solidFill>
              <a:latin typeface="Georgia" panose="02040502050405020303" pitchFamily="18" charset="0"/>
              <a:ea typeface="+mn-ea"/>
              <a:cs typeface="+mn-cs"/>
            </a:rPr>
            <a:t>Shipping Distribution by State</a:t>
          </a:r>
        </a:p>
      </xdr:txBody>
    </xdr:sp>
    <xdr:clientData/>
  </xdr:twoCellAnchor>
  <xdr:twoCellAnchor>
    <xdr:from>
      <xdr:col>18</xdr:col>
      <xdr:colOff>487633</xdr:colOff>
      <xdr:row>2</xdr:row>
      <xdr:rowOff>56254</xdr:rowOff>
    </xdr:from>
    <xdr:to>
      <xdr:col>21</xdr:col>
      <xdr:colOff>195263</xdr:colOff>
      <xdr:row>11</xdr:row>
      <xdr:rowOff>4762</xdr:rowOff>
    </xdr:to>
    <mc:AlternateContent xmlns:mc="http://schemas.openxmlformats.org/markup-compatibility/2006">
      <mc:Choice xmlns:a14="http://schemas.microsoft.com/office/drawing/2010/main" Requires="a14">
        <xdr:graphicFrame macro="">
          <xdr:nvGraphicFramePr>
            <xdr:cNvPr id="34" name="Months (Order Date) 1">
              <a:extLst>
                <a:ext uri="{FF2B5EF4-FFF2-40B4-BE49-F238E27FC236}">
                  <a16:creationId xmlns:a16="http://schemas.microsoft.com/office/drawing/2014/main" id="{DA00A6F7-6170-2F8E-612B-2136AAF7937A}"/>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2146233" y="418204"/>
              <a:ext cx="1650730" cy="1577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500062</xdr:colOff>
      <xdr:row>11</xdr:row>
      <xdr:rowOff>47624</xdr:rowOff>
    </xdr:from>
    <xdr:to>
      <xdr:col>21</xdr:col>
      <xdr:colOff>194310</xdr:colOff>
      <xdr:row>18</xdr:row>
      <xdr:rowOff>61911</xdr:rowOff>
    </xdr:to>
    <mc:AlternateContent xmlns:mc="http://schemas.openxmlformats.org/markup-compatibility/2006">
      <mc:Choice xmlns:a14="http://schemas.microsoft.com/office/drawing/2010/main" Requires="a14">
        <xdr:graphicFrame macro="">
          <xdr:nvGraphicFramePr>
            <xdr:cNvPr id="37" name="State 1">
              <a:extLst>
                <a:ext uri="{FF2B5EF4-FFF2-40B4-BE49-F238E27FC236}">
                  <a16:creationId xmlns:a16="http://schemas.microsoft.com/office/drawing/2014/main" id="{50D8D88D-7032-2E47-C4DD-CF221E153245}"/>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158662" y="2038349"/>
              <a:ext cx="1637348" cy="1281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495299</xdr:colOff>
      <xdr:row>18</xdr:row>
      <xdr:rowOff>90487</xdr:rowOff>
    </xdr:from>
    <xdr:to>
      <xdr:col>21</xdr:col>
      <xdr:colOff>180975</xdr:colOff>
      <xdr:row>24</xdr:row>
      <xdr:rowOff>38100</xdr:rowOff>
    </xdr:to>
    <mc:AlternateContent xmlns:mc="http://schemas.openxmlformats.org/markup-compatibility/2006">
      <mc:Choice xmlns:a14="http://schemas.microsoft.com/office/drawing/2010/main" Requires="a14">
        <xdr:graphicFrame macro="">
          <xdr:nvGraphicFramePr>
            <xdr:cNvPr id="40" name="Product Category 1">
              <a:extLst>
                <a:ext uri="{FF2B5EF4-FFF2-40B4-BE49-F238E27FC236}">
                  <a16:creationId xmlns:a16="http://schemas.microsoft.com/office/drawing/2014/main" id="{CEDE8E6E-01A8-2CB6-29D1-96B6A28FB8CC}"/>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2153899" y="3348037"/>
              <a:ext cx="1628776" cy="1033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524554</xdr:colOff>
      <xdr:row>2</xdr:row>
      <xdr:rowOff>78530</xdr:rowOff>
    </xdr:from>
    <xdr:to>
      <xdr:col>14</xdr:col>
      <xdr:colOff>330167</xdr:colOff>
      <xdr:row>15</xdr:row>
      <xdr:rowOff>101470</xdr:rowOff>
    </xdr:to>
    <xdr:sp macro="" textlink="">
      <xdr:nvSpPr>
        <xdr:cNvPr id="6" name="Rectangle 5">
          <a:extLst>
            <a:ext uri="{FF2B5EF4-FFF2-40B4-BE49-F238E27FC236}">
              <a16:creationId xmlns:a16="http://schemas.microsoft.com/office/drawing/2014/main" id="{2E015D63-F2AA-4E43-90BE-6747625B15B2}"/>
            </a:ext>
          </a:extLst>
        </xdr:cNvPr>
        <xdr:cNvSpPr/>
      </xdr:nvSpPr>
      <xdr:spPr>
        <a:xfrm>
          <a:off x="1819954" y="440480"/>
          <a:ext cx="7578013" cy="2375615"/>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600" b="1" i="0" u="none" strike="noStrike">
            <a:solidFill>
              <a:schemeClr val="bg2"/>
            </a:solidFill>
            <a:latin typeface="Georgia" panose="02040502050405020303" pitchFamily="18" charset="0"/>
            <a:ea typeface="Calibri"/>
            <a:cs typeface="Calibri"/>
          </a:endParaRPr>
        </a:p>
      </xdr:txBody>
    </xdr:sp>
    <xdr:clientData/>
  </xdr:twoCellAnchor>
  <xdr:twoCellAnchor>
    <xdr:from>
      <xdr:col>0</xdr:col>
      <xdr:colOff>43932</xdr:colOff>
      <xdr:row>2</xdr:row>
      <xdr:rowOff>57730</xdr:rowOff>
    </xdr:from>
    <xdr:to>
      <xdr:col>2</xdr:col>
      <xdr:colOff>476250</xdr:colOff>
      <xdr:row>6</xdr:row>
      <xdr:rowOff>33338</xdr:rowOff>
    </xdr:to>
    <xdr:sp macro="" textlink="'Pivot Table &amp; Charts'!B5">
      <xdr:nvSpPr>
        <xdr:cNvPr id="9" name="Rectangle 8">
          <a:extLst>
            <a:ext uri="{FF2B5EF4-FFF2-40B4-BE49-F238E27FC236}">
              <a16:creationId xmlns:a16="http://schemas.microsoft.com/office/drawing/2014/main" id="{806535E5-51E8-41DC-A6BC-1D4030CFD59D}"/>
            </a:ext>
          </a:extLst>
        </xdr:cNvPr>
        <xdr:cNvSpPr/>
      </xdr:nvSpPr>
      <xdr:spPr>
        <a:xfrm>
          <a:off x="43932" y="419680"/>
          <a:ext cx="1727718" cy="699508"/>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98810F1A-DC89-4422-BC15-B41610278C84}" type="TxLink">
            <a:rPr lang="en-US" sz="1600" b="1" i="0" u="none" strike="noStrike">
              <a:solidFill>
                <a:srgbClr val="D8D6CE"/>
              </a:solidFill>
              <a:latin typeface="Georgia" panose="02040502050405020303" pitchFamily="18" charset="0"/>
              <a:ea typeface="Calibri"/>
              <a:cs typeface="Calibri"/>
            </a:rPr>
            <a:pPr marL="0" indent="0" algn="l"/>
            <a:t> $117,278 </a:t>
          </a:fld>
          <a:endParaRPr lang="en-US" sz="1600" b="1" i="0" u="none" strike="noStrike">
            <a:solidFill>
              <a:srgbClr val="D8D6CE"/>
            </a:solidFill>
            <a:latin typeface="Georgia" panose="02040502050405020303" pitchFamily="18" charset="0"/>
            <a:ea typeface="Calibri"/>
            <a:cs typeface="Calibri"/>
          </a:endParaRPr>
        </a:p>
      </xdr:txBody>
    </xdr:sp>
    <xdr:clientData/>
  </xdr:twoCellAnchor>
  <xdr:twoCellAnchor>
    <xdr:from>
      <xdr:col>0</xdr:col>
      <xdr:colOff>19633</xdr:colOff>
      <xdr:row>2</xdr:row>
      <xdr:rowOff>48208</xdr:rowOff>
    </xdr:from>
    <xdr:to>
      <xdr:col>2</xdr:col>
      <xdr:colOff>100595</xdr:colOff>
      <xdr:row>4</xdr:row>
      <xdr:rowOff>25564</xdr:rowOff>
    </xdr:to>
    <xdr:sp macro="" textlink="">
      <xdr:nvSpPr>
        <xdr:cNvPr id="14" name="TextBox 13">
          <a:extLst>
            <a:ext uri="{FF2B5EF4-FFF2-40B4-BE49-F238E27FC236}">
              <a16:creationId xmlns:a16="http://schemas.microsoft.com/office/drawing/2014/main" id="{2F3999A6-3C67-45EA-8C14-282C49A8385D}"/>
            </a:ext>
          </a:extLst>
        </xdr:cNvPr>
        <xdr:cNvSpPr txBox="1"/>
      </xdr:nvSpPr>
      <xdr:spPr>
        <a:xfrm>
          <a:off x="19633" y="410158"/>
          <a:ext cx="1376362" cy="33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D8D6CE"/>
              </a:solidFill>
              <a:latin typeface="Georgia" panose="02040502050405020303" pitchFamily="18" charset="0"/>
            </a:rPr>
            <a:t>Total Revenue</a:t>
          </a:r>
          <a:endParaRPr lang="en-US" sz="1100" b="0">
            <a:ln>
              <a:noFill/>
            </a:ln>
            <a:solidFill>
              <a:srgbClr val="D8D6CE"/>
            </a:solidFill>
            <a:latin typeface="Georgia" panose="02040502050405020303" pitchFamily="18" charset="0"/>
            <a:ea typeface="+mn-ea"/>
            <a:cs typeface="+mn-cs"/>
          </a:endParaRPr>
        </a:p>
      </xdr:txBody>
    </xdr:sp>
    <xdr:clientData/>
  </xdr:twoCellAnchor>
  <xdr:twoCellAnchor>
    <xdr:from>
      <xdr:col>1</xdr:col>
      <xdr:colOff>461966</xdr:colOff>
      <xdr:row>4</xdr:row>
      <xdr:rowOff>121501</xdr:rowOff>
    </xdr:from>
    <xdr:to>
      <xdr:col>2</xdr:col>
      <xdr:colOff>452437</xdr:colOff>
      <xdr:row>6</xdr:row>
      <xdr:rowOff>9525</xdr:rowOff>
    </xdr:to>
    <xdr:sp macro="" textlink="'Pivot Table &amp; Charts'!F176">
      <xdr:nvSpPr>
        <xdr:cNvPr id="31" name="TextBox 30">
          <a:extLst>
            <a:ext uri="{FF2B5EF4-FFF2-40B4-BE49-F238E27FC236}">
              <a16:creationId xmlns:a16="http://schemas.microsoft.com/office/drawing/2014/main" id="{3E1BEF19-0B64-9810-85A4-67386BED4916}"/>
            </a:ext>
          </a:extLst>
        </xdr:cNvPr>
        <xdr:cNvSpPr txBox="1"/>
      </xdr:nvSpPr>
      <xdr:spPr>
        <a:xfrm>
          <a:off x="1109666" y="845401"/>
          <a:ext cx="638171" cy="249974"/>
        </a:xfrm>
        <a:prstGeom prst="rect">
          <a:avLst/>
        </a:prstGeom>
        <a:solidFill>
          <a:srgbClr val="556B2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DFD5FA-32A9-40AD-B050-1628B21DE3C9}" type="TxLink">
            <a:rPr lang="en-US" sz="1000" b="1" i="0" u="none" strike="noStrike">
              <a:solidFill>
                <a:srgbClr val="D8D6CE"/>
              </a:solidFill>
              <a:latin typeface="Aptos Narrow"/>
            </a:rPr>
            <a:t>  -1 8.8%</a:t>
          </a:fld>
          <a:r>
            <a:rPr lang="en-US" sz="1000" b="1" i="0" u="none" strike="noStrike">
              <a:solidFill>
                <a:srgbClr val="D8D6CE"/>
              </a:solidFill>
              <a:latin typeface="Aptos Narrow"/>
            </a:rPr>
            <a:t>       </a:t>
          </a:r>
          <a:endParaRPr lang="en-US" sz="1000" b="1">
            <a:solidFill>
              <a:srgbClr val="D8D6CE"/>
            </a:solidFill>
          </a:endParaRPr>
        </a:p>
      </xdr:txBody>
    </xdr:sp>
    <xdr:clientData/>
  </xdr:twoCellAnchor>
  <xdr:twoCellAnchor>
    <xdr:from>
      <xdr:col>2</xdr:col>
      <xdr:colOff>633413</xdr:colOff>
      <xdr:row>2</xdr:row>
      <xdr:rowOff>171450</xdr:rowOff>
    </xdr:from>
    <xdr:to>
      <xdr:col>14</xdr:col>
      <xdr:colOff>361951</xdr:colOff>
      <xdr:row>15</xdr:row>
      <xdr:rowOff>128589</xdr:rowOff>
    </xdr:to>
    <xdr:graphicFrame macro="">
      <xdr:nvGraphicFramePr>
        <xdr:cNvPr id="66" name="Chart 65">
          <a:extLst>
            <a:ext uri="{FF2B5EF4-FFF2-40B4-BE49-F238E27FC236}">
              <a16:creationId xmlns:a16="http://schemas.microsoft.com/office/drawing/2014/main" id="{F6F0FE7A-CC5D-4408-BE44-88A167289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385763</xdr:colOff>
      <xdr:row>2</xdr:row>
      <xdr:rowOff>100013</xdr:rowOff>
    </xdr:from>
    <xdr:to>
      <xdr:col>18</xdr:col>
      <xdr:colOff>404813</xdr:colOff>
      <xdr:row>24</xdr:row>
      <xdr:rowOff>133350</xdr:rowOff>
    </xdr:to>
    <xdr:graphicFrame macro="">
      <xdr:nvGraphicFramePr>
        <xdr:cNvPr id="67" name="Chart 66">
          <a:extLst>
            <a:ext uri="{FF2B5EF4-FFF2-40B4-BE49-F238E27FC236}">
              <a16:creationId xmlns:a16="http://schemas.microsoft.com/office/drawing/2014/main" id="{3295B553-07D2-49F5-8C9C-72F056600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48695</xdr:colOff>
      <xdr:row>6</xdr:row>
      <xdr:rowOff>91067</xdr:rowOff>
    </xdr:from>
    <xdr:to>
      <xdr:col>2</xdr:col>
      <xdr:colOff>481013</xdr:colOff>
      <xdr:row>10</xdr:row>
      <xdr:rowOff>66675</xdr:rowOff>
    </xdr:to>
    <xdr:sp macro="" textlink="'Pivot Table &amp; Charts'!C5">
      <xdr:nvSpPr>
        <xdr:cNvPr id="77" name="Rectangle 76">
          <a:extLst>
            <a:ext uri="{FF2B5EF4-FFF2-40B4-BE49-F238E27FC236}">
              <a16:creationId xmlns:a16="http://schemas.microsoft.com/office/drawing/2014/main" id="{49F74C14-45DD-209B-6D1F-1475DE691174}"/>
            </a:ext>
          </a:extLst>
        </xdr:cNvPr>
        <xdr:cNvSpPr/>
      </xdr:nvSpPr>
      <xdr:spPr>
        <a:xfrm>
          <a:off x="48695" y="1176917"/>
          <a:ext cx="1727718" cy="699508"/>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D00A0CF5-D4DC-4ECF-A2BE-97431B3903D6}" type="TxLink">
            <a:rPr lang="en-US" sz="1600" b="1" i="0" u="none" strike="noStrike">
              <a:solidFill>
                <a:srgbClr val="D8D6CE"/>
              </a:solidFill>
              <a:latin typeface="Georgia" panose="02040502050405020303" pitchFamily="18" charset="0"/>
              <a:ea typeface="Calibri"/>
              <a:cs typeface="Calibri"/>
            </a:rPr>
            <a:pPr marL="0" indent="0" algn="l"/>
            <a:t>$81,853</a:t>
          </a:fld>
          <a:endParaRPr lang="en-US" sz="1600" b="1" i="0" u="none" strike="noStrike">
            <a:solidFill>
              <a:srgbClr val="D8D6CE"/>
            </a:solidFill>
            <a:latin typeface="Georgia" panose="02040502050405020303" pitchFamily="18" charset="0"/>
            <a:ea typeface="Calibri"/>
            <a:cs typeface="Calibri"/>
          </a:endParaRPr>
        </a:p>
      </xdr:txBody>
    </xdr:sp>
    <xdr:clientData/>
  </xdr:twoCellAnchor>
  <xdr:twoCellAnchor>
    <xdr:from>
      <xdr:col>0</xdr:col>
      <xdr:colOff>24396</xdr:colOff>
      <xdr:row>6</xdr:row>
      <xdr:rowOff>81545</xdr:rowOff>
    </xdr:from>
    <xdr:to>
      <xdr:col>2</xdr:col>
      <xdr:colOff>105358</xdr:colOff>
      <xdr:row>8</xdr:row>
      <xdr:rowOff>58901</xdr:rowOff>
    </xdr:to>
    <xdr:sp macro="" textlink="">
      <xdr:nvSpPr>
        <xdr:cNvPr id="78" name="TextBox 77">
          <a:extLst>
            <a:ext uri="{FF2B5EF4-FFF2-40B4-BE49-F238E27FC236}">
              <a16:creationId xmlns:a16="http://schemas.microsoft.com/office/drawing/2014/main" id="{BEE3980A-000E-63A1-7C8F-5A1CEB3E78EB}"/>
            </a:ext>
          </a:extLst>
        </xdr:cNvPr>
        <xdr:cNvSpPr txBox="1"/>
      </xdr:nvSpPr>
      <xdr:spPr>
        <a:xfrm>
          <a:off x="24396" y="1167395"/>
          <a:ext cx="1376362" cy="339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D8D6CE"/>
              </a:solidFill>
              <a:latin typeface="Georgia" panose="02040502050405020303" pitchFamily="18" charset="0"/>
            </a:rPr>
            <a:t>Total Profit</a:t>
          </a:r>
          <a:endParaRPr lang="en-US" sz="1100" b="0">
            <a:ln>
              <a:noFill/>
            </a:ln>
            <a:solidFill>
              <a:srgbClr val="D8D6CE"/>
            </a:solidFill>
            <a:latin typeface="Georgia" panose="02040502050405020303" pitchFamily="18" charset="0"/>
            <a:ea typeface="+mn-ea"/>
            <a:cs typeface="+mn-cs"/>
          </a:endParaRPr>
        </a:p>
      </xdr:txBody>
    </xdr:sp>
    <xdr:clientData/>
  </xdr:twoCellAnchor>
  <xdr:twoCellAnchor>
    <xdr:from>
      <xdr:col>1</xdr:col>
      <xdr:colOff>371479</xdr:colOff>
      <xdr:row>8</xdr:row>
      <xdr:rowOff>164363</xdr:rowOff>
    </xdr:from>
    <xdr:to>
      <xdr:col>2</xdr:col>
      <xdr:colOff>461963</xdr:colOff>
      <xdr:row>10</xdr:row>
      <xdr:rowOff>52387</xdr:rowOff>
    </xdr:to>
    <xdr:sp macro="" textlink="'Pivot Table &amp; Charts'!F184">
      <xdr:nvSpPr>
        <xdr:cNvPr id="79" name="TextBox 78">
          <a:extLst>
            <a:ext uri="{FF2B5EF4-FFF2-40B4-BE49-F238E27FC236}">
              <a16:creationId xmlns:a16="http://schemas.microsoft.com/office/drawing/2014/main" id="{573ED202-65AB-8861-A68D-D4F8B94B017E}"/>
            </a:ext>
          </a:extLst>
        </xdr:cNvPr>
        <xdr:cNvSpPr txBox="1"/>
      </xdr:nvSpPr>
      <xdr:spPr>
        <a:xfrm>
          <a:off x="1019179" y="1612163"/>
          <a:ext cx="738184" cy="249974"/>
        </a:xfrm>
        <a:prstGeom prst="rect">
          <a:avLst/>
        </a:prstGeom>
        <a:solidFill>
          <a:srgbClr val="556B2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84A20AB-8F28-4C66-B923-FB7639D3E4B5}" type="TxLink">
            <a:rPr lang="en-US" sz="1000" b="1" i="0" u="none" strike="noStrike">
              <a:solidFill>
                <a:srgbClr val="D8D6CE"/>
              </a:solidFill>
              <a:latin typeface="Aptos Narrow"/>
              <a:ea typeface="+mn-ea"/>
              <a:cs typeface="+mn-cs"/>
            </a:rPr>
            <a:pPr marL="0" indent="0"/>
            <a:t>  -1 8.6%</a:t>
          </a:fld>
          <a:endParaRPr lang="en-US" sz="1000" b="1" i="0" u="none" strike="noStrike">
            <a:solidFill>
              <a:srgbClr val="D8D6CE"/>
            </a:solidFill>
            <a:latin typeface="Aptos Narrow"/>
            <a:ea typeface="+mn-ea"/>
            <a:cs typeface="+mn-cs"/>
          </a:endParaRPr>
        </a:p>
      </xdr:txBody>
    </xdr:sp>
    <xdr:clientData/>
  </xdr:twoCellAnchor>
  <xdr:twoCellAnchor>
    <xdr:from>
      <xdr:col>0</xdr:col>
      <xdr:colOff>43932</xdr:colOff>
      <xdr:row>10</xdr:row>
      <xdr:rowOff>129679</xdr:rowOff>
    </xdr:from>
    <xdr:to>
      <xdr:col>2</xdr:col>
      <xdr:colOff>476250</xdr:colOff>
      <xdr:row>14</xdr:row>
      <xdr:rowOff>142875</xdr:rowOff>
    </xdr:to>
    <xdr:sp macro="" textlink="'Pivot Table &amp; Charts'!D5">
      <xdr:nvSpPr>
        <xdr:cNvPr id="81" name="Rectangle 80">
          <a:extLst>
            <a:ext uri="{FF2B5EF4-FFF2-40B4-BE49-F238E27FC236}">
              <a16:creationId xmlns:a16="http://schemas.microsoft.com/office/drawing/2014/main" id="{7B324932-09B9-6728-BF93-788023A6E6D1}"/>
            </a:ext>
          </a:extLst>
        </xdr:cNvPr>
        <xdr:cNvSpPr/>
      </xdr:nvSpPr>
      <xdr:spPr>
        <a:xfrm>
          <a:off x="43932" y="1939429"/>
          <a:ext cx="1727718" cy="737096"/>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62450E0A-9284-4779-BBF6-0B0160FF71D5}" type="TxLink">
            <a:rPr lang="en-US" sz="1600" b="1" i="0" u="none" strike="noStrike">
              <a:solidFill>
                <a:srgbClr val="D8D6CE"/>
              </a:solidFill>
              <a:latin typeface="Georgia" panose="02040502050405020303" pitchFamily="18" charset="0"/>
              <a:ea typeface="Calibri"/>
              <a:cs typeface="Calibri"/>
            </a:rPr>
            <a:pPr marL="0" indent="0" algn="l"/>
            <a:t>69.8%</a:t>
          </a:fld>
          <a:endParaRPr lang="en-US" sz="1600" b="1" i="0" u="none" strike="noStrike">
            <a:solidFill>
              <a:srgbClr val="D8D6CE"/>
            </a:solidFill>
            <a:latin typeface="Georgia" panose="02040502050405020303" pitchFamily="18" charset="0"/>
            <a:ea typeface="Calibri"/>
            <a:cs typeface="Calibri"/>
          </a:endParaRPr>
        </a:p>
      </xdr:txBody>
    </xdr:sp>
    <xdr:clientData/>
  </xdr:twoCellAnchor>
  <xdr:twoCellAnchor>
    <xdr:from>
      <xdr:col>0</xdr:col>
      <xdr:colOff>19633</xdr:colOff>
      <xdr:row>10</xdr:row>
      <xdr:rowOff>119645</xdr:rowOff>
    </xdr:from>
    <xdr:to>
      <xdr:col>2</xdr:col>
      <xdr:colOff>100595</xdr:colOff>
      <xdr:row>12</xdr:row>
      <xdr:rowOff>115234</xdr:rowOff>
    </xdr:to>
    <xdr:sp macro="" textlink="">
      <xdr:nvSpPr>
        <xdr:cNvPr id="82" name="TextBox 81">
          <a:extLst>
            <a:ext uri="{FF2B5EF4-FFF2-40B4-BE49-F238E27FC236}">
              <a16:creationId xmlns:a16="http://schemas.microsoft.com/office/drawing/2014/main" id="{F0347689-7609-4729-4B5E-2197DA273871}"/>
            </a:ext>
          </a:extLst>
        </xdr:cNvPr>
        <xdr:cNvSpPr txBox="1"/>
      </xdr:nvSpPr>
      <xdr:spPr>
        <a:xfrm>
          <a:off x="19633" y="1929395"/>
          <a:ext cx="1376362" cy="357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D8D6CE"/>
              </a:solidFill>
              <a:latin typeface="Georgia" panose="02040502050405020303" pitchFamily="18" charset="0"/>
            </a:rPr>
            <a:t>Profit Margin</a:t>
          </a:r>
          <a:endParaRPr lang="en-US" sz="1100" b="0">
            <a:ln>
              <a:noFill/>
            </a:ln>
            <a:solidFill>
              <a:srgbClr val="D8D6CE"/>
            </a:solidFill>
            <a:latin typeface="Georgia" panose="02040502050405020303" pitchFamily="18" charset="0"/>
            <a:ea typeface="+mn-ea"/>
            <a:cs typeface="+mn-cs"/>
          </a:endParaRPr>
        </a:p>
      </xdr:txBody>
    </xdr:sp>
    <xdr:clientData/>
  </xdr:twoCellAnchor>
  <xdr:twoCellAnchor>
    <xdr:from>
      <xdr:col>0</xdr:col>
      <xdr:colOff>43932</xdr:colOff>
      <xdr:row>15</xdr:row>
      <xdr:rowOff>21420</xdr:rowOff>
    </xdr:from>
    <xdr:to>
      <xdr:col>2</xdr:col>
      <xdr:colOff>476250</xdr:colOff>
      <xdr:row>19</xdr:row>
      <xdr:rowOff>128588</xdr:rowOff>
    </xdr:to>
    <xdr:sp macro="" textlink="'Pivot Table &amp; Charts'!F5">
      <xdr:nvSpPr>
        <xdr:cNvPr id="89" name="Rectangle 88">
          <a:extLst>
            <a:ext uri="{FF2B5EF4-FFF2-40B4-BE49-F238E27FC236}">
              <a16:creationId xmlns:a16="http://schemas.microsoft.com/office/drawing/2014/main" id="{6AA0E8E7-DFBB-CA43-5749-564B33BFD0A7}"/>
            </a:ext>
          </a:extLst>
        </xdr:cNvPr>
        <xdr:cNvSpPr/>
      </xdr:nvSpPr>
      <xdr:spPr>
        <a:xfrm>
          <a:off x="43932" y="2736045"/>
          <a:ext cx="1727718" cy="831068"/>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2E7B7D00-24C9-44E6-A14F-582C85D79B9E}" type="TxLink">
            <a:rPr lang="en-US" sz="1600" b="1" i="0" u="none" strike="noStrike">
              <a:solidFill>
                <a:srgbClr val="D8D6CE"/>
              </a:solidFill>
              <a:latin typeface="Georgia" panose="02040502050405020303" pitchFamily="18" charset="0"/>
              <a:ea typeface="Calibri"/>
              <a:cs typeface="Calibri"/>
            </a:rPr>
            <a:pPr marL="0" indent="0" algn="l"/>
            <a:t>$117</a:t>
          </a:fld>
          <a:endParaRPr lang="en-US" sz="1600" b="1" i="0" u="none" strike="noStrike">
            <a:solidFill>
              <a:srgbClr val="D8D6CE"/>
            </a:solidFill>
            <a:latin typeface="Georgia" panose="02040502050405020303" pitchFamily="18" charset="0"/>
            <a:ea typeface="Calibri"/>
            <a:cs typeface="Calibri"/>
          </a:endParaRPr>
        </a:p>
      </xdr:txBody>
    </xdr:sp>
    <xdr:clientData/>
  </xdr:twoCellAnchor>
  <xdr:twoCellAnchor>
    <xdr:from>
      <xdr:col>0</xdr:col>
      <xdr:colOff>19632</xdr:colOff>
      <xdr:row>15</xdr:row>
      <xdr:rowOff>10107</xdr:rowOff>
    </xdr:from>
    <xdr:to>
      <xdr:col>2</xdr:col>
      <xdr:colOff>257175</xdr:colOff>
      <xdr:row>17</xdr:row>
      <xdr:rowOff>51278</xdr:rowOff>
    </xdr:to>
    <xdr:sp macro="" textlink="">
      <xdr:nvSpPr>
        <xdr:cNvPr id="90" name="TextBox 89">
          <a:extLst>
            <a:ext uri="{FF2B5EF4-FFF2-40B4-BE49-F238E27FC236}">
              <a16:creationId xmlns:a16="http://schemas.microsoft.com/office/drawing/2014/main" id="{A13FE372-CCDA-998A-41CF-D39912018EA4}"/>
            </a:ext>
          </a:extLst>
        </xdr:cNvPr>
        <xdr:cNvSpPr txBox="1"/>
      </xdr:nvSpPr>
      <xdr:spPr>
        <a:xfrm>
          <a:off x="19632" y="2724732"/>
          <a:ext cx="1532943" cy="403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D8D6CE"/>
              </a:solidFill>
              <a:latin typeface="Georgia" panose="02040502050405020303" pitchFamily="18" charset="0"/>
            </a:rPr>
            <a:t>Average Order Value</a:t>
          </a:r>
          <a:endParaRPr lang="en-US" sz="1100" b="0">
            <a:ln>
              <a:noFill/>
            </a:ln>
            <a:solidFill>
              <a:srgbClr val="D8D6CE"/>
            </a:solidFill>
            <a:latin typeface="Georgia" panose="02040502050405020303" pitchFamily="18" charset="0"/>
            <a:ea typeface="+mn-ea"/>
            <a:cs typeface="+mn-cs"/>
          </a:endParaRPr>
        </a:p>
      </xdr:txBody>
    </xdr:sp>
    <xdr:clientData/>
  </xdr:twoCellAnchor>
  <xdr:twoCellAnchor>
    <xdr:from>
      <xdr:col>0</xdr:col>
      <xdr:colOff>34407</xdr:colOff>
      <xdr:row>19</xdr:row>
      <xdr:rowOff>173757</xdr:rowOff>
    </xdr:from>
    <xdr:to>
      <xdr:col>2</xdr:col>
      <xdr:colOff>466725</xdr:colOff>
      <xdr:row>24</xdr:row>
      <xdr:rowOff>138113</xdr:rowOff>
    </xdr:to>
    <xdr:sp macro="" textlink="'Pivot Table &amp; Charts'!G5">
      <xdr:nvSpPr>
        <xdr:cNvPr id="93" name="Rectangle 92">
          <a:extLst>
            <a:ext uri="{FF2B5EF4-FFF2-40B4-BE49-F238E27FC236}">
              <a16:creationId xmlns:a16="http://schemas.microsoft.com/office/drawing/2014/main" id="{A73C8672-22EF-84C6-C88A-82B15185BF52}"/>
            </a:ext>
          </a:extLst>
        </xdr:cNvPr>
        <xdr:cNvSpPr/>
      </xdr:nvSpPr>
      <xdr:spPr>
        <a:xfrm>
          <a:off x="34407" y="3612282"/>
          <a:ext cx="1727718" cy="869231"/>
        </a:xfrm>
        <a:prstGeom prst="rect">
          <a:avLst/>
        </a:prstGeom>
        <a:solidFill>
          <a:srgbClr val="556B2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l"/>
          <a:fld id="{867EB9BC-9487-4ADE-B68E-937587A90A64}" type="TxLink">
            <a:rPr lang="en-US" sz="1600" b="1" i="0" u="none" strike="noStrike">
              <a:solidFill>
                <a:srgbClr val="D8D6CE"/>
              </a:solidFill>
              <a:latin typeface="Georgia" panose="02040502050405020303" pitchFamily="18" charset="0"/>
              <a:ea typeface="Calibri"/>
              <a:cs typeface="Calibri"/>
            </a:rPr>
            <a:pPr marL="0" indent="0" algn="l"/>
            <a:t>60.2%</a:t>
          </a:fld>
          <a:endParaRPr lang="en-US" sz="1600" b="1" i="0" u="none" strike="noStrike">
            <a:solidFill>
              <a:srgbClr val="D8D6CE"/>
            </a:solidFill>
            <a:latin typeface="Georgia" panose="02040502050405020303" pitchFamily="18" charset="0"/>
            <a:ea typeface="Calibri"/>
            <a:cs typeface="Calibri"/>
          </a:endParaRPr>
        </a:p>
      </xdr:txBody>
    </xdr:sp>
    <xdr:clientData/>
  </xdr:twoCellAnchor>
  <xdr:twoCellAnchor>
    <xdr:from>
      <xdr:col>0</xdr:col>
      <xdr:colOff>10108</xdr:colOff>
      <xdr:row>19</xdr:row>
      <xdr:rowOff>161925</xdr:rowOff>
    </xdr:from>
    <xdr:to>
      <xdr:col>2</xdr:col>
      <xdr:colOff>247650</xdr:colOff>
      <xdr:row>22</xdr:row>
      <xdr:rowOff>40632</xdr:rowOff>
    </xdr:to>
    <xdr:sp macro="" textlink="">
      <xdr:nvSpPr>
        <xdr:cNvPr id="94" name="TextBox 93">
          <a:extLst>
            <a:ext uri="{FF2B5EF4-FFF2-40B4-BE49-F238E27FC236}">
              <a16:creationId xmlns:a16="http://schemas.microsoft.com/office/drawing/2014/main" id="{AAE37B77-C81D-BF91-ACA0-467348328076}"/>
            </a:ext>
          </a:extLst>
        </xdr:cNvPr>
        <xdr:cNvSpPr txBox="1"/>
      </xdr:nvSpPr>
      <xdr:spPr>
        <a:xfrm>
          <a:off x="10108" y="3600450"/>
          <a:ext cx="1532942" cy="421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a:ln>
                <a:noFill/>
              </a:ln>
              <a:solidFill>
                <a:srgbClr val="F2F4F3"/>
              </a:solidFill>
              <a:latin typeface="Georgia" panose="02040502050405020303" pitchFamily="18" charset="0"/>
            </a:rPr>
            <a:t>Delivery Success</a:t>
          </a:r>
          <a:r>
            <a:rPr lang="en-US" sz="1100" b="0" baseline="0">
              <a:ln>
                <a:noFill/>
              </a:ln>
              <a:solidFill>
                <a:srgbClr val="F2F4F3"/>
              </a:solidFill>
              <a:latin typeface="Georgia" panose="02040502050405020303" pitchFamily="18" charset="0"/>
            </a:rPr>
            <a:t> Rate</a:t>
          </a:r>
          <a:endParaRPr lang="en-US" sz="1100" b="0">
            <a:ln>
              <a:noFill/>
            </a:ln>
            <a:solidFill>
              <a:srgbClr val="F2F4F3"/>
            </a:solidFill>
            <a:latin typeface="Georgia" panose="02040502050405020303" pitchFamily="18" charset="0"/>
            <a:ea typeface="+mn-ea"/>
            <a:cs typeface="+mn-cs"/>
          </a:endParaRPr>
        </a:p>
      </xdr:txBody>
    </xdr:sp>
    <xdr:clientData/>
  </xdr:twoCellAnchor>
  <xdr:twoCellAnchor>
    <xdr:from>
      <xdr:col>2</xdr:col>
      <xdr:colOff>557212</xdr:colOff>
      <xdr:row>17</xdr:row>
      <xdr:rowOff>61912</xdr:rowOff>
    </xdr:from>
    <xdr:to>
      <xdr:col>6</xdr:col>
      <xdr:colOff>638175</xdr:colOff>
      <xdr:row>24</xdr:row>
      <xdr:rowOff>152400</xdr:rowOff>
    </xdr:to>
    <xdr:graphicFrame macro="">
      <xdr:nvGraphicFramePr>
        <xdr:cNvPr id="96" name="Chart 95">
          <a:extLst>
            <a:ext uri="{FF2B5EF4-FFF2-40B4-BE49-F238E27FC236}">
              <a16:creationId xmlns:a16="http://schemas.microsoft.com/office/drawing/2014/main" id="{CB16CAA0-D1B7-4D8E-A71D-B4C3F3D58A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524554</xdr:colOff>
      <xdr:row>2</xdr:row>
      <xdr:rowOff>78531</xdr:rowOff>
    </xdr:from>
    <xdr:to>
      <xdr:col>5</xdr:col>
      <xdr:colOff>266700</xdr:colOff>
      <xdr:row>3</xdr:row>
      <xdr:rowOff>161926</xdr:rowOff>
    </xdr:to>
    <xdr:sp macro="" textlink="">
      <xdr:nvSpPr>
        <xdr:cNvPr id="97" name="TextBox 96">
          <a:extLst>
            <a:ext uri="{FF2B5EF4-FFF2-40B4-BE49-F238E27FC236}">
              <a16:creationId xmlns:a16="http://schemas.microsoft.com/office/drawing/2014/main" id="{1006CD20-387B-48A3-BB11-DB1D362BC50B}"/>
            </a:ext>
          </a:extLst>
        </xdr:cNvPr>
        <xdr:cNvSpPr txBox="1"/>
      </xdr:nvSpPr>
      <xdr:spPr>
        <a:xfrm>
          <a:off x="1819954" y="440481"/>
          <a:ext cx="1685246" cy="26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ln>
                <a:noFill/>
              </a:ln>
              <a:solidFill>
                <a:srgbClr val="F2F4F3"/>
              </a:solidFill>
              <a:latin typeface="Georgia" panose="02040502050405020303" pitchFamily="18" charset="0"/>
              <a:ea typeface="+mn-ea"/>
              <a:cs typeface="+mn-cs"/>
            </a:rPr>
            <a:t>Monthly Revenue Trend</a:t>
          </a:r>
        </a:p>
      </xdr:txBody>
    </xdr:sp>
    <xdr:clientData/>
  </xdr:twoCellAnchor>
  <xdr:twoCellAnchor>
    <xdr:from>
      <xdr:col>6</xdr:col>
      <xdr:colOff>581025</xdr:colOff>
      <xdr:row>17</xdr:row>
      <xdr:rowOff>42863</xdr:rowOff>
    </xdr:from>
    <xdr:to>
      <xdr:col>10</xdr:col>
      <xdr:colOff>452437</xdr:colOff>
      <xdr:row>25</xdr:row>
      <xdr:rowOff>147638</xdr:rowOff>
    </xdr:to>
    <xdr:graphicFrame macro="">
      <xdr:nvGraphicFramePr>
        <xdr:cNvPr id="98" name="Chart 97">
          <a:extLst>
            <a:ext uri="{FF2B5EF4-FFF2-40B4-BE49-F238E27FC236}">
              <a16:creationId xmlns:a16="http://schemas.microsoft.com/office/drawing/2014/main" id="{0C68FC16-F2EF-4FFE-8850-A4A0B3C1A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14288</xdr:colOff>
      <xdr:row>16</xdr:row>
      <xdr:rowOff>71438</xdr:rowOff>
    </xdr:from>
    <xdr:to>
      <xdr:col>14</xdr:col>
      <xdr:colOff>290513</xdr:colOff>
      <xdr:row>26</xdr:row>
      <xdr:rowOff>38100</xdr:rowOff>
    </xdr:to>
    <xdr:graphicFrame macro="">
      <xdr:nvGraphicFramePr>
        <xdr:cNvPr id="99" name="Chart 98">
          <a:extLst>
            <a:ext uri="{FF2B5EF4-FFF2-40B4-BE49-F238E27FC236}">
              <a16:creationId xmlns:a16="http://schemas.microsoft.com/office/drawing/2014/main" id="{0753F250-B52B-4E7F-9A27-9D2BCA48A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848b0fceaef76bf/ROBERTSON%20COLLEGE/10%20ANALYTICS/SECTION%201%20-%20EXCEL%20FOR%20ANALYTICS/LMS%20-%20EXCEL%20ANALYTICS/10Alytics%20Sales%20Performance%20Dashboard.xlsx" TargetMode="External"/><Relationship Id="rId1" Type="http://schemas.openxmlformats.org/officeDocument/2006/relationships/externalLinkPath" Target="/6848b0fceaef76bf/ROBERTSON%20COLLEGE/10%20ANALYTICS/SECTION%201%20-%20EXCEL%20FOR%20ANALYTICS/LMS%20-%20EXCEL%20ANALYTICS/10Alytics%20Sales%20Performance%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ercise"/>
      <sheetName val="Data Table"/>
      <sheetName val="Working"/>
      <sheetName val="Dashboard"/>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ny" refreshedDate="46014.25467534722" createdVersion="8" refreshedVersion="8" minRefreshableVersion="3" recordCount="1000" xr:uid="{FA728755-D5DB-46E4-AE13-174C3FCBFE7D}">
  <cacheSource type="worksheet">
    <worksheetSource name="Greenleaf"/>
  </cacheSource>
  <cacheFields count="21">
    <cacheField name="Order ID" numFmtId="0">
      <sharedItems/>
    </cacheField>
    <cacheField name="Order Date" numFmtId="0">
      <sharedItems containsSemiMixedTypes="0" containsNonDate="0" containsDate="1" containsString="0" minDate="2024-01-01T00:00:00" maxDate="2024-12-31T00:00:00" count="347">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2T00:00:00"/>
        <d v="2024-06-03T00:00:00"/>
        <d v="2024-06-04T00:00:00"/>
        <d v="2024-06-05T00:00:00"/>
        <d v="2024-06-07T00:00:00"/>
        <d v="2024-06-08T00:00:00"/>
        <d v="2024-06-09T00:00:00"/>
        <d v="2024-06-10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9T00:00:00"/>
        <d v="2024-06-30T00:00:00"/>
        <d v="2024-07-01T00:00:00"/>
        <d v="2024-07-02T00:00:00"/>
        <d v="2024-07-03T00:00:00"/>
        <d v="2024-07-04T00:00:00"/>
        <d v="2024-07-05T00:00:00"/>
        <d v="2024-07-06T00:00:00"/>
        <d v="2024-07-07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5T00:00:00"/>
        <d v="2024-07-26T00:00:00"/>
        <d v="2024-07-27T00:00:00"/>
        <d v="2024-07-28T00:00:00"/>
        <d v="2024-07-30T00:00:00"/>
        <d v="2024-07-31T00:00:00"/>
        <d v="2024-08-01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10T00:00:00"/>
        <d v="2024-09-11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6T00:00:00"/>
        <d v="2024-11-27T00:00:00"/>
        <d v="2024-11-28T00:00:00"/>
        <d v="2024-11-29T00:00:00"/>
        <d v="2024-12-01T00:00:00"/>
        <d v="2024-12-02T00:00:00"/>
        <d v="2024-12-03T00:00:00"/>
        <d v="2024-12-04T00:00:00"/>
        <d v="2024-12-05T00:00:00"/>
        <d v="2024-12-06T00:00:00"/>
        <d v="2024-12-07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fieldGroup par="20"/>
    </cacheField>
    <cacheField name="Product Name" numFmtId="0">
      <sharedItems count="5">
        <s v="Biodegradable Cleaning Cloth"/>
        <s v="Eco Canvas Tote Bag"/>
        <s v="Solar Led Lantern"/>
        <s v="Reusable Bamboo Utensil Set"/>
        <s v="Compostable Plant Pots"/>
      </sharedItems>
    </cacheField>
    <cacheField name="Product Category" numFmtId="0">
      <sharedItems count="5">
        <s v="Cleaning"/>
        <s v="Bags"/>
        <s v="Lighting"/>
        <s v="Kitchenware"/>
        <s v="Gardening"/>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containsInteger="1" minValue="10" maxValue="40"/>
    </cacheField>
    <cacheField name="Unit Cost" numFmtId="0">
      <sharedItems containsSemiMixedTypes="0" containsString="0" containsNumber="1" minValue="2" maxValue="15.98"/>
    </cacheField>
    <cacheField name="Customer ID" numFmtId="0">
      <sharedItems/>
    </cacheField>
    <cacheField name="Customer Name" numFmtId="0">
      <sharedItems count="126">
        <s v="Mason Johnson"/>
        <s v="Aiden Davis"/>
        <s v="Mia Jones"/>
        <s v="Liam Garcia"/>
        <s v="Ethan Miller"/>
        <s v="Charlotte Jones"/>
        <s v="Mia Johnson"/>
        <s v="Ava Martinez"/>
        <s v="Harper Davis"/>
        <s v="Oliver Miller"/>
        <s v="Sophia Rodriguez"/>
        <s v="Isabella Johnson"/>
        <s v="Evelyn Smith"/>
        <s v="Olivia Martinez"/>
        <s v="Ava Jones"/>
        <s v="Harper Miller"/>
        <s v="Evelyn Martinez"/>
        <s v="Liam Rodriguez"/>
        <s v="Charlotte Garcia"/>
        <s v="Lucas Garcia"/>
        <s v="Olivia Miller"/>
        <s v="Mason Rodriguez"/>
        <s v="Noah Martinez"/>
        <s v="Aiden Brown"/>
        <s v="Emma Smith"/>
        <s v="Mia Rodriguez"/>
        <s v="Olivia Garcia"/>
        <s v="Olivia Johnson"/>
        <s v="Ethan Jones"/>
        <s v="Ethan Martinez"/>
        <s v="Lucas Williams"/>
        <s v="Logan Rodriguez"/>
        <s v="James Smith"/>
        <s v="Mason Miller"/>
        <s v="Charlotte Davis"/>
        <s v="Oliver Johnson"/>
        <s v="Isabella Jones"/>
        <s v="Isabella Rodriguez"/>
        <s v="Harper Brown"/>
        <s v="Mason Williams"/>
        <s v="Ethan Rodriguez"/>
        <s v="James Garcia"/>
        <s v="Mia Miller"/>
        <s v="Sophia Brown"/>
        <s v="Aiden Jones"/>
        <s v="Elijah Davis"/>
        <s v="Sophia Martinez"/>
        <s v="Amelia Garcia"/>
        <s v="Ava Rodriguez"/>
        <s v="Emma Davis"/>
        <s v="James Williams"/>
        <s v="Liam Smith"/>
        <s v="Logan Smith"/>
        <s v="Ethan Williams"/>
        <s v="Evelyn Miller"/>
        <s v="Harper Smith"/>
        <s v="Mason Davis"/>
        <s v="Ava Miller"/>
        <s v="Isabella Garcia"/>
        <s v="Mia Davis"/>
        <s v="Noah Brown"/>
        <s v="Harper Rodriguez"/>
        <s v="Mia Brown"/>
        <s v="Noah Garcia"/>
        <s v="Ava Davis"/>
        <s v="Ava Brown"/>
        <s v="Charlotte Johnson"/>
        <s v="Ava Smith"/>
        <s v="Noah Williams"/>
        <s v="Elijah Martinez"/>
        <s v="Elijah Williams"/>
        <s v="James Brown"/>
        <s v="Aiden Williams"/>
        <s v="Harper Jones"/>
        <s v="Amelia Johnson"/>
        <s v="Oliver Smith"/>
        <s v="Noah Rodriguez"/>
        <s v="Emma Brown"/>
        <s v="Sophia Davis"/>
        <s v="Aiden Rodriguez"/>
        <s v="Liam Jones"/>
        <s v="Liam Johnson"/>
        <s v="Ethan Johnson"/>
        <s v="Lucas Brown"/>
        <s v="Amelia Miller"/>
        <s v="Liam Brown"/>
        <s v="Sophia Garcia"/>
        <s v="Elijah Brown"/>
        <s v="Evelyn Garcia"/>
        <s v="James Miller"/>
        <s v="Lucas Smith"/>
        <s v="Lucas Rodriguez"/>
        <s v="Noah Smith"/>
        <s v="Isabella Miller"/>
        <s v="Aiden Garcia"/>
        <s v="Aiden Smith"/>
        <s v="Logan Johnson"/>
        <s v="Amelia Jones"/>
        <s v="Isabella Brown"/>
        <s v="Elijah Garcia"/>
        <s v="Olivia Williams"/>
        <s v="Ethan Garcia"/>
        <s v="Harper Garcia"/>
        <s v="Logan Miller"/>
        <s v="Isabella Williams"/>
        <s v="Logan Martinez"/>
        <s v="Elijah Smith"/>
        <s v="Liam Miller"/>
        <s v="Evelyn Brown"/>
        <s v="Elijah Jones"/>
        <s v="Mia Martinez"/>
        <s v="James Jones"/>
        <s v="Aiden Miller"/>
        <s v="Oliver Jones"/>
        <s v="Ava Garcia"/>
        <s v="Liam Davis"/>
        <s v="Mason Jones"/>
        <s v="Sophia Johnson"/>
        <s v="Aiden Martinez"/>
        <s v="Amelia Martinez"/>
        <s v="Emma Garcia"/>
        <s v="Olivia Jones"/>
        <s v="Logan Jones"/>
        <s v="Olivia Davis"/>
        <s v="Harper Martinez"/>
        <s v="Lucas Jones"/>
      </sharedItems>
    </cacheField>
    <cacheField name="Shipment Status" numFmtId="0">
      <sharedItems count="4">
        <s v="Shipped"/>
        <s v="Delivered"/>
        <s v="Returned"/>
        <s v="Pending"/>
      </sharedItems>
    </cacheField>
    <cacheField name="State" numFmtId="0">
      <sharedItems count="10">
        <s v="Michigan"/>
        <s v="North Carolina"/>
        <s v="New York"/>
        <s v="Florida"/>
        <s v="Ohio"/>
        <s v="Texas"/>
        <s v="Illinois"/>
        <s v="Pennsylvania"/>
        <s v="Georgia"/>
        <s v="California"/>
      </sharedItems>
    </cacheField>
    <cacheField name="Total Revenue" numFmtId="0">
      <sharedItems containsSemiMixedTypes="0" containsString="0" containsNumber="1" containsInteger="1" minValue="10" maxValue="400"/>
    </cacheField>
    <cacheField name="Total Cost" numFmtId="0">
      <sharedItems containsSemiMixedTypes="0" containsString="0" containsNumber="1" minValue="2" maxValue="159.19999999999999"/>
    </cacheField>
    <cacheField name="Total Profit" numFmtId="0">
      <sharedItems containsSemiMixedTypes="0" containsString="0" containsNumber="1" minValue="6.05" maxValue="319.60000000000002"/>
    </cacheField>
    <cacheField name="IsImputation" numFmtId="0">
      <sharedItems containsSemiMixedTypes="0" containsString="0" containsNumber="1" containsInteger="1" minValue="10" maxValue="40"/>
    </cacheField>
    <cacheField name="Return Flag" numFmtId="0">
      <sharedItems containsSemiMixedTypes="0" containsString="0" containsNumber="1" containsInteger="1" minValue="0" maxValue="1"/>
    </cacheField>
    <cacheField name="Delivery Flag" numFmtId="0">
      <sharedItems containsSemiMixedTypes="0" containsString="0" containsNumber="1" containsInteger="1" minValue="0" maxValue="1"/>
    </cacheField>
    <cacheField name="Profit Margin" numFmtId="0" formula="'Total Profit'/'Total Revenue'" databaseField="0"/>
    <cacheField name="Total Orders" numFmtId="0" formula=" COUNT('Order ID')" databaseField="0"/>
    <cacheField name="Days (Order Date)" numFmtId="0" databaseField="0">
      <fieldGroup base="1">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Order Date)" numFmtId="0" databaseField="0">
      <fieldGroup base="1">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1339451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0001"/>
    <x v="0"/>
    <x v="0"/>
    <x v="0"/>
    <n v="10"/>
    <n v="10"/>
    <n v="3.42"/>
    <s v="C0039"/>
    <x v="0"/>
    <x v="0"/>
    <x v="0"/>
    <n v="100"/>
    <n v="34.200000000000003"/>
    <n v="65.8"/>
    <n v="10"/>
    <n v="0"/>
    <n v="0"/>
  </r>
  <r>
    <s v="OR0002"/>
    <x v="0"/>
    <x v="1"/>
    <x v="1"/>
    <n v="6"/>
    <n v="25"/>
    <n v="5.08"/>
    <s v="C0122"/>
    <x v="1"/>
    <x v="1"/>
    <x v="1"/>
    <n v="150"/>
    <n v="30.48"/>
    <n v="119.52"/>
    <n v="25"/>
    <n v="0"/>
    <n v="1"/>
  </r>
  <r>
    <s v="OR0003"/>
    <x v="1"/>
    <x v="2"/>
    <x v="2"/>
    <n v="7"/>
    <n v="40"/>
    <n v="12.35"/>
    <s v="C0076"/>
    <x v="2"/>
    <x v="0"/>
    <x v="2"/>
    <n v="280"/>
    <n v="86.45"/>
    <n v="193.55"/>
    <n v="40"/>
    <n v="0"/>
    <n v="0"/>
  </r>
  <r>
    <s v="OR0004"/>
    <x v="1"/>
    <x v="0"/>
    <x v="0"/>
    <n v="5"/>
    <n v="10"/>
    <n v="3.55"/>
    <s v="C0103"/>
    <x v="3"/>
    <x v="1"/>
    <x v="3"/>
    <n v="50"/>
    <n v="17.75"/>
    <n v="32.25"/>
    <n v="10"/>
    <n v="0"/>
    <n v="1"/>
  </r>
  <r>
    <s v="OR0005"/>
    <x v="1"/>
    <x v="0"/>
    <x v="0"/>
    <n v="2"/>
    <n v="10"/>
    <n v="3.27"/>
    <s v="C0162"/>
    <x v="4"/>
    <x v="2"/>
    <x v="4"/>
    <n v="20"/>
    <n v="6.54"/>
    <n v="13.46"/>
    <n v="10"/>
    <n v="1"/>
    <n v="0"/>
  </r>
  <r>
    <s v="OR0006"/>
    <x v="1"/>
    <x v="2"/>
    <x v="2"/>
    <n v="8"/>
    <n v="40"/>
    <n v="14.7"/>
    <s v="C0114"/>
    <x v="5"/>
    <x v="3"/>
    <x v="2"/>
    <n v="320"/>
    <n v="117.6"/>
    <n v="202.4"/>
    <n v="40"/>
    <n v="0"/>
    <n v="0"/>
  </r>
  <r>
    <s v="OR0007"/>
    <x v="1"/>
    <x v="3"/>
    <x v="3"/>
    <n v="10"/>
    <n v="15"/>
    <n v="5.5"/>
    <s v="C0052"/>
    <x v="6"/>
    <x v="1"/>
    <x v="2"/>
    <n v="150"/>
    <n v="55"/>
    <n v="95"/>
    <n v="15"/>
    <n v="0"/>
    <n v="1"/>
  </r>
  <r>
    <s v="OR0008"/>
    <x v="1"/>
    <x v="2"/>
    <x v="2"/>
    <n v="6"/>
    <n v="40"/>
    <n v="8.8000000000000007"/>
    <s v="C0071"/>
    <x v="7"/>
    <x v="1"/>
    <x v="5"/>
    <n v="240"/>
    <n v="52.800000000000004"/>
    <n v="187.2"/>
    <n v="40"/>
    <n v="0"/>
    <n v="1"/>
  </r>
  <r>
    <s v="OR0009"/>
    <x v="1"/>
    <x v="1"/>
    <x v="1"/>
    <n v="1"/>
    <n v="25"/>
    <n v="9.01"/>
    <s v="C0088"/>
    <x v="3"/>
    <x v="1"/>
    <x v="6"/>
    <n v="25"/>
    <n v="9.01"/>
    <n v="15.99"/>
    <n v="25"/>
    <n v="0"/>
    <n v="1"/>
  </r>
  <r>
    <s v="OR0010"/>
    <x v="2"/>
    <x v="0"/>
    <x v="0"/>
    <n v="2"/>
    <n v="10"/>
    <n v="2.89"/>
    <s v="C0165"/>
    <x v="8"/>
    <x v="1"/>
    <x v="1"/>
    <n v="20"/>
    <n v="5.78"/>
    <n v="14.219999999999999"/>
    <n v="10"/>
    <n v="0"/>
    <n v="1"/>
  </r>
  <r>
    <s v="OR0011"/>
    <x v="2"/>
    <x v="2"/>
    <x v="2"/>
    <n v="8"/>
    <n v="40"/>
    <n v="9.99"/>
    <s v="C0174"/>
    <x v="0"/>
    <x v="1"/>
    <x v="4"/>
    <n v="320"/>
    <n v="79.92"/>
    <n v="240.07999999999998"/>
    <n v="40"/>
    <n v="0"/>
    <n v="1"/>
  </r>
  <r>
    <s v="OR0012"/>
    <x v="2"/>
    <x v="4"/>
    <x v="4"/>
    <n v="3"/>
    <n v="12"/>
    <n v="2.88"/>
    <s v="C0176"/>
    <x v="9"/>
    <x v="1"/>
    <x v="7"/>
    <n v="36"/>
    <n v="8.64"/>
    <n v="27.36"/>
    <n v="12"/>
    <n v="0"/>
    <n v="1"/>
  </r>
  <r>
    <s v="OR0013"/>
    <x v="2"/>
    <x v="0"/>
    <x v="0"/>
    <n v="1"/>
    <n v="10"/>
    <n v="2.35"/>
    <s v="C0149"/>
    <x v="10"/>
    <x v="1"/>
    <x v="8"/>
    <n v="10"/>
    <n v="2.35"/>
    <n v="7.65"/>
    <n v="10"/>
    <n v="0"/>
    <n v="1"/>
  </r>
  <r>
    <s v="OR0014"/>
    <x v="3"/>
    <x v="1"/>
    <x v="1"/>
    <n v="1"/>
    <n v="25"/>
    <n v="8.85"/>
    <s v="C0184"/>
    <x v="11"/>
    <x v="1"/>
    <x v="2"/>
    <n v="25"/>
    <n v="8.85"/>
    <n v="16.149999999999999"/>
    <n v="25"/>
    <n v="0"/>
    <n v="1"/>
  </r>
  <r>
    <s v="OR0015"/>
    <x v="3"/>
    <x v="2"/>
    <x v="2"/>
    <n v="6"/>
    <n v="40"/>
    <n v="14.54"/>
    <s v="C0113"/>
    <x v="12"/>
    <x v="3"/>
    <x v="1"/>
    <n v="240"/>
    <n v="87.24"/>
    <n v="152.76"/>
    <n v="40"/>
    <n v="0"/>
    <n v="0"/>
  </r>
  <r>
    <s v="OR0016"/>
    <x v="3"/>
    <x v="0"/>
    <x v="0"/>
    <n v="10"/>
    <n v="10"/>
    <n v="2.36"/>
    <s v="C0012"/>
    <x v="13"/>
    <x v="0"/>
    <x v="7"/>
    <n v="100"/>
    <n v="23.599999999999998"/>
    <n v="76.400000000000006"/>
    <n v="10"/>
    <n v="0"/>
    <n v="0"/>
  </r>
  <r>
    <s v="OR0017"/>
    <x v="3"/>
    <x v="0"/>
    <x v="0"/>
    <n v="2"/>
    <n v="10"/>
    <n v="2.0699999999999998"/>
    <s v="C0076"/>
    <x v="2"/>
    <x v="1"/>
    <x v="2"/>
    <n v="20"/>
    <n v="4.1399999999999997"/>
    <n v="15.86"/>
    <n v="10"/>
    <n v="0"/>
    <n v="1"/>
  </r>
  <r>
    <s v="OR0018"/>
    <x v="4"/>
    <x v="1"/>
    <x v="1"/>
    <n v="7"/>
    <n v="25"/>
    <n v="6.64"/>
    <s v="C0082"/>
    <x v="14"/>
    <x v="1"/>
    <x v="1"/>
    <n v="175"/>
    <n v="46.48"/>
    <n v="128.52000000000001"/>
    <n v="25"/>
    <n v="0"/>
    <n v="1"/>
  </r>
  <r>
    <s v="OR0019"/>
    <x v="4"/>
    <x v="2"/>
    <x v="2"/>
    <n v="5"/>
    <n v="40"/>
    <n v="15.48"/>
    <s v="C0108"/>
    <x v="15"/>
    <x v="1"/>
    <x v="5"/>
    <n v="200"/>
    <n v="77.400000000000006"/>
    <n v="122.6"/>
    <n v="40"/>
    <n v="0"/>
    <n v="1"/>
  </r>
  <r>
    <s v="OR0020"/>
    <x v="4"/>
    <x v="0"/>
    <x v="0"/>
    <n v="8"/>
    <n v="10"/>
    <n v="2.67"/>
    <s v="C0013"/>
    <x v="16"/>
    <x v="1"/>
    <x v="7"/>
    <n v="80"/>
    <n v="21.36"/>
    <n v="58.64"/>
    <n v="10"/>
    <n v="0"/>
    <n v="1"/>
  </r>
  <r>
    <s v="OR0021"/>
    <x v="4"/>
    <x v="4"/>
    <x v="4"/>
    <n v="3"/>
    <n v="12"/>
    <n v="3.23"/>
    <s v="C0122"/>
    <x v="1"/>
    <x v="1"/>
    <x v="6"/>
    <n v="36"/>
    <n v="9.69"/>
    <n v="26.310000000000002"/>
    <n v="12"/>
    <n v="0"/>
    <n v="1"/>
  </r>
  <r>
    <s v="OR0022"/>
    <x v="5"/>
    <x v="2"/>
    <x v="2"/>
    <n v="3"/>
    <n v="40"/>
    <n v="11.81"/>
    <s v="C0191"/>
    <x v="17"/>
    <x v="3"/>
    <x v="4"/>
    <n v="120"/>
    <n v="35.43"/>
    <n v="84.57"/>
    <n v="40"/>
    <n v="0"/>
    <n v="0"/>
  </r>
  <r>
    <s v="OR0023"/>
    <x v="5"/>
    <x v="2"/>
    <x v="2"/>
    <n v="6"/>
    <n v="40"/>
    <n v="12.11"/>
    <s v="C0014"/>
    <x v="18"/>
    <x v="1"/>
    <x v="4"/>
    <n v="240"/>
    <n v="72.66"/>
    <n v="167.34"/>
    <n v="40"/>
    <n v="0"/>
    <n v="1"/>
  </r>
  <r>
    <s v="OR0024"/>
    <x v="5"/>
    <x v="1"/>
    <x v="1"/>
    <n v="7"/>
    <n v="25"/>
    <n v="8.4499999999999993"/>
    <s v="C0017"/>
    <x v="17"/>
    <x v="1"/>
    <x v="5"/>
    <n v="175"/>
    <n v="59.149999999999991"/>
    <n v="115.85000000000001"/>
    <n v="25"/>
    <n v="0"/>
    <n v="1"/>
  </r>
  <r>
    <s v="OR0025"/>
    <x v="5"/>
    <x v="0"/>
    <x v="0"/>
    <n v="8"/>
    <n v="10"/>
    <n v="3.8"/>
    <s v="C0160"/>
    <x v="19"/>
    <x v="2"/>
    <x v="7"/>
    <n v="80"/>
    <n v="30.4"/>
    <n v="49.6"/>
    <n v="10"/>
    <n v="1"/>
    <n v="0"/>
  </r>
  <r>
    <s v="OR0026"/>
    <x v="5"/>
    <x v="3"/>
    <x v="3"/>
    <n v="7"/>
    <n v="15"/>
    <n v="3.13"/>
    <s v="C0052"/>
    <x v="6"/>
    <x v="0"/>
    <x v="1"/>
    <n v="105"/>
    <n v="21.91"/>
    <n v="83.09"/>
    <n v="15"/>
    <n v="0"/>
    <n v="0"/>
  </r>
  <r>
    <s v="OR0027"/>
    <x v="5"/>
    <x v="0"/>
    <x v="0"/>
    <n v="6"/>
    <n v="10"/>
    <n v="3.18"/>
    <s v="C0199"/>
    <x v="20"/>
    <x v="1"/>
    <x v="0"/>
    <n v="60"/>
    <n v="19.080000000000002"/>
    <n v="40.92"/>
    <n v="10"/>
    <n v="0"/>
    <n v="1"/>
  </r>
  <r>
    <s v="OR0028"/>
    <x v="6"/>
    <x v="4"/>
    <x v="4"/>
    <n v="9"/>
    <n v="12"/>
    <n v="3.94"/>
    <s v="C0104"/>
    <x v="21"/>
    <x v="1"/>
    <x v="2"/>
    <n v="108"/>
    <n v="35.46"/>
    <n v="72.539999999999992"/>
    <n v="12"/>
    <n v="0"/>
    <n v="1"/>
  </r>
  <r>
    <s v="OR0029"/>
    <x v="6"/>
    <x v="2"/>
    <x v="2"/>
    <n v="3"/>
    <n v="40"/>
    <n v="10.79"/>
    <s v="C0038"/>
    <x v="22"/>
    <x v="1"/>
    <x v="1"/>
    <n v="120"/>
    <n v="32.369999999999997"/>
    <n v="87.63"/>
    <n v="40"/>
    <n v="0"/>
    <n v="1"/>
  </r>
  <r>
    <s v="OR0030"/>
    <x v="6"/>
    <x v="1"/>
    <x v="1"/>
    <n v="4"/>
    <n v="25"/>
    <n v="8.43"/>
    <s v="C0088"/>
    <x v="3"/>
    <x v="0"/>
    <x v="7"/>
    <n v="100"/>
    <n v="33.72"/>
    <n v="66.28"/>
    <n v="25"/>
    <n v="0"/>
    <n v="0"/>
  </r>
  <r>
    <s v="OR0031"/>
    <x v="7"/>
    <x v="3"/>
    <x v="3"/>
    <n v="5"/>
    <n v="15"/>
    <n v="3.55"/>
    <s v="C0167"/>
    <x v="23"/>
    <x v="1"/>
    <x v="3"/>
    <n v="75"/>
    <n v="17.75"/>
    <n v="57.25"/>
    <n v="15"/>
    <n v="0"/>
    <n v="1"/>
  </r>
  <r>
    <s v="OR0032"/>
    <x v="7"/>
    <x v="3"/>
    <x v="3"/>
    <n v="6"/>
    <n v="15"/>
    <n v="4.04"/>
    <s v="C0151"/>
    <x v="24"/>
    <x v="1"/>
    <x v="0"/>
    <n v="90"/>
    <n v="24.240000000000002"/>
    <n v="65.759999999999991"/>
    <n v="15"/>
    <n v="0"/>
    <n v="1"/>
  </r>
  <r>
    <s v="OR0033"/>
    <x v="8"/>
    <x v="0"/>
    <x v="0"/>
    <n v="8"/>
    <n v="10"/>
    <n v="2.6"/>
    <s v="C0033"/>
    <x v="25"/>
    <x v="3"/>
    <x v="7"/>
    <n v="80"/>
    <n v="20.8"/>
    <n v="59.2"/>
    <n v="10"/>
    <n v="0"/>
    <n v="0"/>
  </r>
  <r>
    <s v="OR0034"/>
    <x v="8"/>
    <x v="4"/>
    <x v="4"/>
    <n v="10"/>
    <n v="12"/>
    <n v="2.74"/>
    <s v="C0181"/>
    <x v="26"/>
    <x v="1"/>
    <x v="4"/>
    <n v="120"/>
    <n v="27.400000000000002"/>
    <n v="92.6"/>
    <n v="12"/>
    <n v="0"/>
    <n v="1"/>
  </r>
  <r>
    <s v="OR0035"/>
    <x v="9"/>
    <x v="1"/>
    <x v="1"/>
    <n v="10"/>
    <n v="25"/>
    <n v="9.86"/>
    <s v="C0012"/>
    <x v="13"/>
    <x v="1"/>
    <x v="4"/>
    <n v="250"/>
    <n v="98.6"/>
    <n v="151.4"/>
    <n v="25"/>
    <n v="0"/>
    <n v="1"/>
  </r>
  <r>
    <s v="OR0036"/>
    <x v="9"/>
    <x v="4"/>
    <x v="4"/>
    <n v="9"/>
    <n v="12"/>
    <n v="3.33"/>
    <s v="C0052"/>
    <x v="6"/>
    <x v="1"/>
    <x v="6"/>
    <n v="108"/>
    <n v="29.97"/>
    <n v="78.03"/>
    <n v="12"/>
    <n v="0"/>
    <n v="1"/>
  </r>
  <r>
    <s v="OR0037"/>
    <x v="9"/>
    <x v="3"/>
    <x v="3"/>
    <n v="6"/>
    <n v="15"/>
    <n v="3.13"/>
    <s v="C0157"/>
    <x v="27"/>
    <x v="1"/>
    <x v="9"/>
    <n v="90"/>
    <n v="18.78"/>
    <n v="71.22"/>
    <n v="15"/>
    <n v="0"/>
    <n v="1"/>
  </r>
  <r>
    <s v="OR0038"/>
    <x v="10"/>
    <x v="4"/>
    <x v="4"/>
    <n v="4"/>
    <n v="12"/>
    <n v="4.74"/>
    <s v="C0084"/>
    <x v="28"/>
    <x v="3"/>
    <x v="6"/>
    <n v="48"/>
    <n v="18.96"/>
    <n v="29.04"/>
    <n v="12"/>
    <n v="0"/>
    <n v="0"/>
  </r>
  <r>
    <s v="OR0039"/>
    <x v="11"/>
    <x v="4"/>
    <x v="4"/>
    <n v="9"/>
    <n v="12"/>
    <n v="4.33"/>
    <s v="C0085"/>
    <x v="29"/>
    <x v="1"/>
    <x v="5"/>
    <n v="108"/>
    <n v="38.97"/>
    <n v="69.03"/>
    <n v="12"/>
    <n v="0"/>
    <n v="1"/>
  </r>
  <r>
    <s v="OR0040"/>
    <x v="11"/>
    <x v="1"/>
    <x v="1"/>
    <n v="3"/>
    <n v="25"/>
    <n v="8.17"/>
    <s v="C0188"/>
    <x v="30"/>
    <x v="0"/>
    <x v="3"/>
    <n v="75"/>
    <n v="24.509999999999998"/>
    <n v="50.49"/>
    <n v="25"/>
    <n v="0"/>
    <n v="0"/>
  </r>
  <r>
    <s v="OR0041"/>
    <x v="11"/>
    <x v="1"/>
    <x v="1"/>
    <n v="6"/>
    <n v="25"/>
    <n v="6.37"/>
    <s v="C0043"/>
    <x v="31"/>
    <x v="1"/>
    <x v="5"/>
    <n v="150"/>
    <n v="38.22"/>
    <n v="111.78"/>
    <n v="25"/>
    <n v="0"/>
    <n v="1"/>
  </r>
  <r>
    <s v="OR0042"/>
    <x v="12"/>
    <x v="1"/>
    <x v="1"/>
    <n v="7"/>
    <n v="25"/>
    <n v="6.03"/>
    <s v="C0053"/>
    <x v="6"/>
    <x v="1"/>
    <x v="7"/>
    <n v="175"/>
    <n v="42.21"/>
    <n v="132.79"/>
    <n v="25"/>
    <n v="0"/>
    <n v="1"/>
  </r>
  <r>
    <s v="OR0043"/>
    <x v="12"/>
    <x v="2"/>
    <x v="2"/>
    <n v="7"/>
    <n v="40"/>
    <n v="11.98"/>
    <s v="C0022"/>
    <x v="32"/>
    <x v="0"/>
    <x v="5"/>
    <n v="280"/>
    <n v="83.86"/>
    <n v="196.14"/>
    <n v="40"/>
    <n v="0"/>
    <n v="0"/>
  </r>
  <r>
    <s v="OR0044"/>
    <x v="12"/>
    <x v="0"/>
    <x v="0"/>
    <n v="2"/>
    <n v="10"/>
    <n v="2.46"/>
    <s v="C0081"/>
    <x v="33"/>
    <x v="1"/>
    <x v="8"/>
    <n v="20"/>
    <n v="4.92"/>
    <n v="15.08"/>
    <n v="10"/>
    <n v="0"/>
    <n v="1"/>
  </r>
  <r>
    <s v="OR0045"/>
    <x v="12"/>
    <x v="4"/>
    <x v="4"/>
    <n v="5"/>
    <n v="12"/>
    <n v="4.2"/>
    <s v="C0106"/>
    <x v="7"/>
    <x v="2"/>
    <x v="8"/>
    <n v="60"/>
    <n v="21"/>
    <n v="39"/>
    <n v="12"/>
    <n v="1"/>
    <n v="0"/>
  </r>
  <r>
    <s v="OR0046"/>
    <x v="13"/>
    <x v="1"/>
    <x v="1"/>
    <n v="5"/>
    <n v="25"/>
    <n v="6.32"/>
    <s v="C0069"/>
    <x v="3"/>
    <x v="1"/>
    <x v="5"/>
    <n v="125"/>
    <n v="31.6"/>
    <n v="93.4"/>
    <n v="25"/>
    <n v="0"/>
    <n v="1"/>
  </r>
  <r>
    <s v="OR0047"/>
    <x v="13"/>
    <x v="0"/>
    <x v="0"/>
    <n v="7"/>
    <n v="10"/>
    <n v="2.88"/>
    <s v="C0164"/>
    <x v="34"/>
    <x v="0"/>
    <x v="1"/>
    <n v="70"/>
    <n v="20.16"/>
    <n v="49.84"/>
    <n v="10"/>
    <n v="0"/>
    <n v="0"/>
  </r>
  <r>
    <s v="OR0048"/>
    <x v="13"/>
    <x v="0"/>
    <x v="0"/>
    <n v="3"/>
    <n v="10"/>
    <n v="3.54"/>
    <s v="C0103"/>
    <x v="3"/>
    <x v="0"/>
    <x v="3"/>
    <n v="30"/>
    <n v="10.620000000000001"/>
    <n v="19.38"/>
    <n v="10"/>
    <n v="0"/>
    <n v="0"/>
  </r>
  <r>
    <s v="OR0049"/>
    <x v="13"/>
    <x v="2"/>
    <x v="2"/>
    <n v="1"/>
    <n v="40"/>
    <n v="15.48"/>
    <s v="C0161"/>
    <x v="18"/>
    <x v="3"/>
    <x v="1"/>
    <n v="40"/>
    <n v="15.48"/>
    <n v="24.52"/>
    <n v="40"/>
    <n v="0"/>
    <n v="0"/>
  </r>
  <r>
    <s v="OR0050"/>
    <x v="13"/>
    <x v="2"/>
    <x v="2"/>
    <n v="5"/>
    <n v="40"/>
    <n v="13.2"/>
    <s v="C0086"/>
    <x v="35"/>
    <x v="1"/>
    <x v="6"/>
    <n v="200"/>
    <n v="66"/>
    <n v="134"/>
    <n v="40"/>
    <n v="0"/>
    <n v="1"/>
  </r>
  <r>
    <s v="OR0051"/>
    <x v="13"/>
    <x v="1"/>
    <x v="1"/>
    <n v="4"/>
    <n v="25"/>
    <n v="7.94"/>
    <s v="C0059"/>
    <x v="31"/>
    <x v="1"/>
    <x v="0"/>
    <n v="100"/>
    <n v="31.76"/>
    <n v="68.239999999999995"/>
    <n v="25"/>
    <n v="0"/>
    <n v="1"/>
  </r>
  <r>
    <s v="OR0052"/>
    <x v="13"/>
    <x v="0"/>
    <x v="0"/>
    <n v="6"/>
    <n v="10"/>
    <n v="2.73"/>
    <s v="C0158"/>
    <x v="36"/>
    <x v="1"/>
    <x v="2"/>
    <n v="60"/>
    <n v="16.38"/>
    <n v="43.620000000000005"/>
    <n v="10"/>
    <n v="0"/>
    <n v="1"/>
  </r>
  <r>
    <s v="OR0053"/>
    <x v="13"/>
    <x v="2"/>
    <x v="2"/>
    <n v="2"/>
    <n v="40"/>
    <n v="13.63"/>
    <s v="C0119"/>
    <x v="21"/>
    <x v="0"/>
    <x v="0"/>
    <n v="80"/>
    <n v="27.26"/>
    <n v="52.739999999999995"/>
    <n v="40"/>
    <n v="0"/>
    <n v="0"/>
  </r>
  <r>
    <s v="OR0054"/>
    <x v="13"/>
    <x v="2"/>
    <x v="2"/>
    <n v="1"/>
    <n v="40"/>
    <n v="11.98"/>
    <s v="C0054"/>
    <x v="37"/>
    <x v="1"/>
    <x v="4"/>
    <n v="40"/>
    <n v="11.98"/>
    <n v="28.02"/>
    <n v="40"/>
    <n v="0"/>
    <n v="1"/>
  </r>
  <r>
    <s v="OR0055"/>
    <x v="14"/>
    <x v="1"/>
    <x v="1"/>
    <n v="5"/>
    <n v="25"/>
    <n v="6.78"/>
    <s v="C0073"/>
    <x v="38"/>
    <x v="2"/>
    <x v="0"/>
    <n v="125"/>
    <n v="33.9"/>
    <n v="91.1"/>
    <n v="25"/>
    <n v="1"/>
    <n v="0"/>
  </r>
  <r>
    <s v="OR0056"/>
    <x v="15"/>
    <x v="3"/>
    <x v="3"/>
    <n v="5"/>
    <n v="15"/>
    <n v="5.35"/>
    <s v="C0077"/>
    <x v="39"/>
    <x v="1"/>
    <x v="6"/>
    <n v="75"/>
    <n v="26.75"/>
    <n v="48.25"/>
    <n v="15"/>
    <n v="0"/>
    <n v="1"/>
  </r>
  <r>
    <s v="OR0057"/>
    <x v="16"/>
    <x v="0"/>
    <x v="0"/>
    <n v="1"/>
    <n v="10"/>
    <n v="3.11"/>
    <s v="C0034"/>
    <x v="40"/>
    <x v="0"/>
    <x v="6"/>
    <n v="10"/>
    <n v="3.11"/>
    <n v="6.8900000000000006"/>
    <n v="10"/>
    <n v="0"/>
    <n v="0"/>
  </r>
  <r>
    <s v="OR0058"/>
    <x v="16"/>
    <x v="2"/>
    <x v="2"/>
    <n v="7"/>
    <n v="40"/>
    <n v="9.3800000000000008"/>
    <s v="C0066"/>
    <x v="41"/>
    <x v="0"/>
    <x v="7"/>
    <n v="280"/>
    <n v="65.660000000000011"/>
    <n v="214.33999999999997"/>
    <n v="40"/>
    <n v="0"/>
    <n v="0"/>
  </r>
  <r>
    <s v="OR0059"/>
    <x v="17"/>
    <x v="0"/>
    <x v="0"/>
    <n v="1"/>
    <n v="10"/>
    <n v="3.75"/>
    <s v="C0196"/>
    <x v="42"/>
    <x v="2"/>
    <x v="0"/>
    <n v="10"/>
    <n v="3.75"/>
    <n v="6.25"/>
    <n v="10"/>
    <n v="1"/>
    <n v="0"/>
  </r>
  <r>
    <s v="OR0060"/>
    <x v="17"/>
    <x v="1"/>
    <x v="1"/>
    <n v="6"/>
    <n v="25"/>
    <n v="7.18"/>
    <s v="C0145"/>
    <x v="43"/>
    <x v="1"/>
    <x v="6"/>
    <n v="150"/>
    <n v="43.08"/>
    <n v="106.92"/>
    <n v="25"/>
    <n v="0"/>
    <n v="1"/>
  </r>
  <r>
    <s v="OR0061"/>
    <x v="17"/>
    <x v="4"/>
    <x v="4"/>
    <n v="3"/>
    <n v="12"/>
    <n v="4.53"/>
    <s v="C0094"/>
    <x v="44"/>
    <x v="1"/>
    <x v="1"/>
    <n v="36"/>
    <n v="13.59"/>
    <n v="22.41"/>
    <n v="12"/>
    <n v="0"/>
    <n v="1"/>
  </r>
  <r>
    <s v="OR0062"/>
    <x v="18"/>
    <x v="0"/>
    <x v="0"/>
    <n v="2"/>
    <n v="10"/>
    <n v="3.53"/>
    <s v="C0105"/>
    <x v="45"/>
    <x v="1"/>
    <x v="9"/>
    <n v="20"/>
    <n v="7.06"/>
    <n v="12.940000000000001"/>
    <n v="10"/>
    <n v="0"/>
    <n v="1"/>
  </r>
  <r>
    <s v="OR0063"/>
    <x v="18"/>
    <x v="0"/>
    <x v="0"/>
    <n v="6"/>
    <n v="10"/>
    <n v="2.13"/>
    <s v="C0064"/>
    <x v="46"/>
    <x v="1"/>
    <x v="4"/>
    <n v="60"/>
    <n v="12.78"/>
    <n v="47.22"/>
    <n v="10"/>
    <n v="0"/>
    <n v="1"/>
  </r>
  <r>
    <s v="OR0064"/>
    <x v="18"/>
    <x v="3"/>
    <x v="3"/>
    <n v="3"/>
    <n v="15"/>
    <n v="3.45"/>
    <s v="C0139"/>
    <x v="47"/>
    <x v="1"/>
    <x v="9"/>
    <n v="45"/>
    <n v="10.350000000000001"/>
    <n v="34.65"/>
    <n v="15"/>
    <n v="0"/>
    <n v="1"/>
  </r>
  <r>
    <s v="OR0065"/>
    <x v="19"/>
    <x v="3"/>
    <x v="3"/>
    <n v="10"/>
    <n v="15"/>
    <n v="4.71"/>
    <s v="C0065"/>
    <x v="48"/>
    <x v="1"/>
    <x v="0"/>
    <n v="150"/>
    <n v="47.1"/>
    <n v="102.9"/>
    <n v="15"/>
    <n v="0"/>
    <n v="1"/>
  </r>
  <r>
    <s v="OR0066"/>
    <x v="19"/>
    <x v="1"/>
    <x v="1"/>
    <n v="3"/>
    <n v="25"/>
    <n v="5.42"/>
    <s v="C0014"/>
    <x v="18"/>
    <x v="1"/>
    <x v="8"/>
    <n v="75"/>
    <n v="16.259999999999998"/>
    <n v="58.74"/>
    <n v="25"/>
    <n v="0"/>
    <n v="1"/>
  </r>
  <r>
    <s v="OR0067"/>
    <x v="19"/>
    <x v="3"/>
    <x v="3"/>
    <n v="6"/>
    <n v="15"/>
    <n v="4.32"/>
    <s v="C0062"/>
    <x v="49"/>
    <x v="1"/>
    <x v="0"/>
    <n v="90"/>
    <n v="25.92"/>
    <n v="64.08"/>
    <n v="15"/>
    <n v="0"/>
    <n v="1"/>
  </r>
  <r>
    <s v="OR0068"/>
    <x v="20"/>
    <x v="2"/>
    <x v="2"/>
    <n v="7"/>
    <n v="40"/>
    <n v="9.9700000000000006"/>
    <s v="C0128"/>
    <x v="50"/>
    <x v="1"/>
    <x v="7"/>
    <n v="280"/>
    <n v="69.790000000000006"/>
    <n v="210.20999999999998"/>
    <n v="40"/>
    <n v="0"/>
    <n v="1"/>
  </r>
  <r>
    <s v="OR0069"/>
    <x v="20"/>
    <x v="4"/>
    <x v="4"/>
    <n v="1"/>
    <n v="12"/>
    <n v="3.78"/>
    <s v="C0145"/>
    <x v="43"/>
    <x v="1"/>
    <x v="7"/>
    <n v="12"/>
    <n v="3.78"/>
    <n v="8.2200000000000006"/>
    <n v="12"/>
    <n v="0"/>
    <n v="1"/>
  </r>
  <r>
    <s v="OR0070"/>
    <x v="21"/>
    <x v="2"/>
    <x v="2"/>
    <n v="2"/>
    <n v="40"/>
    <n v="8.1999999999999993"/>
    <s v="C0145"/>
    <x v="43"/>
    <x v="1"/>
    <x v="7"/>
    <n v="80"/>
    <n v="16.399999999999999"/>
    <n v="63.6"/>
    <n v="40"/>
    <n v="0"/>
    <n v="1"/>
  </r>
  <r>
    <s v="OR0071"/>
    <x v="21"/>
    <x v="2"/>
    <x v="2"/>
    <n v="2"/>
    <n v="40"/>
    <n v="9.2100000000000009"/>
    <s v="C0045"/>
    <x v="51"/>
    <x v="1"/>
    <x v="7"/>
    <n v="80"/>
    <n v="18.420000000000002"/>
    <n v="61.58"/>
    <n v="40"/>
    <n v="0"/>
    <n v="1"/>
  </r>
  <r>
    <s v="OR0072"/>
    <x v="21"/>
    <x v="3"/>
    <x v="3"/>
    <n v="7"/>
    <n v="15"/>
    <n v="5.93"/>
    <s v="C0067"/>
    <x v="52"/>
    <x v="1"/>
    <x v="0"/>
    <n v="105"/>
    <n v="41.51"/>
    <n v="63.49"/>
    <n v="15"/>
    <n v="0"/>
    <n v="1"/>
  </r>
  <r>
    <s v="OR0073"/>
    <x v="21"/>
    <x v="3"/>
    <x v="3"/>
    <n v="7"/>
    <n v="15"/>
    <n v="4.4800000000000004"/>
    <s v="C0054"/>
    <x v="37"/>
    <x v="1"/>
    <x v="6"/>
    <n v="105"/>
    <n v="31.360000000000003"/>
    <n v="73.64"/>
    <n v="15"/>
    <n v="0"/>
    <n v="1"/>
  </r>
  <r>
    <s v="OR0074"/>
    <x v="21"/>
    <x v="0"/>
    <x v="0"/>
    <n v="1"/>
    <n v="10"/>
    <n v="3.95"/>
    <s v="C0101"/>
    <x v="3"/>
    <x v="1"/>
    <x v="4"/>
    <n v="10"/>
    <n v="3.95"/>
    <n v="6.05"/>
    <n v="10"/>
    <n v="0"/>
    <n v="1"/>
  </r>
  <r>
    <s v="OR0075"/>
    <x v="21"/>
    <x v="4"/>
    <x v="4"/>
    <n v="1"/>
    <n v="12"/>
    <n v="4.5999999999999996"/>
    <s v="C0100"/>
    <x v="52"/>
    <x v="1"/>
    <x v="7"/>
    <n v="12"/>
    <n v="4.5999999999999996"/>
    <n v="7.4"/>
    <n v="12"/>
    <n v="0"/>
    <n v="1"/>
  </r>
  <r>
    <s v="OR0076"/>
    <x v="22"/>
    <x v="1"/>
    <x v="1"/>
    <n v="4"/>
    <n v="25"/>
    <n v="8.75"/>
    <s v="C0141"/>
    <x v="16"/>
    <x v="1"/>
    <x v="5"/>
    <n v="100"/>
    <n v="35"/>
    <n v="65"/>
    <n v="25"/>
    <n v="0"/>
    <n v="1"/>
  </r>
  <r>
    <s v="OR0077"/>
    <x v="23"/>
    <x v="0"/>
    <x v="0"/>
    <n v="8"/>
    <n v="10"/>
    <n v="2.83"/>
    <s v="C0191"/>
    <x v="17"/>
    <x v="3"/>
    <x v="0"/>
    <n v="80"/>
    <n v="22.64"/>
    <n v="57.36"/>
    <n v="10"/>
    <n v="0"/>
    <n v="0"/>
  </r>
  <r>
    <s v="OR0078"/>
    <x v="23"/>
    <x v="1"/>
    <x v="1"/>
    <n v="8"/>
    <n v="25"/>
    <n v="5.86"/>
    <s v="C0009"/>
    <x v="53"/>
    <x v="1"/>
    <x v="4"/>
    <n v="200"/>
    <n v="46.88"/>
    <n v="153.12"/>
    <n v="25"/>
    <n v="0"/>
    <n v="1"/>
  </r>
  <r>
    <s v="OR0079"/>
    <x v="23"/>
    <x v="1"/>
    <x v="1"/>
    <n v="4"/>
    <n v="25"/>
    <n v="9.89"/>
    <s v="C0057"/>
    <x v="54"/>
    <x v="1"/>
    <x v="8"/>
    <n v="100"/>
    <n v="39.56"/>
    <n v="60.44"/>
    <n v="25"/>
    <n v="0"/>
    <n v="1"/>
  </r>
  <r>
    <s v="OR0080"/>
    <x v="24"/>
    <x v="2"/>
    <x v="2"/>
    <n v="5"/>
    <n v="40"/>
    <n v="10.28"/>
    <s v="C0120"/>
    <x v="55"/>
    <x v="1"/>
    <x v="5"/>
    <n v="200"/>
    <n v="51.4"/>
    <n v="148.6"/>
    <n v="40"/>
    <n v="0"/>
    <n v="1"/>
  </r>
  <r>
    <s v="OR0081"/>
    <x v="25"/>
    <x v="3"/>
    <x v="3"/>
    <n v="7"/>
    <n v="15"/>
    <n v="5.82"/>
    <s v="C0139"/>
    <x v="47"/>
    <x v="2"/>
    <x v="7"/>
    <n v="105"/>
    <n v="40.74"/>
    <n v="64.259999999999991"/>
    <n v="15"/>
    <n v="1"/>
    <n v="0"/>
  </r>
  <r>
    <s v="OR0082"/>
    <x v="25"/>
    <x v="0"/>
    <x v="0"/>
    <n v="9"/>
    <n v="10"/>
    <n v="3.04"/>
    <s v="C0156"/>
    <x v="18"/>
    <x v="1"/>
    <x v="9"/>
    <n v="90"/>
    <n v="27.36"/>
    <n v="62.64"/>
    <n v="10"/>
    <n v="0"/>
    <n v="1"/>
  </r>
  <r>
    <s v="OR0083"/>
    <x v="25"/>
    <x v="0"/>
    <x v="0"/>
    <n v="7"/>
    <n v="10"/>
    <n v="2.2400000000000002"/>
    <s v="C0066"/>
    <x v="41"/>
    <x v="1"/>
    <x v="9"/>
    <n v="70"/>
    <n v="15.680000000000001"/>
    <n v="54.32"/>
    <n v="10"/>
    <n v="0"/>
    <n v="1"/>
  </r>
  <r>
    <s v="OR0084"/>
    <x v="26"/>
    <x v="1"/>
    <x v="1"/>
    <n v="2"/>
    <n v="25"/>
    <n v="6.69"/>
    <s v="C0195"/>
    <x v="56"/>
    <x v="1"/>
    <x v="9"/>
    <n v="50"/>
    <n v="13.38"/>
    <n v="36.619999999999997"/>
    <n v="25"/>
    <n v="0"/>
    <n v="1"/>
  </r>
  <r>
    <s v="OR0085"/>
    <x v="26"/>
    <x v="3"/>
    <x v="3"/>
    <n v="9"/>
    <n v="15"/>
    <n v="3.37"/>
    <s v="C0182"/>
    <x v="57"/>
    <x v="1"/>
    <x v="0"/>
    <n v="135"/>
    <n v="30.330000000000002"/>
    <n v="104.67"/>
    <n v="15"/>
    <n v="0"/>
    <n v="1"/>
  </r>
  <r>
    <s v="OR0086"/>
    <x v="26"/>
    <x v="1"/>
    <x v="1"/>
    <n v="4"/>
    <n v="25"/>
    <n v="8.91"/>
    <s v="C0021"/>
    <x v="37"/>
    <x v="2"/>
    <x v="7"/>
    <n v="100"/>
    <n v="35.64"/>
    <n v="64.36"/>
    <n v="25"/>
    <n v="1"/>
    <n v="0"/>
  </r>
  <r>
    <s v="OR0087"/>
    <x v="26"/>
    <x v="4"/>
    <x v="4"/>
    <n v="1"/>
    <n v="12"/>
    <n v="2.87"/>
    <s v="C0146"/>
    <x v="58"/>
    <x v="0"/>
    <x v="5"/>
    <n v="12"/>
    <n v="2.87"/>
    <n v="9.129999999999999"/>
    <n v="12"/>
    <n v="0"/>
    <n v="0"/>
  </r>
  <r>
    <s v="OR0088"/>
    <x v="26"/>
    <x v="2"/>
    <x v="2"/>
    <n v="6"/>
    <n v="40"/>
    <n v="11.82"/>
    <s v="C0171"/>
    <x v="59"/>
    <x v="1"/>
    <x v="0"/>
    <n v="240"/>
    <n v="70.92"/>
    <n v="169.07999999999998"/>
    <n v="40"/>
    <n v="0"/>
    <n v="1"/>
  </r>
  <r>
    <s v="OR0089"/>
    <x v="26"/>
    <x v="1"/>
    <x v="1"/>
    <n v="6"/>
    <n v="25"/>
    <n v="9.0500000000000007"/>
    <s v="C0062"/>
    <x v="49"/>
    <x v="0"/>
    <x v="8"/>
    <n v="150"/>
    <n v="54.300000000000004"/>
    <n v="95.699999999999989"/>
    <n v="25"/>
    <n v="0"/>
    <n v="0"/>
  </r>
  <r>
    <s v="OR0090"/>
    <x v="27"/>
    <x v="4"/>
    <x v="4"/>
    <n v="10"/>
    <n v="12"/>
    <n v="4.34"/>
    <s v="C0110"/>
    <x v="26"/>
    <x v="0"/>
    <x v="7"/>
    <n v="120"/>
    <n v="43.4"/>
    <n v="76.599999999999994"/>
    <n v="12"/>
    <n v="0"/>
    <n v="0"/>
  </r>
  <r>
    <s v="OR0091"/>
    <x v="27"/>
    <x v="1"/>
    <x v="1"/>
    <n v="3"/>
    <n v="25"/>
    <n v="7.45"/>
    <s v="C0053"/>
    <x v="6"/>
    <x v="0"/>
    <x v="3"/>
    <n v="75"/>
    <n v="22.35"/>
    <n v="52.65"/>
    <n v="25"/>
    <n v="0"/>
    <n v="0"/>
  </r>
  <r>
    <s v="OR0092"/>
    <x v="27"/>
    <x v="3"/>
    <x v="3"/>
    <n v="9"/>
    <n v="15"/>
    <n v="4.92"/>
    <s v="C0016"/>
    <x v="5"/>
    <x v="3"/>
    <x v="0"/>
    <n v="135"/>
    <n v="44.28"/>
    <n v="90.72"/>
    <n v="15"/>
    <n v="0"/>
    <n v="0"/>
  </r>
  <r>
    <s v="OR0093"/>
    <x v="27"/>
    <x v="0"/>
    <x v="0"/>
    <n v="7"/>
    <n v="10"/>
    <n v="2.4500000000000002"/>
    <s v="C0174"/>
    <x v="0"/>
    <x v="1"/>
    <x v="6"/>
    <n v="70"/>
    <n v="17.150000000000002"/>
    <n v="52.849999999999994"/>
    <n v="10"/>
    <n v="0"/>
    <n v="1"/>
  </r>
  <r>
    <s v="OR0094"/>
    <x v="27"/>
    <x v="1"/>
    <x v="1"/>
    <n v="1"/>
    <n v="25"/>
    <n v="7.24"/>
    <s v="C0012"/>
    <x v="13"/>
    <x v="0"/>
    <x v="9"/>
    <n v="25"/>
    <n v="7.24"/>
    <n v="17.759999999999998"/>
    <n v="25"/>
    <n v="0"/>
    <n v="0"/>
  </r>
  <r>
    <s v="OR0095"/>
    <x v="27"/>
    <x v="2"/>
    <x v="2"/>
    <n v="2"/>
    <n v="40"/>
    <n v="14.07"/>
    <s v="C0014"/>
    <x v="18"/>
    <x v="2"/>
    <x v="6"/>
    <n v="80"/>
    <n v="28.14"/>
    <n v="51.86"/>
    <n v="40"/>
    <n v="1"/>
    <n v="0"/>
  </r>
  <r>
    <s v="OR0096"/>
    <x v="27"/>
    <x v="1"/>
    <x v="1"/>
    <n v="10"/>
    <n v="25"/>
    <n v="9.9"/>
    <s v="C0110"/>
    <x v="26"/>
    <x v="1"/>
    <x v="9"/>
    <n v="250"/>
    <n v="99"/>
    <n v="151"/>
    <n v="25"/>
    <n v="0"/>
    <n v="1"/>
  </r>
  <r>
    <s v="OR0097"/>
    <x v="28"/>
    <x v="2"/>
    <x v="2"/>
    <n v="9"/>
    <n v="40"/>
    <n v="15.18"/>
    <s v="C0194"/>
    <x v="60"/>
    <x v="3"/>
    <x v="6"/>
    <n v="360"/>
    <n v="136.62"/>
    <n v="223.38"/>
    <n v="40"/>
    <n v="0"/>
    <n v="0"/>
  </r>
  <r>
    <s v="OR0098"/>
    <x v="28"/>
    <x v="0"/>
    <x v="0"/>
    <n v="4"/>
    <n v="10"/>
    <n v="3.54"/>
    <s v="C0188"/>
    <x v="30"/>
    <x v="1"/>
    <x v="6"/>
    <n v="40"/>
    <n v="14.16"/>
    <n v="25.84"/>
    <n v="10"/>
    <n v="0"/>
    <n v="1"/>
  </r>
  <r>
    <s v="OR0099"/>
    <x v="28"/>
    <x v="4"/>
    <x v="4"/>
    <n v="10"/>
    <n v="12"/>
    <n v="3.79"/>
    <s v="C0095"/>
    <x v="61"/>
    <x v="1"/>
    <x v="1"/>
    <n v="120"/>
    <n v="37.9"/>
    <n v="82.1"/>
    <n v="12"/>
    <n v="0"/>
    <n v="1"/>
  </r>
  <r>
    <s v="OR0100"/>
    <x v="28"/>
    <x v="0"/>
    <x v="0"/>
    <n v="8"/>
    <n v="10"/>
    <n v="2.6"/>
    <s v="C0018"/>
    <x v="62"/>
    <x v="1"/>
    <x v="5"/>
    <n v="80"/>
    <n v="20.8"/>
    <n v="59.2"/>
    <n v="10"/>
    <n v="0"/>
    <n v="1"/>
  </r>
  <r>
    <s v="OR0101"/>
    <x v="28"/>
    <x v="1"/>
    <x v="1"/>
    <n v="8"/>
    <n v="25"/>
    <n v="6.48"/>
    <s v="C0023"/>
    <x v="63"/>
    <x v="0"/>
    <x v="4"/>
    <n v="200"/>
    <n v="51.84"/>
    <n v="148.16"/>
    <n v="25"/>
    <n v="0"/>
    <n v="0"/>
  </r>
  <r>
    <s v="OR0102"/>
    <x v="28"/>
    <x v="0"/>
    <x v="0"/>
    <n v="9"/>
    <n v="10"/>
    <n v="3.07"/>
    <s v="C0165"/>
    <x v="8"/>
    <x v="3"/>
    <x v="9"/>
    <n v="90"/>
    <n v="27.63"/>
    <n v="62.370000000000005"/>
    <n v="10"/>
    <n v="0"/>
    <n v="0"/>
  </r>
  <r>
    <s v="OR0103"/>
    <x v="29"/>
    <x v="2"/>
    <x v="2"/>
    <n v="8"/>
    <n v="40"/>
    <n v="10.88"/>
    <s v="C0037"/>
    <x v="64"/>
    <x v="0"/>
    <x v="5"/>
    <n v="320"/>
    <n v="87.04"/>
    <n v="232.95999999999998"/>
    <n v="40"/>
    <n v="0"/>
    <n v="0"/>
  </r>
  <r>
    <s v="OR0104"/>
    <x v="29"/>
    <x v="3"/>
    <x v="3"/>
    <n v="7"/>
    <n v="15"/>
    <n v="5.75"/>
    <s v="C0007"/>
    <x v="65"/>
    <x v="1"/>
    <x v="2"/>
    <n v="105"/>
    <n v="40.25"/>
    <n v="64.75"/>
    <n v="15"/>
    <n v="0"/>
    <n v="1"/>
  </r>
  <r>
    <s v="OR0105"/>
    <x v="30"/>
    <x v="0"/>
    <x v="0"/>
    <n v="3"/>
    <n v="10"/>
    <n v="2.88"/>
    <s v="C0124"/>
    <x v="15"/>
    <x v="0"/>
    <x v="5"/>
    <n v="30"/>
    <n v="8.64"/>
    <n v="21.36"/>
    <n v="10"/>
    <n v="0"/>
    <n v="0"/>
  </r>
  <r>
    <s v="OR0106"/>
    <x v="30"/>
    <x v="0"/>
    <x v="0"/>
    <n v="9"/>
    <n v="10"/>
    <n v="3.15"/>
    <s v="C0146"/>
    <x v="58"/>
    <x v="1"/>
    <x v="6"/>
    <n v="90"/>
    <n v="28.349999999999998"/>
    <n v="61.650000000000006"/>
    <n v="10"/>
    <n v="0"/>
    <n v="1"/>
  </r>
  <r>
    <s v="OR0107"/>
    <x v="30"/>
    <x v="1"/>
    <x v="1"/>
    <n v="1"/>
    <n v="25"/>
    <n v="5.62"/>
    <s v="C0158"/>
    <x v="36"/>
    <x v="1"/>
    <x v="4"/>
    <n v="25"/>
    <n v="5.62"/>
    <n v="19.38"/>
    <n v="25"/>
    <n v="0"/>
    <n v="1"/>
  </r>
  <r>
    <s v="OR0108"/>
    <x v="30"/>
    <x v="1"/>
    <x v="1"/>
    <n v="10"/>
    <n v="25"/>
    <n v="7.15"/>
    <s v="C0035"/>
    <x v="16"/>
    <x v="1"/>
    <x v="8"/>
    <n v="250"/>
    <n v="71.5"/>
    <n v="178.5"/>
    <n v="25"/>
    <n v="0"/>
    <n v="1"/>
  </r>
  <r>
    <s v="OR0109"/>
    <x v="30"/>
    <x v="2"/>
    <x v="2"/>
    <n v="10"/>
    <n v="40"/>
    <n v="14.26"/>
    <s v="C0114"/>
    <x v="5"/>
    <x v="1"/>
    <x v="7"/>
    <n v="400"/>
    <n v="142.6"/>
    <n v="257.39999999999998"/>
    <n v="40"/>
    <n v="0"/>
    <n v="1"/>
  </r>
  <r>
    <s v="OR0110"/>
    <x v="30"/>
    <x v="4"/>
    <x v="4"/>
    <n v="3"/>
    <n v="12"/>
    <n v="3.43"/>
    <s v="C0009"/>
    <x v="53"/>
    <x v="1"/>
    <x v="9"/>
    <n v="36"/>
    <n v="10.290000000000001"/>
    <n v="25.71"/>
    <n v="12"/>
    <n v="0"/>
    <n v="1"/>
  </r>
  <r>
    <s v="OR0111"/>
    <x v="31"/>
    <x v="1"/>
    <x v="1"/>
    <n v="5"/>
    <n v="25"/>
    <n v="7.16"/>
    <s v="C0078"/>
    <x v="35"/>
    <x v="1"/>
    <x v="2"/>
    <n v="125"/>
    <n v="35.799999999999997"/>
    <n v="89.2"/>
    <n v="25"/>
    <n v="0"/>
    <n v="1"/>
  </r>
  <r>
    <s v="OR0112"/>
    <x v="31"/>
    <x v="2"/>
    <x v="2"/>
    <n v="1"/>
    <n v="40"/>
    <n v="13.32"/>
    <s v="C0122"/>
    <x v="1"/>
    <x v="1"/>
    <x v="1"/>
    <n v="40"/>
    <n v="13.32"/>
    <n v="26.68"/>
    <n v="40"/>
    <n v="0"/>
    <n v="1"/>
  </r>
  <r>
    <s v="OR0113"/>
    <x v="32"/>
    <x v="3"/>
    <x v="3"/>
    <n v="8"/>
    <n v="15"/>
    <n v="4.83"/>
    <s v="C0111"/>
    <x v="49"/>
    <x v="3"/>
    <x v="9"/>
    <n v="120"/>
    <n v="38.64"/>
    <n v="81.36"/>
    <n v="15"/>
    <n v="0"/>
    <n v="0"/>
  </r>
  <r>
    <s v="OR0114"/>
    <x v="33"/>
    <x v="1"/>
    <x v="1"/>
    <n v="2"/>
    <n v="25"/>
    <n v="5.45"/>
    <s v="C0187"/>
    <x v="48"/>
    <x v="0"/>
    <x v="7"/>
    <n v="50"/>
    <n v="10.9"/>
    <n v="39.1"/>
    <n v="25"/>
    <n v="0"/>
    <n v="0"/>
  </r>
  <r>
    <s v="OR0115"/>
    <x v="34"/>
    <x v="1"/>
    <x v="1"/>
    <n v="9"/>
    <n v="25"/>
    <n v="6.65"/>
    <s v="C0194"/>
    <x v="60"/>
    <x v="1"/>
    <x v="9"/>
    <n v="225"/>
    <n v="59.85"/>
    <n v="165.15"/>
    <n v="25"/>
    <n v="0"/>
    <n v="1"/>
  </r>
  <r>
    <s v="OR0116"/>
    <x v="35"/>
    <x v="0"/>
    <x v="0"/>
    <n v="1"/>
    <n v="10"/>
    <n v="2.91"/>
    <s v="C0033"/>
    <x v="25"/>
    <x v="1"/>
    <x v="7"/>
    <n v="10"/>
    <n v="2.91"/>
    <n v="7.09"/>
    <n v="10"/>
    <n v="0"/>
    <n v="1"/>
  </r>
  <r>
    <s v="OR0117"/>
    <x v="36"/>
    <x v="0"/>
    <x v="0"/>
    <n v="8"/>
    <n v="10"/>
    <n v="3.92"/>
    <s v="C0108"/>
    <x v="15"/>
    <x v="0"/>
    <x v="4"/>
    <n v="80"/>
    <n v="31.36"/>
    <n v="48.64"/>
    <n v="10"/>
    <n v="0"/>
    <n v="0"/>
  </r>
  <r>
    <s v="OR0118"/>
    <x v="36"/>
    <x v="3"/>
    <x v="3"/>
    <n v="5"/>
    <n v="15"/>
    <n v="4.6100000000000003"/>
    <s v="C0192"/>
    <x v="66"/>
    <x v="3"/>
    <x v="7"/>
    <n v="75"/>
    <n v="23.05"/>
    <n v="51.95"/>
    <n v="15"/>
    <n v="0"/>
    <n v="0"/>
  </r>
  <r>
    <s v="OR0119"/>
    <x v="36"/>
    <x v="0"/>
    <x v="0"/>
    <n v="4"/>
    <n v="10"/>
    <n v="3.17"/>
    <s v="C0193"/>
    <x v="67"/>
    <x v="1"/>
    <x v="4"/>
    <n v="40"/>
    <n v="12.68"/>
    <n v="27.32"/>
    <n v="10"/>
    <n v="0"/>
    <n v="1"/>
  </r>
  <r>
    <s v="OR0120"/>
    <x v="36"/>
    <x v="2"/>
    <x v="2"/>
    <n v="5"/>
    <n v="40"/>
    <n v="11.02"/>
    <s v="C0145"/>
    <x v="43"/>
    <x v="1"/>
    <x v="0"/>
    <n v="200"/>
    <n v="55.099999999999994"/>
    <n v="144.9"/>
    <n v="40"/>
    <n v="0"/>
    <n v="1"/>
  </r>
  <r>
    <s v="OR0121"/>
    <x v="36"/>
    <x v="2"/>
    <x v="2"/>
    <n v="1"/>
    <n v="40"/>
    <n v="12.28"/>
    <s v="C0100"/>
    <x v="52"/>
    <x v="1"/>
    <x v="5"/>
    <n v="40"/>
    <n v="12.28"/>
    <n v="27.72"/>
    <n v="40"/>
    <n v="0"/>
    <n v="1"/>
  </r>
  <r>
    <s v="OR0122"/>
    <x v="37"/>
    <x v="4"/>
    <x v="4"/>
    <n v="10"/>
    <n v="12"/>
    <n v="3.91"/>
    <s v="C0166"/>
    <x v="68"/>
    <x v="0"/>
    <x v="7"/>
    <n v="120"/>
    <n v="39.1"/>
    <n v="80.900000000000006"/>
    <n v="12"/>
    <n v="0"/>
    <n v="0"/>
  </r>
  <r>
    <s v="OR0123"/>
    <x v="37"/>
    <x v="2"/>
    <x v="2"/>
    <n v="6"/>
    <n v="40"/>
    <n v="15"/>
    <s v="C0131"/>
    <x v="69"/>
    <x v="1"/>
    <x v="1"/>
    <n v="240"/>
    <n v="90"/>
    <n v="150"/>
    <n v="40"/>
    <n v="0"/>
    <n v="1"/>
  </r>
  <r>
    <s v="OR0124"/>
    <x v="38"/>
    <x v="3"/>
    <x v="3"/>
    <n v="7"/>
    <n v="15"/>
    <n v="5.54"/>
    <s v="C0135"/>
    <x v="8"/>
    <x v="0"/>
    <x v="4"/>
    <n v="105"/>
    <n v="38.78"/>
    <n v="66.22"/>
    <n v="15"/>
    <n v="0"/>
    <n v="0"/>
  </r>
  <r>
    <s v="OR0125"/>
    <x v="38"/>
    <x v="3"/>
    <x v="3"/>
    <n v="7"/>
    <n v="15"/>
    <n v="3.16"/>
    <s v="C0112"/>
    <x v="70"/>
    <x v="1"/>
    <x v="4"/>
    <n v="105"/>
    <n v="22.12"/>
    <n v="82.88"/>
    <n v="15"/>
    <n v="0"/>
    <n v="1"/>
  </r>
  <r>
    <s v="OR0126"/>
    <x v="38"/>
    <x v="3"/>
    <x v="3"/>
    <n v="5"/>
    <n v="15"/>
    <n v="4.28"/>
    <s v="C0002"/>
    <x v="43"/>
    <x v="0"/>
    <x v="1"/>
    <n v="75"/>
    <n v="21.400000000000002"/>
    <n v="53.599999999999994"/>
    <n v="15"/>
    <n v="0"/>
    <n v="0"/>
  </r>
  <r>
    <s v="OR0127"/>
    <x v="39"/>
    <x v="4"/>
    <x v="4"/>
    <n v="6"/>
    <n v="12"/>
    <n v="3.5"/>
    <s v="C0160"/>
    <x v="19"/>
    <x v="1"/>
    <x v="7"/>
    <n v="72"/>
    <n v="21"/>
    <n v="51"/>
    <n v="12"/>
    <n v="0"/>
    <n v="1"/>
  </r>
  <r>
    <s v="OR0128"/>
    <x v="40"/>
    <x v="4"/>
    <x v="4"/>
    <n v="10"/>
    <n v="12"/>
    <n v="2.52"/>
    <s v="C0075"/>
    <x v="71"/>
    <x v="1"/>
    <x v="1"/>
    <n v="120"/>
    <n v="25.2"/>
    <n v="94.8"/>
    <n v="12"/>
    <n v="0"/>
    <n v="1"/>
  </r>
  <r>
    <s v="OR0129"/>
    <x v="41"/>
    <x v="1"/>
    <x v="1"/>
    <n v="8"/>
    <n v="25"/>
    <n v="8.44"/>
    <s v="C0042"/>
    <x v="71"/>
    <x v="2"/>
    <x v="4"/>
    <n v="200"/>
    <n v="67.52"/>
    <n v="132.48000000000002"/>
    <n v="25"/>
    <n v="1"/>
    <n v="0"/>
  </r>
  <r>
    <s v="OR0130"/>
    <x v="42"/>
    <x v="0"/>
    <x v="0"/>
    <n v="9"/>
    <n v="10"/>
    <n v="3.45"/>
    <s v="C0190"/>
    <x v="39"/>
    <x v="1"/>
    <x v="0"/>
    <n v="90"/>
    <n v="31.05"/>
    <n v="58.95"/>
    <n v="10"/>
    <n v="0"/>
    <n v="1"/>
  </r>
  <r>
    <s v="OR0131"/>
    <x v="42"/>
    <x v="3"/>
    <x v="3"/>
    <n v="3"/>
    <n v="15"/>
    <n v="4.2699999999999996"/>
    <s v="C0141"/>
    <x v="16"/>
    <x v="0"/>
    <x v="4"/>
    <n v="45"/>
    <n v="12.809999999999999"/>
    <n v="32.19"/>
    <n v="15"/>
    <n v="0"/>
    <n v="0"/>
  </r>
  <r>
    <s v="OR0132"/>
    <x v="42"/>
    <x v="0"/>
    <x v="0"/>
    <n v="9"/>
    <n v="10"/>
    <n v="3.07"/>
    <s v="C0002"/>
    <x v="43"/>
    <x v="0"/>
    <x v="7"/>
    <n v="90"/>
    <n v="27.63"/>
    <n v="62.370000000000005"/>
    <n v="10"/>
    <n v="0"/>
    <n v="0"/>
  </r>
  <r>
    <s v="OR0133"/>
    <x v="43"/>
    <x v="2"/>
    <x v="2"/>
    <n v="7"/>
    <n v="40"/>
    <n v="12.58"/>
    <s v="C0122"/>
    <x v="1"/>
    <x v="3"/>
    <x v="6"/>
    <n v="280"/>
    <n v="88.06"/>
    <n v="191.94"/>
    <n v="40"/>
    <n v="0"/>
    <n v="0"/>
  </r>
  <r>
    <s v="OR0134"/>
    <x v="43"/>
    <x v="2"/>
    <x v="2"/>
    <n v="2"/>
    <n v="40"/>
    <n v="9.66"/>
    <s v="C0158"/>
    <x v="36"/>
    <x v="2"/>
    <x v="4"/>
    <n v="80"/>
    <n v="19.32"/>
    <n v="60.68"/>
    <n v="40"/>
    <n v="1"/>
    <n v="0"/>
  </r>
  <r>
    <s v="OR0135"/>
    <x v="43"/>
    <x v="1"/>
    <x v="1"/>
    <n v="2"/>
    <n v="25"/>
    <n v="9.7100000000000009"/>
    <s v="C0009"/>
    <x v="53"/>
    <x v="1"/>
    <x v="4"/>
    <n v="50"/>
    <n v="19.420000000000002"/>
    <n v="30.58"/>
    <n v="25"/>
    <n v="0"/>
    <n v="1"/>
  </r>
  <r>
    <s v="OR0136"/>
    <x v="44"/>
    <x v="2"/>
    <x v="2"/>
    <n v="10"/>
    <n v="40"/>
    <n v="14.95"/>
    <s v="C0031"/>
    <x v="61"/>
    <x v="1"/>
    <x v="9"/>
    <n v="400"/>
    <n v="149.5"/>
    <n v="250.5"/>
    <n v="40"/>
    <n v="0"/>
    <n v="1"/>
  </r>
  <r>
    <s v="OR0137"/>
    <x v="44"/>
    <x v="4"/>
    <x v="4"/>
    <n v="5"/>
    <n v="12"/>
    <n v="3.63"/>
    <s v="C0112"/>
    <x v="70"/>
    <x v="1"/>
    <x v="1"/>
    <n v="60"/>
    <n v="18.149999999999999"/>
    <n v="41.85"/>
    <n v="12"/>
    <n v="0"/>
    <n v="1"/>
  </r>
  <r>
    <s v="OR0138"/>
    <x v="44"/>
    <x v="1"/>
    <x v="1"/>
    <n v="2"/>
    <n v="25"/>
    <n v="8.08"/>
    <s v="C0190"/>
    <x v="39"/>
    <x v="1"/>
    <x v="1"/>
    <n v="50"/>
    <n v="16.16"/>
    <n v="33.840000000000003"/>
    <n v="25"/>
    <n v="0"/>
    <n v="1"/>
  </r>
  <r>
    <s v="OR0139"/>
    <x v="44"/>
    <x v="0"/>
    <x v="0"/>
    <n v="9"/>
    <n v="10"/>
    <n v="3.45"/>
    <s v="C0091"/>
    <x v="72"/>
    <x v="0"/>
    <x v="3"/>
    <n v="90"/>
    <n v="31.05"/>
    <n v="58.95"/>
    <n v="10"/>
    <n v="0"/>
    <n v="0"/>
  </r>
  <r>
    <s v="OR0140"/>
    <x v="44"/>
    <x v="4"/>
    <x v="4"/>
    <n v="5"/>
    <n v="12"/>
    <n v="4.0199999999999996"/>
    <s v="C0162"/>
    <x v="4"/>
    <x v="1"/>
    <x v="6"/>
    <n v="60"/>
    <n v="20.099999999999998"/>
    <n v="39.900000000000006"/>
    <n v="12"/>
    <n v="0"/>
    <n v="1"/>
  </r>
  <r>
    <s v="OR0141"/>
    <x v="45"/>
    <x v="1"/>
    <x v="1"/>
    <n v="4"/>
    <n v="25"/>
    <n v="8"/>
    <s v="C0133"/>
    <x v="73"/>
    <x v="1"/>
    <x v="1"/>
    <n v="100"/>
    <n v="32"/>
    <n v="68"/>
    <n v="25"/>
    <n v="0"/>
    <n v="1"/>
  </r>
  <r>
    <s v="OR0142"/>
    <x v="45"/>
    <x v="3"/>
    <x v="3"/>
    <n v="1"/>
    <n v="15"/>
    <n v="5.45"/>
    <s v="C0151"/>
    <x v="24"/>
    <x v="1"/>
    <x v="3"/>
    <n v="15"/>
    <n v="5.45"/>
    <n v="9.5500000000000007"/>
    <n v="15"/>
    <n v="0"/>
    <n v="1"/>
  </r>
  <r>
    <s v="OR0143"/>
    <x v="45"/>
    <x v="3"/>
    <x v="3"/>
    <n v="1"/>
    <n v="15"/>
    <n v="3.59"/>
    <s v="C0109"/>
    <x v="74"/>
    <x v="3"/>
    <x v="8"/>
    <n v="15"/>
    <n v="3.59"/>
    <n v="11.41"/>
    <n v="15"/>
    <n v="0"/>
    <n v="0"/>
  </r>
  <r>
    <s v="OR0144"/>
    <x v="46"/>
    <x v="2"/>
    <x v="2"/>
    <n v="3"/>
    <n v="40"/>
    <n v="13.47"/>
    <s v="C0167"/>
    <x v="23"/>
    <x v="0"/>
    <x v="1"/>
    <n v="120"/>
    <n v="40.410000000000004"/>
    <n v="79.59"/>
    <n v="40"/>
    <n v="0"/>
    <n v="0"/>
  </r>
  <r>
    <s v="OR0145"/>
    <x v="46"/>
    <x v="4"/>
    <x v="4"/>
    <n v="8"/>
    <n v="12"/>
    <n v="2.72"/>
    <s v="C0111"/>
    <x v="49"/>
    <x v="1"/>
    <x v="7"/>
    <n v="96"/>
    <n v="21.76"/>
    <n v="74.239999999999995"/>
    <n v="12"/>
    <n v="0"/>
    <n v="1"/>
  </r>
  <r>
    <s v="OR0146"/>
    <x v="46"/>
    <x v="3"/>
    <x v="3"/>
    <n v="1"/>
    <n v="15"/>
    <n v="3.43"/>
    <s v="C0058"/>
    <x v="74"/>
    <x v="1"/>
    <x v="6"/>
    <n v="15"/>
    <n v="3.43"/>
    <n v="11.57"/>
    <n v="15"/>
    <n v="0"/>
    <n v="1"/>
  </r>
  <r>
    <s v="OR0147"/>
    <x v="47"/>
    <x v="0"/>
    <x v="0"/>
    <n v="1"/>
    <n v="10"/>
    <n v="3.27"/>
    <s v="C0148"/>
    <x v="48"/>
    <x v="0"/>
    <x v="3"/>
    <n v="10"/>
    <n v="3.27"/>
    <n v="6.73"/>
    <n v="10"/>
    <n v="0"/>
    <n v="0"/>
  </r>
  <r>
    <s v="OR0148"/>
    <x v="47"/>
    <x v="0"/>
    <x v="0"/>
    <n v="6"/>
    <n v="10"/>
    <n v="3.92"/>
    <s v="C0127"/>
    <x v="22"/>
    <x v="1"/>
    <x v="1"/>
    <n v="60"/>
    <n v="23.52"/>
    <n v="36.480000000000004"/>
    <n v="10"/>
    <n v="0"/>
    <n v="1"/>
  </r>
  <r>
    <s v="OR0149"/>
    <x v="47"/>
    <x v="2"/>
    <x v="2"/>
    <n v="10"/>
    <n v="40"/>
    <n v="10.39"/>
    <s v="C0151"/>
    <x v="24"/>
    <x v="1"/>
    <x v="4"/>
    <n v="400"/>
    <n v="103.9"/>
    <n v="296.10000000000002"/>
    <n v="40"/>
    <n v="0"/>
    <n v="1"/>
  </r>
  <r>
    <s v="OR0150"/>
    <x v="48"/>
    <x v="4"/>
    <x v="4"/>
    <n v="1"/>
    <n v="12"/>
    <n v="3.88"/>
    <s v="C0006"/>
    <x v="75"/>
    <x v="1"/>
    <x v="8"/>
    <n v="12"/>
    <n v="3.88"/>
    <n v="8.120000000000001"/>
    <n v="12"/>
    <n v="0"/>
    <n v="1"/>
  </r>
  <r>
    <s v="OR0151"/>
    <x v="48"/>
    <x v="2"/>
    <x v="2"/>
    <n v="9"/>
    <n v="40"/>
    <n v="13.95"/>
    <s v="C0183"/>
    <x v="1"/>
    <x v="1"/>
    <x v="0"/>
    <n v="360"/>
    <n v="125.55"/>
    <n v="234.45"/>
    <n v="40"/>
    <n v="0"/>
    <n v="1"/>
  </r>
  <r>
    <s v="OR0152"/>
    <x v="49"/>
    <x v="2"/>
    <x v="2"/>
    <n v="6"/>
    <n v="40"/>
    <n v="11.41"/>
    <s v="C0150"/>
    <x v="76"/>
    <x v="0"/>
    <x v="0"/>
    <n v="240"/>
    <n v="68.460000000000008"/>
    <n v="171.54"/>
    <n v="40"/>
    <n v="0"/>
    <n v="0"/>
  </r>
  <r>
    <s v="OR0153"/>
    <x v="50"/>
    <x v="2"/>
    <x v="2"/>
    <n v="10"/>
    <n v="40"/>
    <n v="15.1"/>
    <s v="C0034"/>
    <x v="40"/>
    <x v="1"/>
    <x v="1"/>
    <n v="400"/>
    <n v="151"/>
    <n v="249"/>
    <n v="40"/>
    <n v="0"/>
    <n v="1"/>
  </r>
  <r>
    <s v="OR0154"/>
    <x v="50"/>
    <x v="4"/>
    <x v="4"/>
    <n v="3"/>
    <n v="12"/>
    <n v="4.78"/>
    <s v="C0077"/>
    <x v="39"/>
    <x v="1"/>
    <x v="5"/>
    <n v="36"/>
    <n v="14.34"/>
    <n v="21.66"/>
    <n v="12"/>
    <n v="0"/>
    <n v="1"/>
  </r>
  <r>
    <s v="OR0155"/>
    <x v="50"/>
    <x v="3"/>
    <x v="3"/>
    <n v="5"/>
    <n v="15"/>
    <n v="5.09"/>
    <s v="C0015"/>
    <x v="77"/>
    <x v="1"/>
    <x v="5"/>
    <n v="75"/>
    <n v="25.45"/>
    <n v="49.55"/>
    <n v="15"/>
    <n v="0"/>
    <n v="1"/>
  </r>
  <r>
    <s v="OR0156"/>
    <x v="51"/>
    <x v="3"/>
    <x v="3"/>
    <n v="5"/>
    <n v="15"/>
    <n v="3.54"/>
    <s v="C0146"/>
    <x v="58"/>
    <x v="1"/>
    <x v="9"/>
    <n v="75"/>
    <n v="17.7"/>
    <n v="57.3"/>
    <n v="15"/>
    <n v="0"/>
    <n v="1"/>
  </r>
  <r>
    <s v="OR0157"/>
    <x v="52"/>
    <x v="2"/>
    <x v="2"/>
    <n v="3"/>
    <n v="40"/>
    <n v="13.26"/>
    <s v="C0044"/>
    <x v="78"/>
    <x v="1"/>
    <x v="0"/>
    <n v="120"/>
    <n v="39.78"/>
    <n v="80.22"/>
    <n v="40"/>
    <n v="0"/>
    <n v="1"/>
  </r>
  <r>
    <s v="OR0158"/>
    <x v="52"/>
    <x v="2"/>
    <x v="2"/>
    <n v="7"/>
    <n v="40"/>
    <n v="8.94"/>
    <s v="C0076"/>
    <x v="2"/>
    <x v="1"/>
    <x v="6"/>
    <n v="280"/>
    <n v="62.58"/>
    <n v="217.42000000000002"/>
    <n v="40"/>
    <n v="0"/>
    <n v="1"/>
  </r>
  <r>
    <s v="OR0159"/>
    <x v="52"/>
    <x v="4"/>
    <x v="4"/>
    <n v="2"/>
    <n v="12"/>
    <n v="2.78"/>
    <s v="C0141"/>
    <x v="16"/>
    <x v="1"/>
    <x v="0"/>
    <n v="24"/>
    <n v="5.56"/>
    <n v="18.440000000000001"/>
    <n v="12"/>
    <n v="0"/>
    <n v="1"/>
  </r>
  <r>
    <s v="OR0160"/>
    <x v="52"/>
    <x v="2"/>
    <x v="2"/>
    <n v="10"/>
    <n v="40"/>
    <n v="9.31"/>
    <s v="C0030"/>
    <x v="34"/>
    <x v="1"/>
    <x v="2"/>
    <n v="400"/>
    <n v="93.100000000000009"/>
    <n v="306.89999999999998"/>
    <n v="40"/>
    <n v="0"/>
    <n v="1"/>
  </r>
  <r>
    <s v="OR0161"/>
    <x v="53"/>
    <x v="3"/>
    <x v="3"/>
    <n v="1"/>
    <n v="15"/>
    <n v="4.33"/>
    <s v="C0175"/>
    <x v="79"/>
    <x v="1"/>
    <x v="4"/>
    <n v="15"/>
    <n v="4.33"/>
    <n v="10.67"/>
    <n v="15"/>
    <n v="0"/>
    <n v="1"/>
  </r>
  <r>
    <s v="OR0162"/>
    <x v="53"/>
    <x v="2"/>
    <x v="2"/>
    <n v="10"/>
    <n v="40"/>
    <n v="9.86"/>
    <s v="C0141"/>
    <x v="16"/>
    <x v="0"/>
    <x v="9"/>
    <n v="400"/>
    <n v="98.6"/>
    <n v="301.39999999999998"/>
    <n v="40"/>
    <n v="0"/>
    <n v="0"/>
  </r>
  <r>
    <s v="OR0163"/>
    <x v="53"/>
    <x v="4"/>
    <x v="4"/>
    <n v="8"/>
    <n v="12"/>
    <n v="4.18"/>
    <s v="C0091"/>
    <x v="72"/>
    <x v="2"/>
    <x v="6"/>
    <n v="96"/>
    <n v="33.44"/>
    <n v="62.56"/>
    <n v="12"/>
    <n v="1"/>
    <n v="0"/>
  </r>
  <r>
    <s v="OR0164"/>
    <x v="54"/>
    <x v="2"/>
    <x v="2"/>
    <n v="7"/>
    <n v="40"/>
    <n v="8.01"/>
    <s v="C0038"/>
    <x v="22"/>
    <x v="0"/>
    <x v="5"/>
    <n v="280"/>
    <n v="56.07"/>
    <n v="223.93"/>
    <n v="40"/>
    <n v="0"/>
    <n v="0"/>
  </r>
  <r>
    <s v="OR0165"/>
    <x v="54"/>
    <x v="0"/>
    <x v="0"/>
    <n v="8"/>
    <n v="10"/>
    <n v="2.31"/>
    <s v="C0021"/>
    <x v="37"/>
    <x v="3"/>
    <x v="2"/>
    <n v="80"/>
    <n v="18.48"/>
    <n v="61.519999999999996"/>
    <n v="10"/>
    <n v="0"/>
    <n v="0"/>
  </r>
  <r>
    <s v="OR0166"/>
    <x v="54"/>
    <x v="3"/>
    <x v="3"/>
    <n v="9"/>
    <n v="15"/>
    <n v="3.27"/>
    <s v="C0149"/>
    <x v="10"/>
    <x v="0"/>
    <x v="5"/>
    <n v="135"/>
    <n v="29.43"/>
    <n v="105.57"/>
    <n v="15"/>
    <n v="0"/>
    <n v="0"/>
  </r>
  <r>
    <s v="OR0167"/>
    <x v="54"/>
    <x v="2"/>
    <x v="2"/>
    <n v="8"/>
    <n v="40"/>
    <n v="15.81"/>
    <s v="C0097"/>
    <x v="26"/>
    <x v="0"/>
    <x v="3"/>
    <n v="320"/>
    <n v="126.48"/>
    <n v="193.51999999999998"/>
    <n v="40"/>
    <n v="0"/>
    <n v="0"/>
  </r>
  <r>
    <s v="OR0168"/>
    <x v="55"/>
    <x v="2"/>
    <x v="2"/>
    <n v="7"/>
    <n v="40"/>
    <n v="9.9700000000000006"/>
    <s v="C0084"/>
    <x v="28"/>
    <x v="1"/>
    <x v="3"/>
    <n v="280"/>
    <n v="69.790000000000006"/>
    <n v="210.20999999999998"/>
    <n v="40"/>
    <n v="0"/>
    <n v="1"/>
  </r>
  <r>
    <s v="OR0169"/>
    <x v="55"/>
    <x v="1"/>
    <x v="1"/>
    <n v="3"/>
    <n v="25"/>
    <n v="5.54"/>
    <s v="C0006"/>
    <x v="75"/>
    <x v="0"/>
    <x v="7"/>
    <n v="75"/>
    <n v="16.62"/>
    <n v="58.379999999999995"/>
    <n v="25"/>
    <n v="0"/>
    <n v="0"/>
  </r>
  <r>
    <s v="OR0170"/>
    <x v="55"/>
    <x v="3"/>
    <x v="3"/>
    <n v="6"/>
    <n v="15"/>
    <n v="3.31"/>
    <s v="C0030"/>
    <x v="34"/>
    <x v="2"/>
    <x v="7"/>
    <n v="90"/>
    <n v="19.86"/>
    <n v="70.14"/>
    <n v="15"/>
    <n v="1"/>
    <n v="0"/>
  </r>
  <r>
    <s v="OR0171"/>
    <x v="55"/>
    <x v="0"/>
    <x v="0"/>
    <n v="10"/>
    <n v="10"/>
    <n v="2.98"/>
    <s v="C0144"/>
    <x v="80"/>
    <x v="1"/>
    <x v="2"/>
    <n v="100"/>
    <n v="29.8"/>
    <n v="70.2"/>
    <n v="10"/>
    <n v="0"/>
    <n v="1"/>
  </r>
  <r>
    <s v="OR0172"/>
    <x v="56"/>
    <x v="1"/>
    <x v="1"/>
    <n v="10"/>
    <n v="25"/>
    <n v="6.26"/>
    <s v="C0087"/>
    <x v="49"/>
    <x v="1"/>
    <x v="9"/>
    <n v="250"/>
    <n v="62.599999999999994"/>
    <n v="187.4"/>
    <n v="25"/>
    <n v="0"/>
    <n v="1"/>
  </r>
  <r>
    <s v="OR0173"/>
    <x v="56"/>
    <x v="2"/>
    <x v="2"/>
    <n v="5"/>
    <n v="40"/>
    <n v="15.18"/>
    <s v="C0012"/>
    <x v="13"/>
    <x v="0"/>
    <x v="3"/>
    <n v="200"/>
    <n v="75.900000000000006"/>
    <n v="124.1"/>
    <n v="40"/>
    <n v="0"/>
    <n v="0"/>
  </r>
  <r>
    <s v="OR0174"/>
    <x v="56"/>
    <x v="2"/>
    <x v="2"/>
    <n v="1"/>
    <n v="40"/>
    <n v="9.3699999999999992"/>
    <s v="C0009"/>
    <x v="53"/>
    <x v="0"/>
    <x v="5"/>
    <n v="40"/>
    <n v="9.3699999999999992"/>
    <n v="30.630000000000003"/>
    <n v="40"/>
    <n v="0"/>
    <n v="0"/>
  </r>
  <r>
    <s v="OR0175"/>
    <x v="56"/>
    <x v="1"/>
    <x v="1"/>
    <n v="5"/>
    <n v="25"/>
    <n v="6.89"/>
    <s v="C0200"/>
    <x v="0"/>
    <x v="0"/>
    <x v="7"/>
    <n v="125"/>
    <n v="34.449999999999996"/>
    <n v="90.550000000000011"/>
    <n v="25"/>
    <n v="0"/>
    <n v="0"/>
  </r>
  <r>
    <s v="OR0176"/>
    <x v="56"/>
    <x v="2"/>
    <x v="2"/>
    <n v="10"/>
    <n v="40"/>
    <n v="11.7"/>
    <s v="C0041"/>
    <x v="45"/>
    <x v="2"/>
    <x v="8"/>
    <n v="400"/>
    <n v="117"/>
    <n v="283"/>
    <n v="40"/>
    <n v="1"/>
    <n v="0"/>
  </r>
  <r>
    <s v="OR0177"/>
    <x v="57"/>
    <x v="1"/>
    <x v="1"/>
    <n v="2"/>
    <n v="25"/>
    <n v="7.19"/>
    <s v="C0058"/>
    <x v="74"/>
    <x v="1"/>
    <x v="5"/>
    <n v="50"/>
    <n v="14.38"/>
    <n v="35.619999999999997"/>
    <n v="25"/>
    <n v="0"/>
    <n v="1"/>
  </r>
  <r>
    <s v="OR0178"/>
    <x v="58"/>
    <x v="0"/>
    <x v="0"/>
    <n v="8"/>
    <n v="10"/>
    <n v="3.89"/>
    <s v="C0050"/>
    <x v="74"/>
    <x v="0"/>
    <x v="3"/>
    <n v="80"/>
    <n v="31.12"/>
    <n v="48.879999999999995"/>
    <n v="10"/>
    <n v="0"/>
    <n v="0"/>
  </r>
  <r>
    <s v="OR0179"/>
    <x v="58"/>
    <x v="1"/>
    <x v="1"/>
    <n v="2"/>
    <n v="25"/>
    <n v="5.81"/>
    <s v="C0060"/>
    <x v="80"/>
    <x v="1"/>
    <x v="6"/>
    <n v="50"/>
    <n v="11.62"/>
    <n v="38.380000000000003"/>
    <n v="25"/>
    <n v="0"/>
    <n v="1"/>
  </r>
  <r>
    <s v="OR0180"/>
    <x v="59"/>
    <x v="3"/>
    <x v="3"/>
    <n v="5"/>
    <n v="15"/>
    <n v="4.7"/>
    <s v="C0178"/>
    <x v="19"/>
    <x v="0"/>
    <x v="4"/>
    <n v="75"/>
    <n v="23.5"/>
    <n v="51.5"/>
    <n v="15"/>
    <n v="0"/>
    <n v="0"/>
  </r>
  <r>
    <s v="OR0181"/>
    <x v="59"/>
    <x v="2"/>
    <x v="2"/>
    <n v="9"/>
    <n v="40"/>
    <n v="9.41"/>
    <s v="C0185"/>
    <x v="55"/>
    <x v="3"/>
    <x v="5"/>
    <n v="360"/>
    <n v="84.69"/>
    <n v="275.31"/>
    <n v="40"/>
    <n v="0"/>
    <n v="0"/>
  </r>
  <r>
    <s v="OR0182"/>
    <x v="59"/>
    <x v="3"/>
    <x v="3"/>
    <n v="4"/>
    <n v="15"/>
    <n v="4.91"/>
    <s v="C0108"/>
    <x v="15"/>
    <x v="2"/>
    <x v="5"/>
    <n v="60"/>
    <n v="19.64"/>
    <n v="40.36"/>
    <n v="15"/>
    <n v="1"/>
    <n v="0"/>
  </r>
  <r>
    <s v="OR0183"/>
    <x v="59"/>
    <x v="3"/>
    <x v="3"/>
    <n v="8"/>
    <n v="15"/>
    <n v="3.02"/>
    <s v="C0014"/>
    <x v="18"/>
    <x v="1"/>
    <x v="8"/>
    <n v="120"/>
    <n v="24.16"/>
    <n v="95.84"/>
    <n v="15"/>
    <n v="0"/>
    <n v="1"/>
  </r>
  <r>
    <s v="OR0184"/>
    <x v="59"/>
    <x v="1"/>
    <x v="1"/>
    <n v="1"/>
    <n v="25"/>
    <n v="5.23"/>
    <s v="C0189"/>
    <x v="42"/>
    <x v="1"/>
    <x v="4"/>
    <n v="25"/>
    <n v="5.23"/>
    <n v="19.77"/>
    <n v="25"/>
    <n v="0"/>
    <n v="1"/>
  </r>
  <r>
    <s v="OR0185"/>
    <x v="60"/>
    <x v="1"/>
    <x v="1"/>
    <n v="8"/>
    <n v="25"/>
    <n v="6.86"/>
    <s v="C0041"/>
    <x v="45"/>
    <x v="3"/>
    <x v="9"/>
    <n v="200"/>
    <n v="54.88"/>
    <n v="145.12"/>
    <n v="25"/>
    <n v="0"/>
    <n v="0"/>
  </r>
  <r>
    <s v="OR0186"/>
    <x v="60"/>
    <x v="3"/>
    <x v="3"/>
    <n v="1"/>
    <n v="15"/>
    <n v="3.91"/>
    <s v="C0034"/>
    <x v="40"/>
    <x v="0"/>
    <x v="4"/>
    <n v="15"/>
    <n v="3.91"/>
    <n v="11.09"/>
    <n v="15"/>
    <n v="0"/>
    <n v="0"/>
  </r>
  <r>
    <s v="OR0187"/>
    <x v="60"/>
    <x v="2"/>
    <x v="2"/>
    <n v="8"/>
    <n v="40"/>
    <n v="14.99"/>
    <s v="C0154"/>
    <x v="81"/>
    <x v="1"/>
    <x v="6"/>
    <n v="320"/>
    <n v="119.92"/>
    <n v="200.07999999999998"/>
    <n v="40"/>
    <n v="0"/>
    <n v="1"/>
  </r>
  <r>
    <s v="OR0188"/>
    <x v="61"/>
    <x v="3"/>
    <x v="3"/>
    <n v="3"/>
    <n v="15"/>
    <n v="3.87"/>
    <s v="C0057"/>
    <x v="54"/>
    <x v="1"/>
    <x v="1"/>
    <n v="45"/>
    <n v="11.61"/>
    <n v="33.39"/>
    <n v="15"/>
    <n v="0"/>
    <n v="1"/>
  </r>
  <r>
    <s v="OR0189"/>
    <x v="61"/>
    <x v="4"/>
    <x v="4"/>
    <n v="5"/>
    <n v="12"/>
    <n v="2.98"/>
    <s v="C0108"/>
    <x v="15"/>
    <x v="1"/>
    <x v="5"/>
    <n v="60"/>
    <n v="14.9"/>
    <n v="45.1"/>
    <n v="12"/>
    <n v="0"/>
    <n v="1"/>
  </r>
  <r>
    <s v="OR0190"/>
    <x v="61"/>
    <x v="4"/>
    <x v="4"/>
    <n v="1"/>
    <n v="12"/>
    <n v="3.44"/>
    <s v="C0062"/>
    <x v="49"/>
    <x v="0"/>
    <x v="5"/>
    <n v="12"/>
    <n v="3.44"/>
    <n v="8.56"/>
    <n v="12"/>
    <n v="0"/>
    <n v="0"/>
  </r>
  <r>
    <s v="OR0191"/>
    <x v="62"/>
    <x v="3"/>
    <x v="3"/>
    <n v="7"/>
    <n v="15"/>
    <n v="5.35"/>
    <s v="C0025"/>
    <x v="58"/>
    <x v="1"/>
    <x v="0"/>
    <n v="105"/>
    <n v="37.449999999999996"/>
    <n v="67.550000000000011"/>
    <n v="15"/>
    <n v="0"/>
    <n v="1"/>
  </r>
  <r>
    <s v="OR0192"/>
    <x v="63"/>
    <x v="3"/>
    <x v="3"/>
    <n v="7"/>
    <n v="15"/>
    <n v="5.0999999999999996"/>
    <s v="C0096"/>
    <x v="82"/>
    <x v="1"/>
    <x v="4"/>
    <n v="105"/>
    <n v="35.699999999999996"/>
    <n v="69.300000000000011"/>
    <n v="15"/>
    <n v="0"/>
    <n v="1"/>
  </r>
  <r>
    <s v="OR0193"/>
    <x v="63"/>
    <x v="4"/>
    <x v="4"/>
    <n v="2"/>
    <n v="12"/>
    <n v="4.1100000000000003"/>
    <s v="C0125"/>
    <x v="83"/>
    <x v="0"/>
    <x v="1"/>
    <n v="24"/>
    <n v="8.2200000000000006"/>
    <n v="15.78"/>
    <n v="12"/>
    <n v="0"/>
    <n v="0"/>
  </r>
  <r>
    <s v="OR0194"/>
    <x v="63"/>
    <x v="0"/>
    <x v="0"/>
    <n v="3"/>
    <n v="10"/>
    <n v="3.11"/>
    <s v="C0009"/>
    <x v="53"/>
    <x v="1"/>
    <x v="1"/>
    <n v="30"/>
    <n v="9.33"/>
    <n v="20.67"/>
    <n v="10"/>
    <n v="0"/>
    <n v="1"/>
  </r>
  <r>
    <s v="OR0195"/>
    <x v="63"/>
    <x v="0"/>
    <x v="0"/>
    <n v="5"/>
    <n v="10"/>
    <n v="2.19"/>
    <s v="C0040"/>
    <x v="84"/>
    <x v="3"/>
    <x v="4"/>
    <n v="50"/>
    <n v="10.95"/>
    <n v="39.049999999999997"/>
    <n v="10"/>
    <n v="0"/>
    <n v="0"/>
  </r>
  <r>
    <s v="OR0196"/>
    <x v="63"/>
    <x v="4"/>
    <x v="4"/>
    <n v="7"/>
    <n v="12"/>
    <n v="3.6"/>
    <s v="C0110"/>
    <x v="26"/>
    <x v="0"/>
    <x v="1"/>
    <n v="84"/>
    <n v="25.2"/>
    <n v="58.8"/>
    <n v="12"/>
    <n v="0"/>
    <n v="0"/>
  </r>
  <r>
    <s v="OR0197"/>
    <x v="63"/>
    <x v="0"/>
    <x v="0"/>
    <n v="2"/>
    <n v="10"/>
    <n v="3.92"/>
    <s v="C0085"/>
    <x v="29"/>
    <x v="1"/>
    <x v="9"/>
    <n v="20"/>
    <n v="7.84"/>
    <n v="12.16"/>
    <n v="10"/>
    <n v="0"/>
    <n v="1"/>
  </r>
  <r>
    <s v="OR0198"/>
    <x v="63"/>
    <x v="1"/>
    <x v="1"/>
    <n v="10"/>
    <n v="25"/>
    <n v="6.02"/>
    <s v="C0135"/>
    <x v="8"/>
    <x v="2"/>
    <x v="5"/>
    <n v="250"/>
    <n v="60.199999999999996"/>
    <n v="189.8"/>
    <n v="25"/>
    <n v="1"/>
    <n v="0"/>
  </r>
  <r>
    <s v="OR0199"/>
    <x v="64"/>
    <x v="1"/>
    <x v="1"/>
    <n v="2"/>
    <n v="25"/>
    <n v="5.62"/>
    <s v="C0102"/>
    <x v="85"/>
    <x v="0"/>
    <x v="0"/>
    <n v="50"/>
    <n v="11.24"/>
    <n v="38.76"/>
    <n v="25"/>
    <n v="0"/>
    <n v="0"/>
  </r>
  <r>
    <s v="OR0200"/>
    <x v="64"/>
    <x v="4"/>
    <x v="4"/>
    <n v="7"/>
    <n v="12"/>
    <n v="4.74"/>
    <s v="C0182"/>
    <x v="57"/>
    <x v="0"/>
    <x v="9"/>
    <n v="84"/>
    <n v="33.18"/>
    <n v="50.82"/>
    <n v="12"/>
    <n v="0"/>
    <n v="0"/>
  </r>
  <r>
    <s v="OR0201"/>
    <x v="65"/>
    <x v="1"/>
    <x v="1"/>
    <n v="3"/>
    <n v="25"/>
    <n v="8.43"/>
    <s v="C0003"/>
    <x v="86"/>
    <x v="0"/>
    <x v="2"/>
    <n v="75"/>
    <n v="25.29"/>
    <n v="49.71"/>
    <n v="25"/>
    <n v="0"/>
    <n v="0"/>
  </r>
  <r>
    <s v="OR0202"/>
    <x v="65"/>
    <x v="2"/>
    <x v="2"/>
    <n v="10"/>
    <n v="40"/>
    <n v="14.31"/>
    <s v="C0044"/>
    <x v="78"/>
    <x v="1"/>
    <x v="3"/>
    <n v="400"/>
    <n v="143.1"/>
    <n v="256.89999999999998"/>
    <n v="40"/>
    <n v="0"/>
    <n v="1"/>
  </r>
  <r>
    <s v="OR0203"/>
    <x v="65"/>
    <x v="0"/>
    <x v="0"/>
    <n v="9"/>
    <n v="10"/>
    <n v="2.67"/>
    <s v="C0048"/>
    <x v="87"/>
    <x v="0"/>
    <x v="8"/>
    <n v="90"/>
    <n v="24.03"/>
    <n v="65.97"/>
    <n v="10"/>
    <n v="0"/>
    <n v="0"/>
  </r>
  <r>
    <s v="OR0204"/>
    <x v="65"/>
    <x v="4"/>
    <x v="4"/>
    <n v="4"/>
    <n v="12"/>
    <n v="2.87"/>
    <s v="C0199"/>
    <x v="20"/>
    <x v="1"/>
    <x v="0"/>
    <n v="48"/>
    <n v="11.48"/>
    <n v="36.519999999999996"/>
    <n v="12"/>
    <n v="0"/>
    <n v="1"/>
  </r>
  <r>
    <s v="OR0205"/>
    <x v="65"/>
    <x v="1"/>
    <x v="1"/>
    <n v="10"/>
    <n v="25"/>
    <n v="8.3699999999999992"/>
    <s v="C0108"/>
    <x v="15"/>
    <x v="1"/>
    <x v="7"/>
    <n v="250"/>
    <n v="83.699999999999989"/>
    <n v="166.3"/>
    <n v="25"/>
    <n v="0"/>
    <n v="1"/>
  </r>
  <r>
    <s v="OR0206"/>
    <x v="65"/>
    <x v="2"/>
    <x v="2"/>
    <n v="4"/>
    <n v="40"/>
    <n v="12.92"/>
    <s v="C0058"/>
    <x v="74"/>
    <x v="1"/>
    <x v="2"/>
    <n v="160"/>
    <n v="51.68"/>
    <n v="108.32"/>
    <n v="40"/>
    <n v="0"/>
    <n v="1"/>
  </r>
  <r>
    <s v="OR0207"/>
    <x v="66"/>
    <x v="0"/>
    <x v="0"/>
    <n v="6"/>
    <n v="10"/>
    <n v="3.16"/>
    <s v="C0193"/>
    <x v="67"/>
    <x v="1"/>
    <x v="8"/>
    <n v="60"/>
    <n v="18.96"/>
    <n v="41.04"/>
    <n v="10"/>
    <n v="0"/>
    <n v="1"/>
  </r>
  <r>
    <s v="OR0208"/>
    <x v="66"/>
    <x v="0"/>
    <x v="0"/>
    <n v="9"/>
    <n v="10"/>
    <n v="2.2999999999999998"/>
    <s v="C0175"/>
    <x v="79"/>
    <x v="1"/>
    <x v="0"/>
    <n v="90"/>
    <n v="20.7"/>
    <n v="69.3"/>
    <n v="10"/>
    <n v="0"/>
    <n v="1"/>
  </r>
  <r>
    <s v="OR0209"/>
    <x v="66"/>
    <x v="1"/>
    <x v="1"/>
    <n v="1"/>
    <n v="25"/>
    <n v="8.83"/>
    <s v="C0104"/>
    <x v="21"/>
    <x v="1"/>
    <x v="2"/>
    <n v="25"/>
    <n v="8.83"/>
    <n v="16.170000000000002"/>
    <n v="25"/>
    <n v="0"/>
    <n v="1"/>
  </r>
  <r>
    <s v="OR0210"/>
    <x v="67"/>
    <x v="3"/>
    <x v="3"/>
    <n v="9"/>
    <n v="15"/>
    <n v="5.95"/>
    <s v="C0200"/>
    <x v="0"/>
    <x v="0"/>
    <x v="0"/>
    <n v="135"/>
    <n v="53.550000000000004"/>
    <n v="81.449999999999989"/>
    <n v="15"/>
    <n v="0"/>
    <n v="0"/>
  </r>
  <r>
    <s v="OR0211"/>
    <x v="67"/>
    <x v="2"/>
    <x v="2"/>
    <n v="2"/>
    <n v="40"/>
    <n v="12.52"/>
    <s v="C0050"/>
    <x v="74"/>
    <x v="1"/>
    <x v="6"/>
    <n v="80"/>
    <n v="25.04"/>
    <n v="54.96"/>
    <n v="40"/>
    <n v="0"/>
    <n v="1"/>
  </r>
  <r>
    <s v="OR0212"/>
    <x v="67"/>
    <x v="2"/>
    <x v="2"/>
    <n v="8"/>
    <n v="40"/>
    <n v="12.66"/>
    <s v="C0043"/>
    <x v="31"/>
    <x v="1"/>
    <x v="1"/>
    <n v="320"/>
    <n v="101.28"/>
    <n v="218.72"/>
    <n v="40"/>
    <n v="0"/>
    <n v="1"/>
  </r>
  <r>
    <s v="OR0213"/>
    <x v="67"/>
    <x v="1"/>
    <x v="1"/>
    <n v="7"/>
    <n v="25"/>
    <n v="7.98"/>
    <s v="C0072"/>
    <x v="88"/>
    <x v="2"/>
    <x v="2"/>
    <n v="175"/>
    <n v="55.86"/>
    <n v="119.14"/>
    <n v="25"/>
    <n v="1"/>
    <n v="0"/>
  </r>
  <r>
    <s v="OR0214"/>
    <x v="67"/>
    <x v="2"/>
    <x v="2"/>
    <n v="7"/>
    <n v="40"/>
    <n v="8.81"/>
    <s v="C0193"/>
    <x v="67"/>
    <x v="1"/>
    <x v="0"/>
    <n v="280"/>
    <n v="61.67"/>
    <n v="218.32999999999998"/>
    <n v="40"/>
    <n v="0"/>
    <n v="1"/>
  </r>
  <r>
    <s v="OR0215"/>
    <x v="67"/>
    <x v="3"/>
    <x v="3"/>
    <n v="5"/>
    <n v="15"/>
    <n v="5.82"/>
    <s v="C0143"/>
    <x v="89"/>
    <x v="1"/>
    <x v="6"/>
    <n v="75"/>
    <n v="29.1"/>
    <n v="45.9"/>
    <n v="15"/>
    <n v="0"/>
    <n v="1"/>
  </r>
  <r>
    <s v="OR0216"/>
    <x v="68"/>
    <x v="0"/>
    <x v="0"/>
    <n v="8"/>
    <n v="10"/>
    <n v="2.13"/>
    <s v="C0126"/>
    <x v="90"/>
    <x v="3"/>
    <x v="3"/>
    <n v="80"/>
    <n v="17.04"/>
    <n v="62.96"/>
    <n v="10"/>
    <n v="0"/>
    <n v="0"/>
  </r>
  <r>
    <s v="OR0217"/>
    <x v="68"/>
    <x v="4"/>
    <x v="4"/>
    <n v="2"/>
    <n v="12"/>
    <n v="3.59"/>
    <s v="C0055"/>
    <x v="91"/>
    <x v="3"/>
    <x v="3"/>
    <n v="24"/>
    <n v="7.18"/>
    <n v="16.82"/>
    <n v="12"/>
    <n v="0"/>
    <n v="0"/>
  </r>
  <r>
    <s v="OR0218"/>
    <x v="68"/>
    <x v="0"/>
    <x v="0"/>
    <n v="5"/>
    <n v="10"/>
    <n v="2.5099999999999998"/>
    <s v="C0147"/>
    <x v="30"/>
    <x v="0"/>
    <x v="7"/>
    <n v="50"/>
    <n v="12.549999999999999"/>
    <n v="37.450000000000003"/>
    <n v="10"/>
    <n v="0"/>
    <n v="0"/>
  </r>
  <r>
    <s v="OR0219"/>
    <x v="69"/>
    <x v="1"/>
    <x v="1"/>
    <n v="4"/>
    <n v="25"/>
    <n v="8.09"/>
    <s v="C0075"/>
    <x v="71"/>
    <x v="2"/>
    <x v="2"/>
    <n v="100"/>
    <n v="32.36"/>
    <n v="67.64"/>
    <n v="25"/>
    <n v="1"/>
    <n v="0"/>
  </r>
  <r>
    <s v="OR0220"/>
    <x v="70"/>
    <x v="4"/>
    <x v="4"/>
    <n v="10"/>
    <n v="12"/>
    <n v="2.69"/>
    <s v="C0144"/>
    <x v="80"/>
    <x v="3"/>
    <x v="5"/>
    <n v="120"/>
    <n v="26.9"/>
    <n v="93.1"/>
    <n v="12"/>
    <n v="0"/>
    <n v="0"/>
  </r>
  <r>
    <s v="OR0221"/>
    <x v="71"/>
    <x v="4"/>
    <x v="4"/>
    <n v="1"/>
    <n v="12"/>
    <n v="4.71"/>
    <s v="C0112"/>
    <x v="70"/>
    <x v="0"/>
    <x v="8"/>
    <n v="12"/>
    <n v="4.71"/>
    <n v="7.29"/>
    <n v="12"/>
    <n v="0"/>
    <n v="0"/>
  </r>
  <r>
    <s v="OR0222"/>
    <x v="72"/>
    <x v="0"/>
    <x v="0"/>
    <n v="5"/>
    <n v="10"/>
    <n v="3.65"/>
    <s v="C0126"/>
    <x v="90"/>
    <x v="1"/>
    <x v="4"/>
    <n v="50"/>
    <n v="18.25"/>
    <n v="31.75"/>
    <n v="10"/>
    <n v="0"/>
    <n v="1"/>
  </r>
  <r>
    <s v="OR0223"/>
    <x v="72"/>
    <x v="0"/>
    <x v="0"/>
    <n v="9"/>
    <n v="10"/>
    <n v="2.21"/>
    <s v="C0058"/>
    <x v="74"/>
    <x v="1"/>
    <x v="1"/>
    <n v="90"/>
    <n v="19.89"/>
    <n v="70.11"/>
    <n v="10"/>
    <n v="0"/>
    <n v="1"/>
  </r>
  <r>
    <s v="OR0224"/>
    <x v="72"/>
    <x v="0"/>
    <x v="0"/>
    <n v="3"/>
    <n v="10"/>
    <n v="2.73"/>
    <s v="C0001"/>
    <x v="92"/>
    <x v="1"/>
    <x v="9"/>
    <n v="30"/>
    <n v="8.19"/>
    <n v="21.810000000000002"/>
    <n v="10"/>
    <n v="0"/>
    <n v="1"/>
  </r>
  <r>
    <s v="OR0225"/>
    <x v="73"/>
    <x v="3"/>
    <x v="3"/>
    <n v="8"/>
    <n v="15"/>
    <n v="5.9"/>
    <s v="C0182"/>
    <x v="57"/>
    <x v="1"/>
    <x v="8"/>
    <n v="120"/>
    <n v="47.2"/>
    <n v="72.8"/>
    <n v="15"/>
    <n v="0"/>
    <n v="1"/>
  </r>
  <r>
    <s v="OR0226"/>
    <x v="73"/>
    <x v="4"/>
    <x v="4"/>
    <n v="2"/>
    <n v="12"/>
    <n v="3.27"/>
    <s v="C0077"/>
    <x v="39"/>
    <x v="0"/>
    <x v="7"/>
    <n v="24"/>
    <n v="6.54"/>
    <n v="17.46"/>
    <n v="12"/>
    <n v="0"/>
    <n v="0"/>
  </r>
  <r>
    <s v="OR0227"/>
    <x v="73"/>
    <x v="3"/>
    <x v="3"/>
    <n v="2"/>
    <n v="15"/>
    <n v="4.99"/>
    <s v="C0036"/>
    <x v="93"/>
    <x v="2"/>
    <x v="6"/>
    <n v="30"/>
    <n v="9.98"/>
    <n v="20.02"/>
    <n v="15"/>
    <n v="1"/>
    <n v="0"/>
  </r>
  <r>
    <s v="OR0228"/>
    <x v="73"/>
    <x v="0"/>
    <x v="0"/>
    <n v="6"/>
    <n v="10"/>
    <n v="2.0299999999999998"/>
    <s v="C0157"/>
    <x v="27"/>
    <x v="2"/>
    <x v="1"/>
    <n v="60"/>
    <n v="12.18"/>
    <n v="47.82"/>
    <n v="10"/>
    <n v="1"/>
    <n v="0"/>
  </r>
  <r>
    <s v="OR0229"/>
    <x v="74"/>
    <x v="3"/>
    <x v="3"/>
    <n v="6"/>
    <n v="15"/>
    <n v="3.55"/>
    <s v="C0103"/>
    <x v="3"/>
    <x v="1"/>
    <x v="8"/>
    <n v="90"/>
    <n v="21.299999999999997"/>
    <n v="68.7"/>
    <n v="15"/>
    <n v="0"/>
    <n v="1"/>
  </r>
  <r>
    <s v="OR0230"/>
    <x v="74"/>
    <x v="1"/>
    <x v="1"/>
    <n v="9"/>
    <n v="25"/>
    <n v="6.29"/>
    <s v="C0147"/>
    <x v="30"/>
    <x v="1"/>
    <x v="3"/>
    <n v="225"/>
    <n v="56.61"/>
    <n v="168.39"/>
    <n v="25"/>
    <n v="0"/>
    <n v="1"/>
  </r>
  <r>
    <s v="OR0231"/>
    <x v="74"/>
    <x v="0"/>
    <x v="0"/>
    <n v="4"/>
    <n v="10"/>
    <n v="3.87"/>
    <s v="C0162"/>
    <x v="4"/>
    <x v="1"/>
    <x v="6"/>
    <n v="40"/>
    <n v="15.48"/>
    <n v="24.52"/>
    <n v="10"/>
    <n v="0"/>
    <n v="1"/>
  </r>
  <r>
    <s v="OR0232"/>
    <x v="74"/>
    <x v="2"/>
    <x v="2"/>
    <n v="1"/>
    <n v="40"/>
    <n v="9.98"/>
    <s v="C0069"/>
    <x v="3"/>
    <x v="1"/>
    <x v="1"/>
    <n v="40"/>
    <n v="9.98"/>
    <n v="30.02"/>
    <n v="40"/>
    <n v="0"/>
    <n v="1"/>
  </r>
  <r>
    <s v="OR0233"/>
    <x v="75"/>
    <x v="1"/>
    <x v="1"/>
    <n v="3"/>
    <n v="25"/>
    <n v="8.7100000000000009"/>
    <s v="C0168"/>
    <x v="62"/>
    <x v="1"/>
    <x v="6"/>
    <n v="75"/>
    <n v="26.130000000000003"/>
    <n v="48.87"/>
    <n v="25"/>
    <n v="0"/>
    <n v="1"/>
  </r>
  <r>
    <s v="OR0234"/>
    <x v="76"/>
    <x v="1"/>
    <x v="1"/>
    <n v="8"/>
    <n v="25"/>
    <n v="9.14"/>
    <s v="C0002"/>
    <x v="43"/>
    <x v="1"/>
    <x v="7"/>
    <n v="200"/>
    <n v="73.12"/>
    <n v="126.88"/>
    <n v="25"/>
    <n v="0"/>
    <n v="1"/>
  </r>
  <r>
    <s v="OR0235"/>
    <x v="76"/>
    <x v="0"/>
    <x v="0"/>
    <n v="1"/>
    <n v="10"/>
    <n v="3.91"/>
    <s v="C0069"/>
    <x v="3"/>
    <x v="1"/>
    <x v="9"/>
    <n v="10"/>
    <n v="3.91"/>
    <n v="6.09"/>
    <n v="10"/>
    <n v="0"/>
    <n v="1"/>
  </r>
  <r>
    <s v="OR0236"/>
    <x v="77"/>
    <x v="1"/>
    <x v="1"/>
    <n v="3"/>
    <n v="25"/>
    <n v="5.7"/>
    <s v="C0137"/>
    <x v="52"/>
    <x v="0"/>
    <x v="4"/>
    <n v="75"/>
    <n v="17.100000000000001"/>
    <n v="57.9"/>
    <n v="25"/>
    <n v="0"/>
    <n v="0"/>
  </r>
  <r>
    <s v="OR0237"/>
    <x v="78"/>
    <x v="4"/>
    <x v="4"/>
    <n v="8"/>
    <n v="12"/>
    <n v="2.88"/>
    <s v="C0023"/>
    <x v="63"/>
    <x v="2"/>
    <x v="3"/>
    <n v="96"/>
    <n v="23.04"/>
    <n v="72.960000000000008"/>
    <n v="12"/>
    <n v="1"/>
    <n v="0"/>
  </r>
  <r>
    <s v="OR0238"/>
    <x v="78"/>
    <x v="4"/>
    <x v="4"/>
    <n v="1"/>
    <n v="12"/>
    <n v="3.25"/>
    <s v="C0036"/>
    <x v="93"/>
    <x v="2"/>
    <x v="6"/>
    <n v="12"/>
    <n v="3.25"/>
    <n v="8.75"/>
    <n v="12"/>
    <n v="1"/>
    <n v="0"/>
  </r>
  <r>
    <s v="OR0239"/>
    <x v="78"/>
    <x v="3"/>
    <x v="3"/>
    <n v="7"/>
    <n v="15"/>
    <n v="3.63"/>
    <s v="C0004"/>
    <x v="94"/>
    <x v="1"/>
    <x v="8"/>
    <n v="105"/>
    <n v="25.41"/>
    <n v="79.59"/>
    <n v="15"/>
    <n v="0"/>
    <n v="1"/>
  </r>
  <r>
    <s v="OR0240"/>
    <x v="78"/>
    <x v="0"/>
    <x v="0"/>
    <n v="5"/>
    <n v="10"/>
    <n v="3.98"/>
    <s v="C0176"/>
    <x v="9"/>
    <x v="1"/>
    <x v="9"/>
    <n v="50"/>
    <n v="19.899999999999999"/>
    <n v="30.1"/>
    <n v="10"/>
    <n v="0"/>
    <n v="1"/>
  </r>
  <r>
    <s v="OR0241"/>
    <x v="79"/>
    <x v="3"/>
    <x v="3"/>
    <n v="4"/>
    <n v="15"/>
    <n v="3.4"/>
    <s v="C0200"/>
    <x v="0"/>
    <x v="0"/>
    <x v="8"/>
    <n v="60"/>
    <n v="13.6"/>
    <n v="46.4"/>
    <n v="15"/>
    <n v="0"/>
    <n v="0"/>
  </r>
  <r>
    <s v="OR0242"/>
    <x v="79"/>
    <x v="2"/>
    <x v="2"/>
    <n v="9"/>
    <n v="40"/>
    <n v="10.92"/>
    <s v="C0062"/>
    <x v="49"/>
    <x v="2"/>
    <x v="1"/>
    <n v="360"/>
    <n v="98.28"/>
    <n v="261.72000000000003"/>
    <n v="40"/>
    <n v="1"/>
    <n v="0"/>
  </r>
  <r>
    <s v="OR0243"/>
    <x v="79"/>
    <x v="0"/>
    <x v="0"/>
    <n v="3"/>
    <n v="10"/>
    <n v="2.91"/>
    <s v="C0181"/>
    <x v="26"/>
    <x v="0"/>
    <x v="5"/>
    <n v="30"/>
    <n v="8.73"/>
    <n v="21.27"/>
    <n v="10"/>
    <n v="0"/>
    <n v="0"/>
  </r>
  <r>
    <s v="OR0244"/>
    <x v="79"/>
    <x v="2"/>
    <x v="2"/>
    <n v="2"/>
    <n v="40"/>
    <n v="11.01"/>
    <s v="C0140"/>
    <x v="95"/>
    <x v="0"/>
    <x v="7"/>
    <n v="80"/>
    <n v="22.02"/>
    <n v="57.980000000000004"/>
    <n v="40"/>
    <n v="0"/>
    <n v="0"/>
  </r>
  <r>
    <s v="OR0245"/>
    <x v="80"/>
    <x v="3"/>
    <x v="3"/>
    <n v="2"/>
    <n v="15"/>
    <n v="4.99"/>
    <s v="C0154"/>
    <x v="81"/>
    <x v="1"/>
    <x v="2"/>
    <n v="30"/>
    <n v="9.98"/>
    <n v="20.02"/>
    <n v="15"/>
    <n v="0"/>
    <n v="1"/>
  </r>
  <r>
    <s v="OR0246"/>
    <x v="80"/>
    <x v="2"/>
    <x v="2"/>
    <n v="2"/>
    <n v="40"/>
    <n v="10.69"/>
    <s v="C0015"/>
    <x v="77"/>
    <x v="1"/>
    <x v="7"/>
    <n v="80"/>
    <n v="21.38"/>
    <n v="58.620000000000005"/>
    <n v="40"/>
    <n v="0"/>
    <n v="1"/>
  </r>
  <r>
    <s v="OR0247"/>
    <x v="81"/>
    <x v="2"/>
    <x v="2"/>
    <n v="10"/>
    <n v="40"/>
    <n v="9.1"/>
    <s v="C0048"/>
    <x v="87"/>
    <x v="1"/>
    <x v="6"/>
    <n v="400"/>
    <n v="91"/>
    <n v="309"/>
    <n v="40"/>
    <n v="0"/>
    <n v="1"/>
  </r>
  <r>
    <s v="OR0248"/>
    <x v="81"/>
    <x v="2"/>
    <x v="2"/>
    <n v="5"/>
    <n v="40"/>
    <n v="11.38"/>
    <s v="C0194"/>
    <x v="60"/>
    <x v="1"/>
    <x v="7"/>
    <n v="200"/>
    <n v="56.900000000000006"/>
    <n v="143.1"/>
    <n v="40"/>
    <n v="0"/>
    <n v="1"/>
  </r>
  <r>
    <s v="OR0249"/>
    <x v="81"/>
    <x v="2"/>
    <x v="2"/>
    <n v="2"/>
    <n v="40"/>
    <n v="13.29"/>
    <s v="C0068"/>
    <x v="96"/>
    <x v="1"/>
    <x v="8"/>
    <n v="80"/>
    <n v="26.58"/>
    <n v="53.42"/>
    <n v="40"/>
    <n v="0"/>
    <n v="1"/>
  </r>
  <r>
    <s v="OR0250"/>
    <x v="81"/>
    <x v="2"/>
    <x v="2"/>
    <n v="1"/>
    <n v="40"/>
    <n v="14.99"/>
    <s v="C0200"/>
    <x v="0"/>
    <x v="2"/>
    <x v="1"/>
    <n v="40"/>
    <n v="14.99"/>
    <n v="25.009999999999998"/>
    <n v="40"/>
    <n v="1"/>
    <n v="0"/>
  </r>
  <r>
    <s v="OR0251"/>
    <x v="81"/>
    <x v="1"/>
    <x v="1"/>
    <n v="2"/>
    <n v="25"/>
    <n v="5.01"/>
    <s v="C0004"/>
    <x v="94"/>
    <x v="0"/>
    <x v="8"/>
    <n v="50"/>
    <n v="10.02"/>
    <n v="39.980000000000004"/>
    <n v="25"/>
    <n v="0"/>
    <n v="0"/>
  </r>
  <r>
    <s v="OR0252"/>
    <x v="82"/>
    <x v="4"/>
    <x v="4"/>
    <n v="9"/>
    <n v="12"/>
    <n v="2.99"/>
    <s v="C0003"/>
    <x v="86"/>
    <x v="1"/>
    <x v="5"/>
    <n v="108"/>
    <n v="26.910000000000004"/>
    <n v="81.09"/>
    <n v="12"/>
    <n v="0"/>
    <n v="1"/>
  </r>
  <r>
    <s v="OR0253"/>
    <x v="82"/>
    <x v="2"/>
    <x v="2"/>
    <n v="3"/>
    <n v="40"/>
    <n v="12.12"/>
    <s v="C0132"/>
    <x v="97"/>
    <x v="1"/>
    <x v="9"/>
    <n v="120"/>
    <n v="36.36"/>
    <n v="83.64"/>
    <n v="40"/>
    <n v="0"/>
    <n v="1"/>
  </r>
  <r>
    <s v="OR0254"/>
    <x v="82"/>
    <x v="4"/>
    <x v="4"/>
    <n v="1"/>
    <n v="12"/>
    <n v="3.21"/>
    <s v="C0148"/>
    <x v="48"/>
    <x v="0"/>
    <x v="1"/>
    <n v="12"/>
    <n v="3.21"/>
    <n v="8.7899999999999991"/>
    <n v="12"/>
    <n v="0"/>
    <n v="0"/>
  </r>
  <r>
    <s v="OR0255"/>
    <x v="83"/>
    <x v="4"/>
    <x v="4"/>
    <n v="5"/>
    <n v="12"/>
    <n v="3.41"/>
    <s v="C0165"/>
    <x v="8"/>
    <x v="1"/>
    <x v="0"/>
    <n v="60"/>
    <n v="17.05"/>
    <n v="42.95"/>
    <n v="12"/>
    <n v="0"/>
    <n v="1"/>
  </r>
  <r>
    <s v="OR0256"/>
    <x v="83"/>
    <x v="3"/>
    <x v="3"/>
    <n v="9"/>
    <n v="15"/>
    <n v="3.88"/>
    <s v="C0030"/>
    <x v="34"/>
    <x v="1"/>
    <x v="6"/>
    <n v="135"/>
    <n v="34.92"/>
    <n v="100.08"/>
    <n v="15"/>
    <n v="0"/>
    <n v="1"/>
  </r>
  <r>
    <s v="OR0257"/>
    <x v="83"/>
    <x v="2"/>
    <x v="2"/>
    <n v="10"/>
    <n v="40"/>
    <n v="11.05"/>
    <s v="C0126"/>
    <x v="90"/>
    <x v="1"/>
    <x v="8"/>
    <n v="400"/>
    <n v="110.5"/>
    <n v="289.5"/>
    <n v="40"/>
    <n v="0"/>
    <n v="1"/>
  </r>
  <r>
    <s v="OR0258"/>
    <x v="83"/>
    <x v="0"/>
    <x v="0"/>
    <n v="2"/>
    <n v="10"/>
    <n v="3.43"/>
    <s v="C0200"/>
    <x v="0"/>
    <x v="3"/>
    <x v="8"/>
    <n v="20"/>
    <n v="6.86"/>
    <n v="13.14"/>
    <n v="10"/>
    <n v="0"/>
    <n v="0"/>
  </r>
  <r>
    <s v="OR0259"/>
    <x v="84"/>
    <x v="1"/>
    <x v="1"/>
    <n v="2"/>
    <n v="25"/>
    <n v="6.89"/>
    <s v="C0071"/>
    <x v="7"/>
    <x v="3"/>
    <x v="9"/>
    <n v="50"/>
    <n v="13.78"/>
    <n v="36.22"/>
    <n v="25"/>
    <n v="0"/>
    <n v="0"/>
  </r>
  <r>
    <s v="OR0260"/>
    <x v="84"/>
    <x v="0"/>
    <x v="0"/>
    <n v="7"/>
    <n v="10"/>
    <n v="2.2000000000000002"/>
    <s v="C0126"/>
    <x v="90"/>
    <x v="0"/>
    <x v="0"/>
    <n v="70"/>
    <n v="15.400000000000002"/>
    <n v="54.599999999999994"/>
    <n v="10"/>
    <n v="0"/>
    <n v="0"/>
  </r>
  <r>
    <s v="OR0261"/>
    <x v="84"/>
    <x v="1"/>
    <x v="1"/>
    <n v="7"/>
    <n v="25"/>
    <n v="5.89"/>
    <s v="C0068"/>
    <x v="96"/>
    <x v="1"/>
    <x v="5"/>
    <n v="175"/>
    <n v="41.23"/>
    <n v="133.77000000000001"/>
    <n v="25"/>
    <n v="0"/>
    <n v="1"/>
  </r>
  <r>
    <s v="OR0262"/>
    <x v="84"/>
    <x v="1"/>
    <x v="1"/>
    <n v="8"/>
    <n v="25"/>
    <n v="8.61"/>
    <s v="C0067"/>
    <x v="52"/>
    <x v="1"/>
    <x v="0"/>
    <n v="200"/>
    <n v="68.88"/>
    <n v="131.12"/>
    <n v="25"/>
    <n v="0"/>
    <n v="1"/>
  </r>
  <r>
    <s v="OR0263"/>
    <x v="85"/>
    <x v="0"/>
    <x v="0"/>
    <n v="5"/>
    <n v="10"/>
    <n v="2.82"/>
    <s v="C0045"/>
    <x v="51"/>
    <x v="1"/>
    <x v="9"/>
    <n v="50"/>
    <n v="14.1"/>
    <n v="35.9"/>
    <n v="10"/>
    <n v="0"/>
    <n v="1"/>
  </r>
  <r>
    <s v="OR0264"/>
    <x v="85"/>
    <x v="2"/>
    <x v="2"/>
    <n v="10"/>
    <n v="40"/>
    <n v="11.87"/>
    <s v="C0166"/>
    <x v="68"/>
    <x v="1"/>
    <x v="6"/>
    <n v="400"/>
    <n v="118.69999999999999"/>
    <n v="281.3"/>
    <n v="40"/>
    <n v="0"/>
    <n v="1"/>
  </r>
  <r>
    <s v="OR0265"/>
    <x v="86"/>
    <x v="3"/>
    <x v="3"/>
    <n v="1"/>
    <n v="15"/>
    <n v="5.3"/>
    <s v="C0191"/>
    <x v="17"/>
    <x v="1"/>
    <x v="1"/>
    <n v="15"/>
    <n v="5.3"/>
    <n v="9.6999999999999993"/>
    <n v="15"/>
    <n v="0"/>
    <n v="1"/>
  </r>
  <r>
    <s v="OR0266"/>
    <x v="86"/>
    <x v="1"/>
    <x v="1"/>
    <n v="4"/>
    <n v="25"/>
    <n v="9.4600000000000009"/>
    <s v="C0192"/>
    <x v="66"/>
    <x v="3"/>
    <x v="8"/>
    <n v="100"/>
    <n v="37.840000000000003"/>
    <n v="62.16"/>
    <n v="25"/>
    <n v="0"/>
    <n v="0"/>
  </r>
  <r>
    <s v="OR0267"/>
    <x v="87"/>
    <x v="2"/>
    <x v="2"/>
    <n v="1"/>
    <n v="40"/>
    <n v="12.13"/>
    <s v="C0162"/>
    <x v="4"/>
    <x v="2"/>
    <x v="3"/>
    <n v="40"/>
    <n v="12.13"/>
    <n v="27.869999999999997"/>
    <n v="40"/>
    <n v="1"/>
    <n v="0"/>
  </r>
  <r>
    <s v="OR0268"/>
    <x v="87"/>
    <x v="4"/>
    <x v="4"/>
    <n v="4"/>
    <n v="12"/>
    <n v="3.9"/>
    <s v="C0068"/>
    <x v="96"/>
    <x v="1"/>
    <x v="9"/>
    <n v="48"/>
    <n v="15.6"/>
    <n v="32.4"/>
    <n v="12"/>
    <n v="0"/>
    <n v="1"/>
  </r>
  <r>
    <s v="OR0269"/>
    <x v="87"/>
    <x v="0"/>
    <x v="0"/>
    <n v="3"/>
    <n v="10"/>
    <n v="2.69"/>
    <s v="C0043"/>
    <x v="31"/>
    <x v="2"/>
    <x v="5"/>
    <n v="30"/>
    <n v="8.07"/>
    <n v="21.93"/>
    <n v="10"/>
    <n v="1"/>
    <n v="0"/>
  </r>
  <r>
    <s v="OR0270"/>
    <x v="87"/>
    <x v="2"/>
    <x v="2"/>
    <n v="3"/>
    <n v="40"/>
    <n v="12.8"/>
    <s v="C0017"/>
    <x v="17"/>
    <x v="1"/>
    <x v="7"/>
    <n v="120"/>
    <n v="38.400000000000006"/>
    <n v="81.599999999999994"/>
    <n v="40"/>
    <n v="0"/>
    <n v="1"/>
  </r>
  <r>
    <s v="OR0271"/>
    <x v="87"/>
    <x v="3"/>
    <x v="3"/>
    <n v="8"/>
    <n v="15"/>
    <n v="3.64"/>
    <s v="C0197"/>
    <x v="68"/>
    <x v="1"/>
    <x v="4"/>
    <n v="120"/>
    <n v="29.12"/>
    <n v="90.88"/>
    <n v="15"/>
    <n v="0"/>
    <n v="1"/>
  </r>
  <r>
    <s v="OR0272"/>
    <x v="87"/>
    <x v="0"/>
    <x v="0"/>
    <n v="9"/>
    <n v="10"/>
    <n v="3.6"/>
    <s v="C0186"/>
    <x v="98"/>
    <x v="1"/>
    <x v="7"/>
    <n v="90"/>
    <n v="32.4"/>
    <n v="57.6"/>
    <n v="10"/>
    <n v="0"/>
    <n v="1"/>
  </r>
  <r>
    <s v="OR0273"/>
    <x v="88"/>
    <x v="1"/>
    <x v="1"/>
    <n v="7"/>
    <n v="25"/>
    <n v="5.07"/>
    <s v="C0050"/>
    <x v="74"/>
    <x v="1"/>
    <x v="2"/>
    <n v="175"/>
    <n v="35.49"/>
    <n v="139.51"/>
    <n v="25"/>
    <n v="0"/>
    <n v="1"/>
  </r>
  <r>
    <s v="OR0274"/>
    <x v="88"/>
    <x v="4"/>
    <x v="4"/>
    <n v="3"/>
    <n v="12"/>
    <n v="3.17"/>
    <s v="C0067"/>
    <x v="52"/>
    <x v="1"/>
    <x v="4"/>
    <n v="36"/>
    <n v="9.51"/>
    <n v="26.490000000000002"/>
    <n v="12"/>
    <n v="0"/>
    <n v="1"/>
  </r>
  <r>
    <s v="OR0275"/>
    <x v="89"/>
    <x v="4"/>
    <x v="4"/>
    <n v="10"/>
    <n v="12"/>
    <n v="3.9"/>
    <s v="C0161"/>
    <x v="18"/>
    <x v="1"/>
    <x v="9"/>
    <n v="120"/>
    <n v="39"/>
    <n v="81"/>
    <n v="12"/>
    <n v="0"/>
    <n v="1"/>
  </r>
  <r>
    <s v="OR0276"/>
    <x v="89"/>
    <x v="3"/>
    <x v="3"/>
    <n v="8"/>
    <n v="15"/>
    <n v="4.9400000000000004"/>
    <s v="C0005"/>
    <x v="99"/>
    <x v="1"/>
    <x v="1"/>
    <n v="120"/>
    <n v="39.520000000000003"/>
    <n v="80.47999999999999"/>
    <n v="15"/>
    <n v="0"/>
    <n v="1"/>
  </r>
  <r>
    <s v="OR0277"/>
    <x v="89"/>
    <x v="3"/>
    <x v="3"/>
    <n v="1"/>
    <n v="15"/>
    <n v="5.04"/>
    <s v="C0079"/>
    <x v="100"/>
    <x v="1"/>
    <x v="2"/>
    <n v="15"/>
    <n v="5.04"/>
    <n v="9.9600000000000009"/>
    <n v="15"/>
    <n v="0"/>
    <n v="1"/>
  </r>
  <r>
    <s v="OR0278"/>
    <x v="90"/>
    <x v="2"/>
    <x v="2"/>
    <n v="9"/>
    <n v="40"/>
    <n v="12.88"/>
    <s v="C0052"/>
    <x v="6"/>
    <x v="0"/>
    <x v="4"/>
    <n v="360"/>
    <n v="115.92"/>
    <n v="244.07999999999998"/>
    <n v="40"/>
    <n v="0"/>
    <n v="0"/>
  </r>
  <r>
    <s v="OR0279"/>
    <x v="90"/>
    <x v="3"/>
    <x v="3"/>
    <n v="2"/>
    <n v="15"/>
    <n v="5.45"/>
    <s v="C0152"/>
    <x v="101"/>
    <x v="0"/>
    <x v="1"/>
    <n v="30"/>
    <n v="10.9"/>
    <n v="19.100000000000001"/>
    <n v="15"/>
    <n v="0"/>
    <n v="0"/>
  </r>
  <r>
    <s v="OR0280"/>
    <x v="90"/>
    <x v="4"/>
    <x v="4"/>
    <n v="5"/>
    <n v="12"/>
    <n v="3.06"/>
    <s v="C0128"/>
    <x v="50"/>
    <x v="1"/>
    <x v="2"/>
    <n v="60"/>
    <n v="15.3"/>
    <n v="44.7"/>
    <n v="12"/>
    <n v="0"/>
    <n v="1"/>
  </r>
  <r>
    <s v="OR0281"/>
    <x v="91"/>
    <x v="0"/>
    <x v="0"/>
    <n v="9"/>
    <n v="10"/>
    <n v="2.23"/>
    <s v="C0081"/>
    <x v="33"/>
    <x v="0"/>
    <x v="2"/>
    <n v="90"/>
    <n v="20.07"/>
    <n v="69.930000000000007"/>
    <n v="10"/>
    <n v="0"/>
    <n v="0"/>
  </r>
  <r>
    <s v="OR0282"/>
    <x v="91"/>
    <x v="1"/>
    <x v="1"/>
    <n v="3"/>
    <n v="25"/>
    <n v="8.42"/>
    <s v="C0002"/>
    <x v="43"/>
    <x v="1"/>
    <x v="1"/>
    <n v="75"/>
    <n v="25.259999999999998"/>
    <n v="49.74"/>
    <n v="25"/>
    <n v="0"/>
    <n v="1"/>
  </r>
  <r>
    <s v="OR0283"/>
    <x v="91"/>
    <x v="2"/>
    <x v="2"/>
    <n v="10"/>
    <n v="40"/>
    <n v="12.79"/>
    <s v="C0047"/>
    <x v="35"/>
    <x v="3"/>
    <x v="8"/>
    <n v="400"/>
    <n v="127.89999999999999"/>
    <n v="272.10000000000002"/>
    <n v="40"/>
    <n v="0"/>
    <n v="0"/>
  </r>
  <r>
    <s v="OR0284"/>
    <x v="91"/>
    <x v="0"/>
    <x v="0"/>
    <n v="8"/>
    <n v="10"/>
    <n v="2.65"/>
    <s v="C0142"/>
    <x v="102"/>
    <x v="1"/>
    <x v="6"/>
    <n v="80"/>
    <n v="21.2"/>
    <n v="58.8"/>
    <n v="10"/>
    <n v="0"/>
    <n v="1"/>
  </r>
  <r>
    <s v="OR0285"/>
    <x v="92"/>
    <x v="2"/>
    <x v="2"/>
    <n v="5"/>
    <n v="40"/>
    <n v="8.31"/>
    <s v="C0098"/>
    <x v="98"/>
    <x v="0"/>
    <x v="2"/>
    <n v="200"/>
    <n v="41.550000000000004"/>
    <n v="158.44999999999999"/>
    <n v="40"/>
    <n v="0"/>
    <n v="0"/>
  </r>
  <r>
    <s v="OR0286"/>
    <x v="93"/>
    <x v="2"/>
    <x v="2"/>
    <n v="8"/>
    <n v="40"/>
    <n v="10.88"/>
    <s v="C0051"/>
    <x v="16"/>
    <x v="0"/>
    <x v="8"/>
    <n v="320"/>
    <n v="87.04"/>
    <n v="232.95999999999998"/>
    <n v="40"/>
    <n v="0"/>
    <n v="0"/>
  </r>
  <r>
    <s v="OR0287"/>
    <x v="93"/>
    <x v="4"/>
    <x v="4"/>
    <n v="6"/>
    <n v="12"/>
    <n v="4.78"/>
    <s v="C0161"/>
    <x v="18"/>
    <x v="0"/>
    <x v="9"/>
    <n v="72"/>
    <n v="28.68"/>
    <n v="43.32"/>
    <n v="12"/>
    <n v="0"/>
    <n v="0"/>
  </r>
  <r>
    <s v="OR0288"/>
    <x v="93"/>
    <x v="1"/>
    <x v="1"/>
    <n v="1"/>
    <n v="25"/>
    <n v="9.26"/>
    <s v="C0098"/>
    <x v="98"/>
    <x v="1"/>
    <x v="9"/>
    <n v="25"/>
    <n v="9.26"/>
    <n v="15.74"/>
    <n v="25"/>
    <n v="0"/>
    <n v="1"/>
  </r>
  <r>
    <s v="OR0289"/>
    <x v="94"/>
    <x v="1"/>
    <x v="1"/>
    <n v="9"/>
    <n v="25"/>
    <n v="8.39"/>
    <s v="C0138"/>
    <x v="50"/>
    <x v="0"/>
    <x v="1"/>
    <n v="225"/>
    <n v="75.510000000000005"/>
    <n v="149.49"/>
    <n v="25"/>
    <n v="0"/>
    <n v="0"/>
  </r>
  <r>
    <s v="OR0290"/>
    <x v="94"/>
    <x v="1"/>
    <x v="1"/>
    <n v="4"/>
    <n v="25"/>
    <n v="6.45"/>
    <s v="C0065"/>
    <x v="48"/>
    <x v="1"/>
    <x v="7"/>
    <n v="100"/>
    <n v="25.8"/>
    <n v="74.2"/>
    <n v="25"/>
    <n v="0"/>
    <n v="1"/>
  </r>
  <r>
    <s v="OR0291"/>
    <x v="94"/>
    <x v="1"/>
    <x v="1"/>
    <n v="4"/>
    <n v="25"/>
    <n v="8.35"/>
    <s v="C0085"/>
    <x v="29"/>
    <x v="1"/>
    <x v="6"/>
    <n v="100"/>
    <n v="33.4"/>
    <n v="66.599999999999994"/>
    <n v="25"/>
    <n v="0"/>
    <n v="1"/>
  </r>
  <r>
    <s v="OR0292"/>
    <x v="95"/>
    <x v="3"/>
    <x v="3"/>
    <n v="7"/>
    <n v="15"/>
    <n v="5.75"/>
    <s v="C0051"/>
    <x v="16"/>
    <x v="0"/>
    <x v="6"/>
    <n v="105"/>
    <n v="40.25"/>
    <n v="64.75"/>
    <n v="15"/>
    <n v="0"/>
    <n v="0"/>
  </r>
  <r>
    <s v="OR0293"/>
    <x v="95"/>
    <x v="4"/>
    <x v="4"/>
    <n v="7"/>
    <n v="12"/>
    <n v="3.53"/>
    <s v="C0100"/>
    <x v="52"/>
    <x v="3"/>
    <x v="6"/>
    <n v="84"/>
    <n v="24.709999999999997"/>
    <n v="59.290000000000006"/>
    <n v="12"/>
    <n v="0"/>
    <n v="0"/>
  </r>
  <r>
    <s v="OR0294"/>
    <x v="95"/>
    <x v="1"/>
    <x v="1"/>
    <n v="9"/>
    <n v="25"/>
    <n v="5.36"/>
    <s v="C0197"/>
    <x v="68"/>
    <x v="1"/>
    <x v="3"/>
    <n v="225"/>
    <n v="48.24"/>
    <n v="176.76"/>
    <n v="25"/>
    <n v="0"/>
    <n v="1"/>
  </r>
  <r>
    <s v="OR0295"/>
    <x v="95"/>
    <x v="0"/>
    <x v="0"/>
    <n v="8"/>
    <n v="10"/>
    <n v="3.52"/>
    <s v="C0119"/>
    <x v="21"/>
    <x v="1"/>
    <x v="8"/>
    <n v="80"/>
    <n v="28.16"/>
    <n v="51.84"/>
    <n v="10"/>
    <n v="0"/>
    <n v="1"/>
  </r>
  <r>
    <s v="OR0296"/>
    <x v="96"/>
    <x v="0"/>
    <x v="0"/>
    <n v="10"/>
    <n v="10"/>
    <n v="2.86"/>
    <s v="C0183"/>
    <x v="1"/>
    <x v="1"/>
    <x v="4"/>
    <n v="100"/>
    <n v="28.599999999999998"/>
    <n v="71.400000000000006"/>
    <n v="10"/>
    <n v="0"/>
    <n v="1"/>
  </r>
  <r>
    <s v="OR0297"/>
    <x v="96"/>
    <x v="0"/>
    <x v="0"/>
    <n v="3"/>
    <n v="10"/>
    <n v="2.5299999999999998"/>
    <s v="C0116"/>
    <x v="80"/>
    <x v="1"/>
    <x v="9"/>
    <n v="30"/>
    <n v="7.59"/>
    <n v="22.41"/>
    <n v="10"/>
    <n v="0"/>
    <n v="1"/>
  </r>
  <r>
    <s v="OR0298"/>
    <x v="96"/>
    <x v="0"/>
    <x v="0"/>
    <n v="2"/>
    <n v="10"/>
    <n v="3.58"/>
    <s v="C0151"/>
    <x v="24"/>
    <x v="0"/>
    <x v="7"/>
    <n v="20"/>
    <n v="7.16"/>
    <n v="12.84"/>
    <n v="10"/>
    <n v="0"/>
    <n v="0"/>
  </r>
  <r>
    <s v="OR0299"/>
    <x v="97"/>
    <x v="3"/>
    <x v="3"/>
    <n v="10"/>
    <n v="15"/>
    <n v="5.89"/>
    <s v="C0011"/>
    <x v="50"/>
    <x v="0"/>
    <x v="3"/>
    <n v="150"/>
    <n v="58.9"/>
    <n v="91.1"/>
    <n v="15"/>
    <n v="0"/>
    <n v="0"/>
  </r>
  <r>
    <s v="OR0300"/>
    <x v="97"/>
    <x v="1"/>
    <x v="1"/>
    <n v="3"/>
    <n v="25"/>
    <n v="5.6"/>
    <s v="C0095"/>
    <x v="61"/>
    <x v="1"/>
    <x v="8"/>
    <n v="75"/>
    <n v="16.799999999999997"/>
    <n v="58.2"/>
    <n v="25"/>
    <n v="0"/>
    <n v="1"/>
  </r>
  <r>
    <s v="OR0301"/>
    <x v="97"/>
    <x v="0"/>
    <x v="0"/>
    <n v="4"/>
    <n v="10"/>
    <n v="2.4300000000000002"/>
    <s v="C0078"/>
    <x v="35"/>
    <x v="1"/>
    <x v="3"/>
    <n v="40"/>
    <n v="9.7200000000000006"/>
    <n v="30.28"/>
    <n v="10"/>
    <n v="0"/>
    <n v="1"/>
  </r>
  <r>
    <s v="OR0302"/>
    <x v="98"/>
    <x v="2"/>
    <x v="2"/>
    <n v="3"/>
    <n v="40"/>
    <n v="15.83"/>
    <s v="C0155"/>
    <x v="89"/>
    <x v="1"/>
    <x v="8"/>
    <n v="120"/>
    <n v="47.49"/>
    <n v="72.509999999999991"/>
    <n v="40"/>
    <n v="0"/>
    <n v="1"/>
  </r>
  <r>
    <s v="OR0303"/>
    <x v="99"/>
    <x v="2"/>
    <x v="2"/>
    <n v="4"/>
    <n v="40"/>
    <n v="8.26"/>
    <s v="C0146"/>
    <x v="58"/>
    <x v="3"/>
    <x v="5"/>
    <n v="160"/>
    <n v="33.04"/>
    <n v="126.96000000000001"/>
    <n v="40"/>
    <n v="0"/>
    <n v="0"/>
  </r>
  <r>
    <s v="OR0304"/>
    <x v="99"/>
    <x v="2"/>
    <x v="2"/>
    <n v="2"/>
    <n v="40"/>
    <n v="8.09"/>
    <s v="C0078"/>
    <x v="35"/>
    <x v="3"/>
    <x v="1"/>
    <n v="80"/>
    <n v="16.18"/>
    <n v="63.82"/>
    <n v="40"/>
    <n v="0"/>
    <n v="0"/>
  </r>
  <r>
    <s v="OR0305"/>
    <x v="99"/>
    <x v="2"/>
    <x v="2"/>
    <n v="10"/>
    <n v="40"/>
    <n v="8.0399999999999991"/>
    <s v="C0133"/>
    <x v="73"/>
    <x v="1"/>
    <x v="1"/>
    <n v="400"/>
    <n v="80.399999999999991"/>
    <n v="319.60000000000002"/>
    <n v="40"/>
    <n v="0"/>
    <n v="1"/>
  </r>
  <r>
    <s v="OR0306"/>
    <x v="100"/>
    <x v="1"/>
    <x v="1"/>
    <n v="8"/>
    <n v="25"/>
    <n v="5.87"/>
    <s v="C0144"/>
    <x v="80"/>
    <x v="1"/>
    <x v="1"/>
    <n v="200"/>
    <n v="46.96"/>
    <n v="153.04"/>
    <n v="25"/>
    <n v="0"/>
    <n v="1"/>
  </r>
  <r>
    <s v="OR0307"/>
    <x v="100"/>
    <x v="3"/>
    <x v="3"/>
    <n v="1"/>
    <n v="15"/>
    <n v="5.9"/>
    <s v="C0119"/>
    <x v="21"/>
    <x v="1"/>
    <x v="6"/>
    <n v="15"/>
    <n v="5.9"/>
    <n v="9.1"/>
    <n v="15"/>
    <n v="0"/>
    <n v="1"/>
  </r>
  <r>
    <s v="OR0308"/>
    <x v="100"/>
    <x v="2"/>
    <x v="2"/>
    <n v="3"/>
    <n v="40"/>
    <n v="14.85"/>
    <s v="C0044"/>
    <x v="78"/>
    <x v="3"/>
    <x v="5"/>
    <n v="120"/>
    <n v="44.55"/>
    <n v="75.45"/>
    <n v="40"/>
    <n v="0"/>
    <n v="0"/>
  </r>
  <r>
    <s v="OR0309"/>
    <x v="101"/>
    <x v="2"/>
    <x v="2"/>
    <n v="4"/>
    <n v="40"/>
    <n v="15.39"/>
    <s v="C0157"/>
    <x v="27"/>
    <x v="0"/>
    <x v="6"/>
    <n v="160"/>
    <n v="61.56"/>
    <n v="98.44"/>
    <n v="40"/>
    <n v="0"/>
    <n v="0"/>
  </r>
  <r>
    <s v="OR0310"/>
    <x v="101"/>
    <x v="4"/>
    <x v="4"/>
    <n v="2"/>
    <n v="12"/>
    <n v="3.33"/>
    <s v="C0112"/>
    <x v="70"/>
    <x v="1"/>
    <x v="1"/>
    <n v="24"/>
    <n v="6.66"/>
    <n v="17.34"/>
    <n v="12"/>
    <n v="0"/>
    <n v="1"/>
  </r>
  <r>
    <s v="OR0311"/>
    <x v="101"/>
    <x v="2"/>
    <x v="2"/>
    <n v="8"/>
    <n v="40"/>
    <n v="8.81"/>
    <s v="C0135"/>
    <x v="8"/>
    <x v="1"/>
    <x v="7"/>
    <n v="320"/>
    <n v="70.48"/>
    <n v="249.51999999999998"/>
    <n v="40"/>
    <n v="0"/>
    <n v="1"/>
  </r>
  <r>
    <s v="OR0312"/>
    <x v="102"/>
    <x v="2"/>
    <x v="2"/>
    <n v="5"/>
    <n v="40"/>
    <n v="15.08"/>
    <s v="C0185"/>
    <x v="55"/>
    <x v="0"/>
    <x v="0"/>
    <n v="200"/>
    <n v="75.400000000000006"/>
    <n v="124.6"/>
    <n v="40"/>
    <n v="0"/>
    <n v="0"/>
  </r>
  <r>
    <s v="OR0313"/>
    <x v="102"/>
    <x v="2"/>
    <x v="2"/>
    <n v="8"/>
    <n v="40"/>
    <n v="11.5"/>
    <s v="C0065"/>
    <x v="48"/>
    <x v="3"/>
    <x v="8"/>
    <n v="320"/>
    <n v="92"/>
    <n v="228"/>
    <n v="40"/>
    <n v="0"/>
    <n v="0"/>
  </r>
  <r>
    <s v="OR0314"/>
    <x v="102"/>
    <x v="0"/>
    <x v="0"/>
    <n v="9"/>
    <n v="10"/>
    <n v="2.65"/>
    <s v="C0103"/>
    <x v="3"/>
    <x v="1"/>
    <x v="6"/>
    <n v="90"/>
    <n v="23.849999999999998"/>
    <n v="66.150000000000006"/>
    <n v="10"/>
    <n v="0"/>
    <n v="1"/>
  </r>
  <r>
    <s v="OR0315"/>
    <x v="103"/>
    <x v="0"/>
    <x v="0"/>
    <n v="2"/>
    <n v="10"/>
    <n v="3.22"/>
    <s v="C0130"/>
    <x v="48"/>
    <x v="1"/>
    <x v="7"/>
    <n v="20"/>
    <n v="6.44"/>
    <n v="13.559999999999999"/>
    <n v="10"/>
    <n v="0"/>
    <n v="1"/>
  </r>
  <r>
    <s v="OR0316"/>
    <x v="103"/>
    <x v="1"/>
    <x v="1"/>
    <n v="6"/>
    <n v="25"/>
    <n v="7.37"/>
    <s v="C0181"/>
    <x v="26"/>
    <x v="0"/>
    <x v="1"/>
    <n v="150"/>
    <n v="44.22"/>
    <n v="105.78"/>
    <n v="25"/>
    <n v="0"/>
    <n v="0"/>
  </r>
  <r>
    <s v="OR0317"/>
    <x v="104"/>
    <x v="4"/>
    <x v="4"/>
    <n v="5"/>
    <n v="12"/>
    <n v="2.5499999999999998"/>
    <s v="C0076"/>
    <x v="2"/>
    <x v="0"/>
    <x v="0"/>
    <n v="60"/>
    <n v="12.75"/>
    <n v="47.25"/>
    <n v="12"/>
    <n v="0"/>
    <n v="0"/>
  </r>
  <r>
    <s v="OR0318"/>
    <x v="104"/>
    <x v="1"/>
    <x v="1"/>
    <n v="4"/>
    <n v="25"/>
    <n v="6.2"/>
    <s v="C0126"/>
    <x v="90"/>
    <x v="0"/>
    <x v="1"/>
    <n v="100"/>
    <n v="24.8"/>
    <n v="75.2"/>
    <n v="25"/>
    <n v="0"/>
    <n v="0"/>
  </r>
  <r>
    <s v="OR0319"/>
    <x v="104"/>
    <x v="1"/>
    <x v="1"/>
    <n v="4"/>
    <n v="25"/>
    <n v="7.53"/>
    <s v="C0124"/>
    <x v="15"/>
    <x v="1"/>
    <x v="3"/>
    <n v="100"/>
    <n v="30.12"/>
    <n v="69.88"/>
    <n v="25"/>
    <n v="0"/>
    <n v="1"/>
  </r>
  <r>
    <s v="OR0320"/>
    <x v="105"/>
    <x v="1"/>
    <x v="1"/>
    <n v="1"/>
    <n v="25"/>
    <n v="7.07"/>
    <s v="C0004"/>
    <x v="94"/>
    <x v="3"/>
    <x v="7"/>
    <n v="25"/>
    <n v="7.07"/>
    <n v="17.93"/>
    <n v="25"/>
    <n v="0"/>
    <n v="0"/>
  </r>
  <r>
    <s v="OR0321"/>
    <x v="106"/>
    <x v="0"/>
    <x v="0"/>
    <n v="7"/>
    <n v="10"/>
    <n v="3.53"/>
    <s v="C0151"/>
    <x v="24"/>
    <x v="1"/>
    <x v="7"/>
    <n v="70"/>
    <n v="24.709999999999997"/>
    <n v="45.290000000000006"/>
    <n v="10"/>
    <n v="0"/>
    <n v="1"/>
  </r>
  <r>
    <s v="OR0322"/>
    <x v="106"/>
    <x v="2"/>
    <x v="2"/>
    <n v="7"/>
    <n v="40"/>
    <n v="8.4"/>
    <s v="C0147"/>
    <x v="30"/>
    <x v="1"/>
    <x v="0"/>
    <n v="280"/>
    <n v="58.800000000000004"/>
    <n v="221.2"/>
    <n v="40"/>
    <n v="0"/>
    <n v="1"/>
  </r>
  <r>
    <s v="OR0323"/>
    <x v="106"/>
    <x v="4"/>
    <x v="4"/>
    <n v="7"/>
    <n v="12"/>
    <n v="4.59"/>
    <s v="C0167"/>
    <x v="23"/>
    <x v="1"/>
    <x v="9"/>
    <n v="84"/>
    <n v="32.129999999999995"/>
    <n v="51.870000000000005"/>
    <n v="12"/>
    <n v="0"/>
    <n v="1"/>
  </r>
  <r>
    <s v="OR0324"/>
    <x v="107"/>
    <x v="4"/>
    <x v="4"/>
    <n v="9"/>
    <n v="12"/>
    <n v="3.18"/>
    <s v="C0096"/>
    <x v="82"/>
    <x v="1"/>
    <x v="4"/>
    <n v="108"/>
    <n v="28.62"/>
    <n v="79.38"/>
    <n v="12"/>
    <n v="0"/>
    <n v="1"/>
  </r>
  <r>
    <s v="OR0325"/>
    <x v="107"/>
    <x v="0"/>
    <x v="0"/>
    <n v="8"/>
    <n v="10"/>
    <n v="2.5499999999999998"/>
    <s v="C0031"/>
    <x v="61"/>
    <x v="0"/>
    <x v="5"/>
    <n v="80"/>
    <n v="20.399999999999999"/>
    <n v="59.6"/>
    <n v="10"/>
    <n v="0"/>
    <n v="0"/>
  </r>
  <r>
    <s v="OR0326"/>
    <x v="107"/>
    <x v="1"/>
    <x v="1"/>
    <n v="1"/>
    <n v="25"/>
    <n v="6.87"/>
    <s v="C0087"/>
    <x v="49"/>
    <x v="1"/>
    <x v="4"/>
    <n v="25"/>
    <n v="6.87"/>
    <n v="18.13"/>
    <n v="25"/>
    <n v="0"/>
    <n v="1"/>
  </r>
  <r>
    <s v="OR0327"/>
    <x v="108"/>
    <x v="2"/>
    <x v="2"/>
    <n v="2"/>
    <n v="40"/>
    <n v="14.17"/>
    <s v="C0093"/>
    <x v="76"/>
    <x v="1"/>
    <x v="1"/>
    <n v="80"/>
    <n v="28.34"/>
    <n v="51.66"/>
    <n v="40"/>
    <n v="0"/>
    <n v="1"/>
  </r>
  <r>
    <s v="OR0328"/>
    <x v="108"/>
    <x v="1"/>
    <x v="1"/>
    <n v="4"/>
    <n v="25"/>
    <n v="6.54"/>
    <s v="C0025"/>
    <x v="58"/>
    <x v="3"/>
    <x v="9"/>
    <n v="100"/>
    <n v="26.16"/>
    <n v="73.84"/>
    <n v="25"/>
    <n v="0"/>
    <n v="0"/>
  </r>
  <r>
    <s v="OR0329"/>
    <x v="108"/>
    <x v="2"/>
    <x v="2"/>
    <n v="9"/>
    <n v="40"/>
    <n v="13.64"/>
    <s v="C0078"/>
    <x v="35"/>
    <x v="1"/>
    <x v="3"/>
    <n v="360"/>
    <n v="122.76"/>
    <n v="237.24"/>
    <n v="40"/>
    <n v="0"/>
    <n v="1"/>
  </r>
  <r>
    <s v="OR0330"/>
    <x v="109"/>
    <x v="1"/>
    <x v="1"/>
    <n v="3"/>
    <n v="25"/>
    <n v="9.17"/>
    <s v="C0050"/>
    <x v="74"/>
    <x v="0"/>
    <x v="1"/>
    <n v="75"/>
    <n v="27.509999999999998"/>
    <n v="47.49"/>
    <n v="25"/>
    <n v="0"/>
    <n v="0"/>
  </r>
  <r>
    <s v="OR0331"/>
    <x v="109"/>
    <x v="1"/>
    <x v="1"/>
    <n v="9"/>
    <n v="25"/>
    <n v="7.13"/>
    <s v="C0120"/>
    <x v="55"/>
    <x v="1"/>
    <x v="7"/>
    <n v="225"/>
    <n v="64.17"/>
    <n v="160.82999999999998"/>
    <n v="25"/>
    <n v="0"/>
    <n v="1"/>
  </r>
  <r>
    <s v="OR0332"/>
    <x v="109"/>
    <x v="3"/>
    <x v="3"/>
    <n v="5"/>
    <n v="15"/>
    <n v="4.1100000000000003"/>
    <s v="C0018"/>
    <x v="62"/>
    <x v="1"/>
    <x v="4"/>
    <n v="75"/>
    <n v="20.55"/>
    <n v="54.45"/>
    <n v="15"/>
    <n v="0"/>
    <n v="1"/>
  </r>
  <r>
    <s v="OR0333"/>
    <x v="109"/>
    <x v="1"/>
    <x v="1"/>
    <n v="5"/>
    <n v="25"/>
    <n v="8.42"/>
    <s v="C0165"/>
    <x v="8"/>
    <x v="1"/>
    <x v="6"/>
    <n v="125"/>
    <n v="42.1"/>
    <n v="82.9"/>
    <n v="25"/>
    <n v="0"/>
    <n v="1"/>
  </r>
  <r>
    <s v="OR0334"/>
    <x v="110"/>
    <x v="4"/>
    <x v="4"/>
    <n v="5"/>
    <n v="12"/>
    <n v="3.23"/>
    <s v="C0172"/>
    <x v="103"/>
    <x v="1"/>
    <x v="1"/>
    <n v="60"/>
    <n v="16.149999999999999"/>
    <n v="43.85"/>
    <n v="12"/>
    <n v="0"/>
    <n v="1"/>
  </r>
  <r>
    <s v="OR0335"/>
    <x v="110"/>
    <x v="4"/>
    <x v="4"/>
    <n v="3"/>
    <n v="12"/>
    <n v="2.87"/>
    <s v="C0148"/>
    <x v="48"/>
    <x v="1"/>
    <x v="5"/>
    <n v="36"/>
    <n v="8.61"/>
    <n v="27.39"/>
    <n v="12"/>
    <n v="0"/>
    <n v="1"/>
  </r>
  <r>
    <s v="OR0336"/>
    <x v="110"/>
    <x v="2"/>
    <x v="2"/>
    <n v="9"/>
    <n v="40"/>
    <n v="12.44"/>
    <s v="C0067"/>
    <x v="52"/>
    <x v="1"/>
    <x v="5"/>
    <n v="360"/>
    <n v="111.96"/>
    <n v="248.04000000000002"/>
    <n v="40"/>
    <n v="0"/>
    <n v="1"/>
  </r>
  <r>
    <s v="OR0337"/>
    <x v="111"/>
    <x v="4"/>
    <x v="4"/>
    <n v="1"/>
    <n v="12"/>
    <n v="2.86"/>
    <s v="C0100"/>
    <x v="52"/>
    <x v="2"/>
    <x v="7"/>
    <n v="12"/>
    <n v="2.86"/>
    <n v="9.14"/>
    <n v="12"/>
    <n v="1"/>
    <n v="0"/>
  </r>
  <r>
    <s v="OR0338"/>
    <x v="112"/>
    <x v="0"/>
    <x v="0"/>
    <n v="2"/>
    <n v="10"/>
    <n v="3.23"/>
    <s v="C0037"/>
    <x v="64"/>
    <x v="0"/>
    <x v="9"/>
    <n v="20"/>
    <n v="6.46"/>
    <n v="13.54"/>
    <n v="10"/>
    <n v="0"/>
    <n v="0"/>
  </r>
  <r>
    <s v="OR0339"/>
    <x v="112"/>
    <x v="2"/>
    <x v="2"/>
    <n v="6"/>
    <n v="40"/>
    <n v="13.49"/>
    <s v="C0084"/>
    <x v="28"/>
    <x v="1"/>
    <x v="8"/>
    <n v="240"/>
    <n v="80.94"/>
    <n v="159.06"/>
    <n v="40"/>
    <n v="0"/>
    <n v="1"/>
  </r>
  <r>
    <s v="OR0340"/>
    <x v="113"/>
    <x v="3"/>
    <x v="3"/>
    <n v="8"/>
    <n v="15"/>
    <n v="3.88"/>
    <s v="C0008"/>
    <x v="68"/>
    <x v="0"/>
    <x v="9"/>
    <n v="120"/>
    <n v="31.04"/>
    <n v="88.960000000000008"/>
    <n v="15"/>
    <n v="0"/>
    <n v="0"/>
  </r>
  <r>
    <s v="OR0341"/>
    <x v="113"/>
    <x v="1"/>
    <x v="1"/>
    <n v="3"/>
    <n v="25"/>
    <n v="6.73"/>
    <s v="C0162"/>
    <x v="4"/>
    <x v="1"/>
    <x v="0"/>
    <n v="75"/>
    <n v="20.190000000000001"/>
    <n v="54.81"/>
    <n v="25"/>
    <n v="0"/>
    <n v="1"/>
  </r>
  <r>
    <s v="OR0342"/>
    <x v="113"/>
    <x v="4"/>
    <x v="4"/>
    <n v="3"/>
    <n v="12"/>
    <n v="4.47"/>
    <s v="C0151"/>
    <x v="24"/>
    <x v="0"/>
    <x v="8"/>
    <n v="36"/>
    <n v="13.41"/>
    <n v="22.59"/>
    <n v="12"/>
    <n v="0"/>
    <n v="0"/>
  </r>
  <r>
    <s v="OR0343"/>
    <x v="114"/>
    <x v="4"/>
    <x v="4"/>
    <n v="6"/>
    <n v="12"/>
    <n v="3.76"/>
    <s v="C0045"/>
    <x v="51"/>
    <x v="2"/>
    <x v="2"/>
    <n v="72"/>
    <n v="22.56"/>
    <n v="49.44"/>
    <n v="12"/>
    <n v="1"/>
    <n v="0"/>
  </r>
  <r>
    <s v="OR0344"/>
    <x v="114"/>
    <x v="4"/>
    <x v="4"/>
    <n v="10"/>
    <n v="12"/>
    <n v="4.42"/>
    <s v="C0021"/>
    <x v="37"/>
    <x v="1"/>
    <x v="3"/>
    <n v="120"/>
    <n v="44.2"/>
    <n v="75.8"/>
    <n v="12"/>
    <n v="0"/>
    <n v="1"/>
  </r>
  <r>
    <s v="OR0345"/>
    <x v="114"/>
    <x v="0"/>
    <x v="0"/>
    <n v="7"/>
    <n v="10"/>
    <n v="2.29"/>
    <s v="C0024"/>
    <x v="104"/>
    <x v="0"/>
    <x v="1"/>
    <n v="70"/>
    <n v="16.03"/>
    <n v="53.97"/>
    <n v="10"/>
    <n v="0"/>
    <n v="0"/>
  </r>
  <r>
    <s v="OR0346"/>
    <x v="115"/>
    <x v="3"/>
    <x v="3"/>
    <n v="6"/>
    <n v="15"/>
    <n v="5.4"/>
    <s v="C0042"/>
    <x v="71"/>
    <x v="1"/>
    <x v="6"/>
    <n v="90"/>
    <n v="32.400000000000006"/>
    <n v="57.599999999999994"/>
    <n v="15"/>
    <n v="0"/>
    <n v="1"/>
  </r>
  <r>
    <s v="OR0347"/>
    <x v="115"/>
    <x v="2"/>
    <x v="2"/>
    <n v="7"/>
    <n v="40"/>
    <n v="9.5"/>
    <s v="C0037"/>
    <x v="64"/>
    <x v="3"/>
    <x v="3"/>
    <n v="280"/>
    <n v="66.5"/>
    <n v="213.5"/>
    <n v="40"/>
    <n v="0"/>
    <n v="0"/>
  </r>
  <r>
    <s v="OR0348"/>
    <x v="115"/>
    <x v="2"/>
    <x v="2"/>
    <n v="7"/>
    <n v="40"/>
    <n v="13.33"/>
    <s v="C0156"/>
    <x v="18"/>
    <x v="0"/>
    <x v="6"/>
    <n v="280"/>
    <n v="93.31"/>
    <n v="186.69"/>
    <n v="40"/>
    <n v="0"/>
    <n v="0"/>
  </r>
  <r>
    <s v="OR0349"/>
    <x v="115"/>
    <x v="2"/>
    <x v="2"/>
    <n v="9"/>
    <n v="40"/>
    <n v="15.98"/>
    <s v="C0155"/>
    <x v="89"/>
    <x v="2"/>
    <x v="7"/>
    <n v="360"/>
    <n v="143.82"/>
    <n v="216.18"/>
    <n v="40"/>
    <n v="1"/>
    <n v="0"/>
  </r>
  <r>
    <s v="OR0350"/>
    <x v="115"/>
    <x v="1"/>
    <x v="1"/>
    <n v="3"/>
    <n v="25"/>
    <n v="8.76"/>
    <s v="C0002"/>
    <x v="43"/>
    <x v="0"/>
    <x v="4"/>
    <n v="75"/>
    <n v="26.28"/>
    <n v="48.72"/>
    <n v="25"/>
    <n v="0"/>
    <n v="0"/>
  </r>
  <r>
    <s v="OR0351"/>
    <x v="115"/>
    <x v="1"/>
    <x v="1"/>
    <n v="2"/>
    <n v="25"/>
    <n v="7.85"/>
    <s v="C0043"/>
    <x v="31"/>
    <x v="1"/>
    <x v="5"/>
    <n v="50"/>
    <n v="15.7"/>
    <n v="34.299999999999997"/>
    <n v="25"/>
    <n v="0"/>
    <n v="1"/>
  </r>
  <r>
    <s v="OR0352"/>
    <x v="116"/>
    <x v="3"/>
    <x v="3"/>
    <n v="10"/>
    <n v="15"/>
    <n v="3.96"/>
    <s v="C0055"/>
    <x v="91"/>
    <x v="1"/>
    <x v="1"/>
    <n v="150"/>
    <n v="39.6"/>
    <n v="110.4"/>
    <n v="15"/>
    <n v="0"/>
    <n v="1"/>
  </r>
  <r>
    <s v="OR0353"/>
    <x v="116"/>
    <x v="2"/>
    <x v="2"/>
    <n v="3"/>
    <n v="40"/>
    <n v="12.56"/>
    <s v="C0059"/>
    <x v="31"/>
    <x v="1"/>
    <x v="6"/>
    <n v="120"/>
    <n v="37.68"/>
    <n v="82.32"/>
    <n v="40"/>
    <n v="0"/>
    <n v="1"/>
  </r>
  <r>
    <s v="OR0354"/>
    <x v="116"/>
    <x v="0"/>
    <x v="0"/>
    <n v="5"/>
    <n v="10"/>
    <n v="2.34"/>
    <s v="C0100"/>
    <x v="52"/>
    <x v="1"/>
    <x v="2"/>
    <n v="50"/>
    <n v="11.7"/>
    <n v="38.299999999999997"/>
    <n v="10"/>
    <n v="0"/>
    <n v="1"/>
  </r>
  <r>
    <s v="OR0355"/>
    <x v="117"/>
    <x v="2"/>
    <x v="2"/>
    <n v="5"/>
    <n v="40"/>
    <n v="15.01"/>
    <s v="C0059"/>
    <x v="31"/>
    <x v="3"/>
    <x v="9"/>
    <n v="200"/>
    <n v="75.05"/>
    <n v="124.95"/>
    <n v="40"/>
    <n v="0"/>
    <n v="0"/>
  </r>
  <r>
    <s v="OR0356"/>
    <x v="117"/>
    <x v="1"/>
    <x v="1"/>
    <n v="3"/>
    <n v="25"/>
    <n v="5.86"/>
    <s v="C0190"/>
    <x v="39"/>
    <x v="1"/>
    <x v="4"/>
    <n v="75"/>
    <n v="17.580000000000002"/>
    <n v="57.42"/>
    <n v="25"/>
    <n v="0"/>
    <n v="1"/>
  </r>
  <r>
    <s v="OR0357"/>
    <x v="117"/>
    <x v="2"/>
    <x v="2"/>
    <n v="10"/>
    <n v="40"/>
    <n v="12.59"/>
    <s v="C0051"/>
    <x v="16"/>
    <x v="1"/>
    <x v="3"/>
    <n v="400"/>
    <n v="125.9"/>
    <n v="274.10000000000002"/>
    <n v="40"/>
    <n v="0"/>
    <n v="1"/>
  </r>
  <r>
    <s v="OR0358"/>
    <x v="118"/>
    <x v="1"/>
    <x v="1"/>
    <n v="2"/>
    <n v="25"/>
    <n v="8.5500000000000007"/>
    <s v="C0118"/>
    <x v="105"/>
    <x v="0"/>
    <x v="8"/>
    <n v="50"/>
    <n v="17.100000000000001"/>
    <n v="32.9"/>
    <n v="25"/>
    <n v="0"/>
    <n v="0"/>
  </r>
  <r>
    <s v="OR0359"/>
    <x v="118"/>
    <x v="4"/>
    <x v="4"/>
    <n v="1"/>
    <n v="12"/>
    <n v="3"/>
    <s v="C0046"/>
    <x v="106"/>
    <x v="1"/>
    <x v="4"/>
    <n v="12"/>
    <n v="3"/>
    <n v="9"/>
    <n v="12"/>
    <n v="0"/>
    <n v="1"/>
  </r>
  <r>
    <s v="OR0360"/>
    <x v="118"/>
    <x v="0"/>
    <x v="0"/>
    <n v="7"/>
    <n v="10"/>
    <n v="3.06"/>
    <s v="C0129"/>
    <x v="107"/>
    <x v="1"/>
    <x v="8"/>
    <n v="70"/>
    <n v="21.42"/>
    <n v="48.58"/>
    <n v="10"/>
    <n v="0"/>
    <n v="1"/>
  </r>
  <r>
    <s v="OR0361"/>
    <x v="118"/>
    <x v="2"/>
    <x v="2"/>
    <n v="9"/>
    <n v="40"/>
    <n v="9.19"/>
    <s v="C0026"/>
    <x v="108"/>
    <x v="0"/>
    <x v="0"/>
    <n v="360"/>
    <n v="82.71"/>
    <n v="277.29000000000002"/>
    <n v="40"/>
    <n v="0"/>
    <n v="0"/>
  </r>
  <r>
    <s v="OR0362"/>
    <x v="119"/>
    <x v="2"/>
    <x v="2"/>
    <n v="4"/>
    <n v="40"/>
    <n v="13.33"/>
    <s v="C0027"/>
    <x v="73"/>
    <x v="2"/>
    <x v="8"/>
    <n v="160"/>
    <n v="53.32"/>
    <n v="106.68"/>
    <n v="40"/>
    <n v="1"/>
    <n v="0"/>
  </r>
  <r>
    <s v="OR0363"/>
    <x v="119"/>
    <x v="2"/>
    <x v="2"/>
    <n v="1"/>
    <n v="40"/>
    <n v="9.2200000000000006"/>
    <s v="C0075"/>
    <x v="71"/>
    <x v="1"/>
    <x v="3"/>
    <n v="40"/>
    <n v="9.2200000000000006"/>
    <n v="30.78"/>
    <n v="40"/>
    <n v="0"/>
    <n v="1"/>
  </r>
  <r>
    <s v="OR0364"/>
    <x v="119"/>
    <x v="1"/>
    <x v="1"/>
    <n v="7"/>
    <n v="25"/>
    <n v="7.3"/>
    <s v="C0043"/>
    <x v="31"/>
    <x v="1"/>
    <x v="3"/>
    <n v="175"/>
    <n v="51.1"/>
    <n v="123.9"/>
    <n v="25"/>
    <n v="0"/>
    <n v="1"/>
  </r>
  <r>
    <s v="OR0365"/>
    <x v="119"/>
    <x v="3"/>
    <x v="3"/>
    <n v="4"/>
    <n v="15"/>
    <n v="3.43"/>
    <s v="C0043"/>
    <x v="31"/>
    <x v="1"/>
    <x v="7"/>
    <n v="60"/>
    <n v="13.72"/>
    <n v="46.28"/>
    <n v="15"/>
    <n v="0"/>
    <n v="1"/>
  </r>
  <r>
    <s v="OR0366"/>
    <x v="119"/>
    <x v="4"/>
    <x v="4"/>
    <n v="5"/>
    <n v="12"/>
    <n v="3.51"/>
    <s v="C0103"/>
    <x v="3"/>
    <x v="3"/>
    <x v="7"/>
    <n v="60"/>
    <n v="17.549999999999997"/>
    <n v="42.45"/>
    <n v="12"/>
    <n v="0"/>
    <n v="0"/>
  </r>
  <r>
    <s v="OR0367"/>
    <x v="119"/>
    <x v="3"/>
    <x v="3"/>
    <n v="8"/>
    <n v="15"/>
    <n v="4.95"/>
    <s v="C0104"/>
    <x v="21"/>
    <x v="1"/>
    <x v="9"/>
    <n v="120"/>
    <n v="39.6"/>
    <n v="80.400000000000006"/>
    <n v="15"/>
    <n v="0"/>
    <n v="1"/>
  </r>
  <r>
    <s v="OR0368"/>
    <x v="120"/>
    <x v="3"/>
    <x v="3"/>
    <n v="1"/>
    <n v="15"/>
    <n v="4"/>
    <s v="C0023"/>
    <x v="63"/>
    <x v="3"/>
    <x v="5"/>
    <n v="15"/>
    <n v="4"/>
    <n v="11"/>
    <n v="15"/>
    <n v="0"/>
    <n v="0"/>
  </r>
  <r>
    <s v="OR0369"/>
    <x v="120"/>
    <x v="1"/>
    <x v="1"/>
    <n v="3"/>
    <n v="25"/>
    <n v="5.04"/>
    <s v="C0118"/>
    <x v="105"/>
    <x v="0"/>
    <x v="5"/>
    <n v="75"/>
    <n v="15.120000000000001"/>
    <n v="59.879999999999995"/>
    <n v="25"/>
    <n v="0"/>
    <n v="0"/>
  </r>
  <r>
    <s v="OR0370"/>
    <x v="120"/>
    <x v="4"/>
    <x v="4"/>
    <n v="3"/>
    <n v="12"/>
    <n v="4.1399999999999997"/>
    <s v="C0142"/>
    <x v="102"/>
    <x v="0"/>
    <x v="6"/>
    <n v="36"/>
    <n v="12.419999999999998"/>
    <n v="23.580000000000002"/>
    <n v="12"/>
    <n v="0"/>
    <n v="0"/>
  </r>
  <r>
    <s v="OR0371"/>
    <x v="121"/>
    <x v="1"/>
    <x v="1"/>
    <n v="2"/>
    <n v="25"/>
    <n v="9.6199999999999992"/>
    <s v="C0049"/>
    <x v="74"/>
    <x v="0"/>
    <x v="4"/>
    <n v="50"/>
    <n v="19.239999999999998"/>
    <n v="30.76"/>
    <n v="25"/>
    <n v="0"/>
    <n v="0"/>
  </r>
  <r>
    <s v="OR0372"/>
    <x v="121"/>
    <x v="2"/>
    <x v="2"/>
    <n v="6"/>
    <n v="40"/>
    <n v="15.42"/>
    <s v="C0162"/>
    <x v="4"/>
    <x v="1"/>
    <x v="4"/>
    <n v="240"/>
    <n v="92.52"/>
    <n v="147.48000000000002"/>
    <n v="40"/>
    <n v="0"/>
    <n v="1"/>
  </r>
  <r>
    <s v="OR0373"/>
    <x v="121"/>
    <x v="0"/>
    <x v="0"/>
    <n v="9"/>
    <n v="10"/>
    <n v="3.13"/>
    <s v="C0190"/>
    <x v="39"/>
    <x v="1"/>
    <x v="3"/>
    <n v="90"/>
    <n v="28.169999999999998"/>
    <n v="61.83"/>
    <n v="10"/>
    <n v="0"/>
    <n v="1"/>
  </r>
  <r>
    <s v="OR0374"/>
    <x v="121"/>
    <x v="3"/>
    <x v="3"/>
    <n v="10"/>
    <n v="15"/>
    <n v="4.9800000000000004"/>
    <s v="C0103"/>
    <x v="3"/>
    <x v="1"/>
    <x v="3"/>
    <n v="150"/>
    <n v="49.800000000000004"/>
    <n v="100.19999999999999"/>
    <n v="15"/>
    <n v="0"/>
    <n v="1"/>
  </r>
  <r>
    <s v="OR0375"/>
    <x v="122"/>
    <x v="1"/>
    <x v="1"/>
    <n v="2"/>
    <n v="25"/>
    <n v="9.25"/>
    <s v="C0162"/>
    <x v="4"/>
    <x v="3"/>
    <x v="1"/>
    <n v="50"/>
    <n v="18.5"/>
    <n v="31.5"/>
    <n v="25"/>
    <n v="0"/>
    <n v="0"/>
  </r>
  <r>
    <s v="OR0376"/>
    <x v="123"/>
    <x v="4"/>
    <x v="4"/>
    <n v="4"/>
    <n v="12"/>
    <n v="4.3600000000000003"/>
    <s v="C0189"/>
    <x v="42"/>
    <x v="3"/>
    <x v="3"/>
    <n v="48"/>
    <n v="17.440000000000001"/>
    <n v="30.56"/>
    <n v="12"/>
    <n v="0"/>
    <n v="0"/>
  </r>
  <r>
    <s v="OR0377"/>
    <x v="123"/>
    <x v="1"/>
    <x v="1"/>
    <n v="7"/>
    <n v="25"/>
    <n v="5.6"/>
    <s v="C0198"/>
    <x v="109"/>
    <x v="0"/>
    <x v="1"/>
    <n v="175"/>
    <n v="39.199999999999996"/>
    <n v="135.80000000000001"/>
    <n v="25"/>
    <n v="0"/>
    <n v="0"/>
  </r>
  <r>
    <s v="OR0378"/>
    <x v="123"/>
    <x v="2"/>
    <x v="2"/>
    <n v="5"/>
    <n v="40"/>
    <n v="13.32"/>
    <s v="C0018"/>
    <x v="62"/>
    <x v="1"/>
    <x v="7"/>
    <n v="200"/>
    <n v="66.599999999999994"/>
    <n v="133.4"/>
    <n v="40"/>
    <n v="0"/>
    <n v="1"/>
  </r>
  <r>
    <s v="OR0379"/>
    <x v="123"/>
    <x v="4"/>
    <x v="4"/>
    <n v="7"/>
    <n v="12"/>
    <n v="3.05"/>
    <s v="C0131"/>
    <x v="69"/>
    <x v="1"/>
    <x v="2"/>
    <n v="84"/>
    <n v="21.349999999999998"/>
    <n v="62.650000000000006"/>
    <n v="12"/>
    <n v="0"/>
    <n v="1"/>
  </r>
  <r>
    <s v="OR0380"/>
    <x v="124"/>
    <x v="4"/>
    <x v="4"/>
    <n v="8"/>
    <n v="12"/>
    <n v="4.37"/>
    <s v="C0008"/>
    <x v="68"/>
    <x v="1"/>
    <x v="0"/>
    <n v="96"/>
    <n v="34.96"/>
    <n v="61.04"/>
    <n v="12"/>
    <n v="0"/>
    <n v="1"/>
  </r>
  <r>
    <s v="OR0381"/>
    <x v="124"/>
    <x v="2"/>
    <x v="2"/>
    <n v="2"/>
    <n v="40"/>
    <n v="13.53"/>
    <s v="C0085"/>
    <x v="29"/>
    <x v="1"/>
    <x v="7"/>
    <n v="80"/>
    <n v="27.06"/>
    <n v="52.94"/>
    <n v="40"/>
    <n v="0"/>
    <n v="1"/>
  </r>
  <r>
    <s v="OR0382"/>
    <x v="125"/>
    <x v="2"/>
    <x v="2"/>
    <n v="6"/>
    <n v="40"/>
    <n v="13.84"/>
    <s v="C0187"/>
    <x v="48"/>
    <x v="1"/>
    <x v="8"/>
    <n v="240"/>
    <n v="83.039999999999992"/>
    <n v="156.96"/>
    <n v="40"/>
    <n v="0"/>
    <n v="1"/>
  </r>
  <r>
    <s v="OR0383"/>
    <x v="125"/>
    <x v="0"/>
    <x v="0"/>
    <n v="8"/>
    <n v="10"/>
    <n v="2.94"/>
    <s v="C0131"/>
    <x v="69"/>
    <x v="1"/>
    <x v="6"/>
    <n v="80"/>
    <n v="23.52"/>
    <n v="56.480000000000004"/>
    <n v="10"/>
    <n v="0"/>
    <n v="1"/>
  </r>
  <r>
    <s v="OR0384"/>
    <x v="125"/>
    <x v="0"/>
    <x v="0"/>
    <n v="9"/>
    <n v="10"/>
    <n v="2.81"/>
    <s v="C0049"/>
    <x v="74"/>
    <x v="0"/>
    <x v="1"/>
    <n v="90"/>
    <n v="25.29"/>
    <n v="64.710000000000008"/>
    <n v="10"/>
    <n v="0"/>
    <n v="0"/>
  </r>
  <r>
    <s v="OR0385"/>
    <x v="126"/>
    <x v="3"/>
    <x v="3"/>
    <n v="1"/>
    <n v="15"/>
    <n v="4.66"/>
    <s v="C0017"/>
    <x v="17"/>
    <x v="1"/>
    <x v="4"/>
    <n v="15"/>
    <n v="4.66"/>
    <n v="10.34"/>
    <n v="15"/>
    <n v="0"/>
    <n v="1"/>
  </r>
  <r>
    <s v="OR0386"/>
    <x v="126"/>
    <x v="0"/>
    <x v="0"/>
    <n v="3"/>
    <n v="10"/>
    <n v="3.02"/>
    <s v="C0027"/>
    <x v="73"/>
    <x v="0"/>
    <x v="6"/>
    <n v="30"/>
    <n v="9.06"/>
    <n v="20.939999999999998"/>
    <n v="10"/>
    <n v="0"/>
    <n v="0"/>
  </r>
  <r>
    <s v="OR0387"/>
    <x v="126"/>
    <x v="3"/>
    <x v="3"/>
    <n v="6"/>
    <n v="15"/>
    <n v="4.8"/>
    <s v="C0121"/>
    <x v="44"/>
    <x v="1"/>
    <x v="9"/>
    <n v="90"/>
    <n v="28.799999999999997"/>
    <n v="61.2"/>
    <n v="15"/>
    <n v="0"/>
    <n v="1"/>
  </r>
  <r>
    <s v="OR0388"/>
    <x v="126"/>
    <x v="2"/>
    <x v="2"/>
    <n v="9"/>
    <n v="40"/>
    <n v="14.62"/>
    <s v="C0178"/>
    <x v="19"/>
    <x v="2"/>
    <x v="6"/>
    <n v="360"/>
    <n v="131.57999999999998"/>
    <n v="228.42000000000002"/>
    <n v="40"/>
    <n v="1"/>
    <n v="0"/>
  </r>
  <r>
    <s v="OR0389"/>
    <x v="127"/>
    <x v="3"/>
    <x v="3"/>
    <n v="5"/>
    <n v="15"/>
    <n v="3.13"/>
    <s v="C0033"/>
    <x v="25"/>
    <x v="1"/>
    <x v="6"/>
    <n v="75"/>
    <n v="15.649999999999999"/>
    <n v="59.35"/>
    <n v="15"/>
    <n v="0"/>
    <n v="1"/>
  </r>
  <r>
    <s v="OR0390"/>
    <x v="127"/>
    <x v="2"/>
    <x v="2"/>
    <n v="1"/>
    <n v="40"/>
    <n v="13.15"/>
    <s v="C0190"/>
    <x v="39"/>
    <x v="1"/>
    <x v="0"/>
    <n v="40"/>
    <n v="13.15"/>
    <n v="26.85"/>
    <n v="40"/>
    <n v="0"/>
    <n v="1"/>
  </r>
  <r>
    <s v="OR0391"/>
    <x v="127"/>
    <x v="2"/>
    <x v="2"/>
    <n v="9"/>
    <n v="40"/>
    <n v="13.31"/>
    <s v="C0075"/>
    <x v="71"/>
    <x v="1"/>
    <x v="5"/>
    <n v="360"/>
    <n v="119.79"/>
    <n v="240.20999999999998"/>
    <n v="40"/>
    <n v="0"/>
    <n v="1"/>
  </r>
  <r>
    <s v="OR0392"/>
    <x v="127"/>
    <x v="4"/>
    <x v="4"/>
    <n v="10"/>
    <n v="12"/>
    <n v="3.7"/>
    <s v="C0033"/>
    <x v="25"/>
    <x v="1"/>
    <x v="4"/>
    <n v="120"/>
    <n v="37"/>
    <n v="83"/>
    <n v="12"/>
    <n v="0"/>
    <n v="1"/>
  </r>
  <r>
    <s v="OR0393"/>
    <x v="127"/>
    <x v="0"/>
    <x v="0"/>
    <n v="3"/>
    <n v="10"/>
    <n v="3.68"/>
    <s v="C0120"/>
    <x v="55"/>
    <x v="3"/>
    <x v="9"/>
    <n v="30"/>
    <n v="11.040000000000001"/>
    <n v="18.96"/>
    <n v="10"/>
    <n v="0"/>
    <n v="0"/>
  </r>
  <r>
    <s v="OR0394"/>
    <x v="128"/>
    <x v="1"/>
    <x v="1"/>
    <n v="7"/>
    <n v="25"/>
    <n v="5.54"/>
    <s v="C0052"/>
    <x v="6"/>
    <x v="1"/>
    <x v="0"/>
    <n v="175"/>
    <n v="38.78"/>
    <n v="136.22"/>
    <n v="25"/>
    <n v="0"/>
    <n v="1"/>
  </r>
  <r>
    <s v="OR0395"/>
    <x v="128"/>
    <x v="3"/>
    <x v="3"/>
    <n v="2"/>
    <n v="15"/>
    <n v="3.17"/>
    <s v="C0191"/>
    <x v="17"/>
    <x v="0"/>
    <x v="8"/>
    <n v="30"/>
    <n v="6.34"/>
    <n v="23.66"/>
    <n v="15"/>
    <n v="0"/>
    <n v="0"/>
  </r>
  <r>
    <s v="OR0396"/>
    <x v="128"/>
    <x v="2"/>
    <x v="2"/>
    <n v="8"/>
    <n v="40"/>
    <n v="13.61"/>
    <s v="C0118"/>
    <x v="105"/>
    <x v="1"/>
    <x v="9"/>
    <n v="320"/>
    <n v="108.88"/>
    <n v="211.12"/>
    <n v="40"/>
    <n v="0"/>
    <n v="1"/>
  </r>
  <r>
    <s v="OR0397"/>
    <x v="129"/>
    <x v="0"/>
    <x v="0"/>
    <n v="1"/>
    <n v="10"/>
    <n v="2.72"/>
    <s v="C0051"/>
    <x v="16"/>
    <x v="2"/>
    <x v="0"/>
    <n v="10"/>
    <n v="2.72"/>
    <n v="7.2799999999999994"/>
    <n v="10"/>
    <n v="1"/>
    <n v="0"/>
  </r>
  <r>
    <s v="OR0398"/>
    <x v="129"/>
    <x v="0"/>
    <x v="0"/>
    <n v="3"/>
    <n v="10"/>
    <n v="2.4700000000000002"/>
    <s v="C0023"/>
    <x v="63"/>
    <x v="1"/>
    <x v="1"/>
    <n v="30"/>
    <n v="7.41"/>
    <n v="22.59"/>
    <n v="10"/>
    <n v="0"/>
    <n v="1"/>
  </r>
  <r>
    <s v="OR0399"/>
    <x v="130"/>
    <x v="3"/>
    <x v="3"/>
    <n v="6"/>
    <n v="15"/>
    <n v="5.97"/>
    <s v="C0114"/>
    <x v="5"/>
    <x v="1"/>
    <x v="8"/>
    <n v="90"/>
    <n v="35.82"/>
    <n v="54.18"/>
    <n v="15"/>
    <n v="0"/>
    <n v="1"/>
  </r>
  <r>
    <s v="OR0400"/>
    <x v="130"/>
    <x v="0"/>
    <x v="0"/>
    <n v="7"/>
    <n v="10"/>
    <n v="2.06"/>
    <s v="C0119"/>
    <x v="21"/>
    <x v="1"/>
    <x v="3"/>
    <n v="70"/>
    <n v="14.42"/>
    <n v="55.58"/>
    <n v="10"/>
    <n v="0"/>
    <n v="1"/>
  </r>
  <r>
    <s v="OR0401"/>
    <x v="130"/>
    <x v="2"/>
    <x v="2"/>
    <n v="3"/>
    <n v="40"/>
    <n v="9.3000000000000007"/>
    <s v="C0045"/>
    <x v="51"/>
    <x v="1"/>
    <x v="4"/>
    <n v="120"/>
    <n v="27.900000000000002"/>
    <n v="92.1"/>
    <n v="40"/>
    <n v="0"/>
    <n v="1"/>
  </r>
  <r>
    <s v="OR0402"/>
    <x v="130"/>
    <x v="1"/>
    <x v="1"/>
    <n v="9"/>
    <n v="25"/>
    <n v="8.24"/>
    <s v="C0120"/>
    <x v="55"/>
    <x v="0"/>
    <x v="7"/>
    <n v="225"/>
    <n v="74.16"/>
    <n v="150.84"/>
    <n v="25"/>
    <n v="0"/>
    <n v="0"/>
  </r>
  <r>
    <s v="OR0403"/>
    <x v="130"/>
    <x v="4"/>
    <x v="4"/>
    <n v="2"/>
    <n v="12"/>
    <n v="4.5999999999999996"/>
    <s v="C0168"/>
    <x v="62"/>
    <x v="1"/>
    <x v="1"/>
    <n v="24"/>
    <n v="9.1999999999999993"/>
    <n v="14.8"/>
    <n v="12"/>
    <n v="0"/>
    <n v="1"/>
  </r>
  <r>
    <s v="OR0404"/>
    <x v="130"/>
    <x v="2"/>
    <x v="2"/>
    <n v="4"/>
    <n v="40"/>
    <n v="14.68"/>
    <s v="C0006"/>
    <x v="75"/>
    <x v="1"/>
    <x v="2"/>
    <n v="160"/>
    <n v="58.72"/>
    <n v="101.28"/>
    <n v="40"/>
    <n v="0"/>
    <n v="1"/>
  </r>
  <r>
    <s v="OR0405"/>
    <x v="130"/>
    <x v="4"/>
    <x v="4"/>
    <n v="6"/>
    <n v="12"/>
    <n v="3.84"/>
    <s v="C0199"/>
    <x v="20"/>
    <x v="2"/>
    <x v="7"/>
    <n v="72"/>
    <n v="23.04"/>
    <n v="48.96"/>
    <n v="12"/>
    <n v="1"/>
    <n v="0"/>
  </r>
  <r>
    <s v="OR0406"/>
    <x v="131"/>
    <x v="2"/>
    <x v="2"/>
    <n v="7"/>
    <n v="40"/>
    <n v="11.74"/>
    <s v="C0199"/>
    <x v="20"/>
    <x v="1"/>
    <x v="4"/>
    <n v="280"/>
    <n v="82.18"/>
    <n v="197.82"/>
    <n v="40"/>
    <n v="0"/>
    <n v="1"/>
  </r>
  <r>
    <s v="OR0407"/>
    <x v="132"/>
    <x v="0"/>
    <x v="0"/>
    <n v="2"/>
    <n v="10"/>
    <n v="2.6"/>
    <s v="C0017"/>
    <x v="17"/>
    <x v="1"/>
    <x v="4"/>
    <n v="20"/>
    <n v="5.2"/>
    <n v="14.8"/>
    <n v="10"/>
    <n v="0"/>
    <n v="1"/>
  </r>
  <r>
    <s v="OR0408"/>
    <x v="132"/>
    <x v="1"/>
    <x v="1"/>
    <n v="6"/>
    <n v="25"/>
    <n v="5.69"/>
    <s v="C0052"/>
    <x v="6"/>
    <x v="1"/>
    <x v="4"/>
    <n v="150"/>
    <n v="34.14"/>
    <n v="115.86"/>
    <n v="25"/>
    <n v="0"/>
    <n v="1"/>
  </r>
  <r>
    <s v="OR0409"/>
    <x v="132"/>
    <x v="1"/>
    <x v="1"/>
    <n v="10"/>
    <n v="25"/>
    <n v="9.11"/>
    <s v="C0189"/>
    <x v="42"/>
    <x v="1"/>
    <x v="1"/>
    <n v="250"/>
    <n v="91.1"/>
    <n v="158.9"/>
    <n v="25"/>
    <n v="0"/>
    <n v="1"/>
  </r>
  <r>
    <s v="OR0410"/>
    <x v="133"/>
    <x v="2"/>
    <x v="2"/>
    <n v="8"/>
    <n v="40"/>
    <n v="14.14"/>
    <s v="C0015"/>
    <x v="77"/>
    <x v="0"/>
    <x v="3"/>
    <n v="320"/>
    <n v="113.12"/>
    <n v="206.88"/>
    <n v="40"/>
    <n v="0"/>
    <n v="0"/>
  </r>
  <r>
    <s v="OR0411"/>
    <x v="134"/>
    <x v="0"/>
    <x v="0"/>
    <n v="8"/>
    <n v="10"/>
    <n v="3.2"/>
    <s v="C0196"/>
    <x v="42"/>
    <x v="2"/>
    <x v="5"/>
    <n v="80"/>
    <n v="25.6"/>
    <n v="54.4"/>
    <n v="10"/>
    <n v="1"/>
    <n v="0"/>
  </r>
  <r>
    <s v="OR0412"/>
    <x v="134"/>
    <x v="3"/>
    <x v="3"/>
    <n v="8"/>
    <n v="15"/>
    <n v="5.1100000000000003"/>
    <s v="C0130"/>
    <x v="48"/>
    <x v="0"/>
    <x v="9"/>
    <n v="120"/>
    <n v="40.880000000000003"/>
    <n v="79.12"/>
    <n v="15"/>
    <n v="0"/>
    <n v="0"/>
  </r>
  <r>
    <s v="OR0413"/>
    <x v="134"/>
    <x v="3"/>
    <x v="3"/>
    <n v="1"/>
    <n v="15"/>
    <n v="3.13"/>
    <s v="C0145"/>
    <x v="43"/>
    <x v="1"/>
    <x v="4"/>
    <n v="15"/>
    <n v="3.13"/>
    <n v="11.870000000000001"/>
    <n v="15"/>
    <n v="0"/>
    <n v="1"/>
  </r>
  <r>
    <s v="OR0414"/>
    <x v="134"/>
    <x v="1"/>
    <x v="1"/>
    <n v="3"/>
    <n v="25"/>
    <n v="5.8"/>
    <s v="C0177"/>
    <x v="110"/>
    <x v="1"/>
    <x v="8"/>
    <n v="75"/>
    <n v="17.399999999999999"/>
    <n v="57.6"/>
    <n v="25"/>
    <n v="0"/>
    <n v="1"/>
  </r>
  <r>
    <s v="OR0415"/>
    <x v="134"/>
    <x v="0"/>
    <x v="0"/>
    <n v="10"/>
    <n v="10"/>
    <n v="3.45"/>
    <s v="C0159"/>
    <x v="105"/>
    <x v="1"/>
    <x v="6"/>
    <n v="100"/>
    <n v="34.5"/>
    <n v="65.5"/>
    <n v="10"/>
    <n v="0"/>
    <n v="1"/>
  </r>
  <r>
    <s v="OR0416"/>
    <x v="135"/>
    <x v="2"/>
    <x v="2"/>
    <n v="8"/>
    <n v="40"/>
    <n v="11.29"/>
    <s v="C0012"/>
    <x v="13"/>
    <x v="3"/>
    <x v="7"/>
    <n v="320"/>
    <n v="90.32"/>
    <n v="229.68"/>
    <n v="40"/>
    <n v="0"/>
    <n v="0"/>
  </r>
  <r>
    <s v="OR0417"/>
    <x v="135"/>
    <x v="4"/>
    <x v="4"/>
    <n v="6"/>
    <n v="12"/>
    <n v="3.5"/>
    <s v="C0154"/>
    <x v="81"/>
    <x v="1"/>
    <x v="5"/>
    <n v="72"/>
    <n v="21"/>
    <n v="51"/>
    <n v="12"/>
    <n v="0"/>
    <n v="1"/>
  </r>
  <r>
    <s v="OR0418"/>
    <x v="135"/>
    <x v="3"/>
    <x v="3"/>
    <n v="8"/>
    <n v="15"/>
    <n v="5.56"/>
    <s v="C0128"/>
    <x v="50"/>
    <x v="0"/>
    <x v="5"/>
    <n v="120"/>
    <n v="44.48"/>
    <n v="75.52000000000001"/>
    <n v="15"/>
    <n v="0"/>
    <n v="0"/>
  </r>
  <r>
    <s v="OR0419"/>
    <x v="135"/>
    <x v="4"/>
    <x v="4"/>
    <n v="3"/>
    <n v="12"/>
    <n v="3.51"/>
    <s v="C0126"/>
    <x v="90"/>
    <x v="1"/>
    <x v="4"/>
    <n v="36"/>
    <n v="10.53"/>
    <n v="25.47"/>
    <n v="12"/>
    <n v="0"/>
    <n v="1"/>
  </r>
  <r>
    <s v="OR0420"/>
    <x v="135"/>
    <x v="1"/>
    <x v="1"/>
    <n v="6"/>
    <n v="25"/>
    <n v="6.75"/>
    <s v="C0191"/>
    <x v="17"/>
    <x v="0"/>
    <x v="6"/>
    <n v="150"/>
    <n v="40.5"/>
    <n v="109.5"/>
    <n v="25"/>
    <n v="0"/>
    <n v="0"/>
  </r>
  <r>
    <s v="OR0421"/>
    <x v="136"/>
    <x v="4"/>
    <x v="4"/>
    <n v="1"/>
    <n v="12"/>
    <n v="4"/>
    <s v="C0149"/>
    <x v="10"/>
    <x v="0"/>
    <x v="6"/>
    <n v="12"/>
    <n v="4"/>
    <n v="8"/>
    <n v="12"/>
    <n v="0"/>
    <n v="0"/>
  </r>
  <r>
    <s v="OR0422"/>
    <x v="137"/>
    <x v="2"/>
    <x v="2"/>
    <n v="7"/>
    <n v="40"/>
    <n v="14.84"/>
    <s v="C0150"/>
    <x v="76"/>
    <x v="1"/>
    <x v="7"/>
    <n v="280"/>
    <n v="103.88"/>
    <n v="176.12"/>
    <n v="40"/>
    <n v="0"/>
    <n v="1"/>
  </r>
  <r>
    <s v="OR0423"/>
    <x v="137"/>
    <x v="2"/>
    <x v="2"/>
    <n v="5"/>
    <n v="40"/>
    <n v="10.58"/>
    <s v="C0063"/>
    <x v="9"/>
    <x v="1"/>
    <x v="4"/>
    <n v="200"/>
    <n v="52.9"/>
    <n v="147.1"/>
    <n v="40"/>
    <n v="0"/>
    <n v="1"/>
  </r>
  <r>
    <s v="OR0424"/>
    <x v="137"/>
    <x v="3"/>
    <x v="3"/>
    <n v="9"/>
    <n v="15"/>
    <n v="5.77"/>
    <s v="C0128"/>
    <x v="50"/>
    <x v="1"/>
    <x v="0"/>
    <n v="135"/>
    <n v="51.929999999999993"/>
    <n v="83.070000000000007"/>
    <n v="15"/>
    <n v="0"/>
    <n v="1"/>
  </r>
  <r>
    <s v="OR0425"/>
    <x v="138"/>
    <x v="3"/>
    <x v="3"/>
    <n v="5"/>
    <n v="15"/>
    <n v="5.92"/>
    <s v="C0004"/>
    <x v="94"/>
    <x v="1"/>
    <x v="8"/>
    <n v="75"/>
    <n v="29.6"/>
    <n v="45.4"/>
    <n v="15"/>
    <n v="0"/>
    <n v="1"/>
  </r>
  <r>
    <s v="OR0426"/>
    <x v="139"/>
    <x v="2"/>
    <x v="2"/>
    <n v="9"/>
    <n v="40"/>
    <n v="10.53"/>
    <s v="C0125"/>
    <x v="83"/>
    <x v="0"/>
    <x v="0"/>
    <n v="360"/>
    <n v="94.77"/>
    <n v="265.23"/>
    <n v="40"/>
    <n v="0"/>
    <n v="0"/>
  </r>
  <r>
    <s v="OR0427"/>
    <x v="139"/>
    <x v="3"/>
    <x v="3"/>
    <n v="10"/>
    <n v="15"/>
    <n v="3.43"/>
    <s v="C0020"/>
    <x v="111"/>
    <x v="1"/>
    <x v="4"/>
    <n v="150"/>
    <n v="34.300000000000004"/>
    <n v="115.69999999999999"/>
    <n v="15"/>
    <n v="0"/>
    <n v="1"/>
  </r>
  <r>
    <s v="OR0428"/>
    <x v="139"/>
    <x v="2"/>
    <x v="2"/>
    <n v="1"/>
    <n v="40"/>
    <n v="12.59"/>
    <s v="C0048"/>
    <x v="87"/>
    <x v="1"/>
    <x v="6"/>
    <n v="40"/>
    <n v="12.59"/>
    <n v="27.41"/>
    <n v="40"/>
    <n v="0"/>
    <n v="1"/>
  </r>
  <r>
    <s v="OR0429"/>
    <x v="139"/>
    <x v="4"/>
    <x v="4"/>
    <n v="3"/>
    <n v="12"/>
    <n v="3.18"/>
    <s v="C0031"/>
    <x v="61"/>
    <x v="1"/>
    <x v="2"/>
    <n v="36"/>
    <n v="9.5400000000000009"/>
    <n v="26.46"/>
    <n v="12"/>
    <n v="0"/>
    <n v="1"/>
  </r>
  <r>
    <s v="OR0430"/>
    <x v="139"/>
    <x v="2"/>
    <x v="2"/>
    <n v="9"/>
    <n v="40"/>
    <n v="8.0399999999999991"/>
    <s v="C0140"/>
    <x v="95"/>
    <x v="3"/>
    <x v="7"/>
    <n v="360"/>
    <n v="72.359999999999985"/>
    <n v="287.64"/>
    <n v="40"/>
    <n v="0"/>
    <n v="0"/>
  </r>
  <r>
    <s v="OR0431"/>
    <x v="140"/>
    <x v="1"/>
    <x v="1"/>
    <n v="6"/>
    <n v="25"/>
    <n v="6.37"/>
    <s v="C0071"/>
    <x v="7"/>
    <x v="0"/>
    <x v="1"/>
    <n v="150"/>
    <n v="38.22"/>
    <n v="111.78"/>
    <n v="25"/>
    <n v="0"/>
    <n v="0"/>
  </r>
  <r>
    <s v="OR0432"/>
    <x v="140"/>
    <x v="1"/>
    <x v="1"/>
    <n v="2"/>
    <n v="25"/>
    <n v="9.68"/>
    <s v="C0159"/>
    <x v="105"/>
    <x v="0"/>
    <x v="2"/>
    <n v="50"/>
    <n v="19.36"/>
    <n v="30.64"/>
    <n v="25"/>
    <n v="0"/>
    <n v="0"/>
  </r>
  <r>
    <s v="OR0433"/>
    <x v="141"/>
    <x v="1"/>
    <x v="1"/>
    <n v="4"/>
    <n v="25"/>
    <n v="6.63"/>
    <s v="C0026"/>
    <x v="108"/>
    <x v="0"/>
    <x v="4"/>
    <n v="100"/>
    <n v="26.52"/>
    <n v="73.48"/>
    <n v="25"/>
    <n v="0"/>
    <n v="0"/>
  </r>
  <r>
    <s v="OR0434"/>
    <x v="141"/>
    <x v="3"/>
    <x v="3"/>
    <n v="5"/>
    <n v="15"/>
    <n v="5.99"/>
    <s v="C0152"/>
    <x v="101"/>
    <x v="1"/>
    <x v="5"/>
    <n v="75"/>
    <n v="29.950000000000003"/>
    <n v="45.05"/>
    <n v="15"/>
    <n v="0"/>
    <n v="1"/>
  </r>
  <r>
    <s v="OR0435"/>
    <x v="141"/>
    <x v="3"/>
    <x v="3"/>
    <n v="8"/>
    <n v="15"/>
    <n v="4.1100000000000003"/>
    <s v="C0181"/>
    <x v="26"/>
    <x v="2"/>
    <x v="0"/>
    <n v="120"/>
    <n v="32.880000000000003"/>
    <n v="87.12"/>
    <n v="15"/>
    <n v="1"/>
    <n v="0"/>
  </r>
  <r>
    <s v="OR0436"/>
    <x v="142"/>
    <x v="0"/>
    <x v="0"/>
    <n v="1"/>
    <n v="10"/>
    <n v="2.81"/>
    <s v="C0057"/>
    <x v="54"/>
    <x v="1"/>
    <x v="0"/>
    <n v="10"/>
    <n v="2.81"/>
    <n v="7.1899999999999995"/>
    <n v="10"/>
    <n v="0"/>
    <n v="1"/>
  </r>
  <r>
    <s v="OR0437"/>
    <x v="143"/>
    <x v="2"/>
    <x v="2"/>
    <n v="5"/>
    <n v="40"/>
    <n v="9.7200000000000006"/>
    <s v="C0105"/>
    <x v="45"/>
    <x v="3"/>
    <x v="7"/>
    <n v="200"/>
    <n v="48.6"/>
    <n v="151.4"/>
    <n v="40"/>
    <n v="0"/>
    <n v="0"/>
  </r>
  <r>
    <s v="OR0438"/>
    <x v="143"/>
    <x v="4"/>
    <x v="4"/>
    <n v="8"/>
    <n v="12"/>
    <n v="4.46"/>
    <s v="C0066"/>
    <x v="41"/>
    <x v="3"/>
    <x v="9"/>
    <n v="96"/>
    <n v="35.68"/>
    <n v="60.32"/>
    <n v="12"/>
    <n v="0"/>
    <n v="0"/>
  </r>
  <r>
    <s v="OR0439"/>
    <x v="144"/>
    <x v="1"/>
    <x v="1"/>
    <n v="5"/>
    <n v="25"/>
    <n v="7.88"/>
    <s v="C0063"/>
    <x v="9"/>
    <x v="1"/>
    <x v="7"/>
    <n v="125"/>
    <n v="39.4"/>
    <n v="85.6"/>
    <n v="25"/>
    <n v="0"/>
    <n v="1"/>
  </r>
  <r>
    <s v="OR0440"/>
    <x v="144"/>
    <x v="3"/>
    <x v="3"/>
    <n v="1"/>
    <n v="15"/>
    <n v="4.3499999999999996"/>
    <s v="C0170"/>
    <x v="48"/>
    <x v="1"/>
    <x v="2"/>
    <n v="15"/>
    <n v="4.3499999999999996"/>
    <n v="10.65"/>
    <n v="15"/>
    <n v="0"/>
    <n v="1"/>
  </r>
  <r>
    <s v="OR0441"/>
    <x v="144"/>
    <x v="1"/>
    <x v="1"/>
    <n v="2"/>
    <n v="25"/>
    <n v="6.85"/>
    <s v="C0064"/>
    <x v="46"/>
    <x v="0"/>
    <x v="7"/>
    <n v="50"/>
    <n v="13.7"/>
    <n v="36.299999999999997"/>
    <n v="25"/>
    <n v="0"/>
    <n v="0"/>
  </r>
  <r>
    <s v="OR0442"/>
    <x v="144"/>
    <x v="4"/>
    <x v="4"/>
    <n v="9"/>
    <n v="12"/>
    <n v="4.32"/>
    <s v="C0061"/>
    <x v="112"/>
    <x v="1"/>
    <x v="1"/>
    <n v="108"/>
    <n v="38.880000000000003"/>
    <n v="69.12"/>
    <n v="12"/>
    <n v="0"/>
    <n v="1"/>
  </r>
  <r>
    <s v="OR0443"/>
    <x v="144"/>
    <x v="3"/>
    <x v="3"/>
    <n v="4"/>
    <n v="15"/>
    <n v="5.41"/>
    <s v="C0185"/>
    <x v="55"/>
    <x v="0"/>
    <x v="1"/>
    <n v="60"/>
    <n v="21.64"/>
    <n v="38.36"/>
    <n v="15"/>
    <n v="0"/>
    <n v="0"/>
  </r>
  <r>
    <s v="OR0444"/>
    <x v="145"/>
    <x v="2"/>
    <x v="2"/>
    <n v="6"/>
    <n v="40"/>
    <n v="9.43"/>
    <s v="C0152"/>
    <x v="101"/>
    <x v="1"/>
    <x v="3"/>
    <n v="240"/>
    <n v="56.58"/>
    <n v="183.42000000000002"/>
    <n v="40"/>
    <n v="0"/>
    <n v="1"/>
  </r>
  <r>
    <s v="OR0445"/>
    <x v="145"/>
    <x v="2"/>
    <x v="2"/>
    <n v="4"/>
    <n v="40"/>
    <n v="13.02"/>
    <s v="C0076"/>
    <x v="2"/>
    <x v="1"/>
    <x v="0"/>
    <n v="160"/>
    <n v="52.08"/>
    <n v="107.92"/>
    <n v="40"/>
    <n v="0"/>
    <n v="1"/>
  </r>
  <r>
    <s v="OR0446"/>
    <x v="146"/>
    <x v="3"/>
    <x v="3"/>
    <n v="1"/>
    <n v="15"/>
    <n v="3.05"/>
    <s v="C0185"/>
    <x v="55"/>
    <x v="1"/>
    <x v="4"/>
    <n v="15"/>
    <n v="3.05"/>
    <n v="11.95"/>
    <n v="15"/>
    <n v="0"/>
    <n v="1"/>
  </r>
  <r>
    <s v="OR0447"/>
    <x v="146"/>
    <x v="4"/>
    <x v="4"/>
    <n v="7"/>
    <n v="12"/>
    <n v="4.2"/>
    <s v="C0107"/>
    <x v="56"/>
    <x v="1"/>
    <x v="5"/>
    <n v="84"/>
    <n v="29.400000000000002"/>
    <n v="54.599999999999994"/>
    <n v="12"/>
    <n v="0"/>
    <n v="1"/>
  </r>
  <r>
    <s v="OR0448"/>
    <x v="147"/>
    <x v="2"/>
    <x v="2"/>
    <n v="3"/>
    <n v="40"/>
    <n v="14.46"/>
    <s v="C0063"/>
    <x v="9"/>
    <x v="1"/>
    <x v="5"/>
    <n v="120"/>
    <n v="43.38"/>
    <n v="76.62"/>
    <n v="40"/>
    <n v="0"/>
    <n v="1"/>
  </r>
  <r>
    <s v="OR0449"/>
    <x v="147"/>
    <x v="4"/>
    <x v="4"/>
    <n v="10"/>
    <n v="12"/>
    <n v="4.5999999999999996"/>
    <s v="C0128"/>
    <x v="50"/>
    <x v="1"/>
    <x v="0"/>
    <n v="120"/>
    <n v="46"/>
    <n v="74"/>
    <n v="12"/>
    <n v="0"/>
    <n v="1"/>
  </r>
  <r>
    <s v="OR0450"/>
    <x v="148"/>
    <x v="4"/>
    <x v="4"/>
    <n v="4"/>
    <n v="12"/>
    <n v="4.3899999999999997"/>
    <s v="C0078"/>
    <x v="35"/>
    <x v="0"/>
    <x v="6"/>
    <n v="48"/>
    <n v="17.559999999999999"/>
    <n v="30.44"/>
    <n v="12"/>
    <n v="0"/>
    <n v="0"/>
  </r>
  <r>
    <s v="OR0451"/>
    <x v="148"/>
    <x v="2"/>
    <x v="2"/>
    <n v="10"/>
    <n v="40"/>
    <n v="9.85"/>
    <s v="C0071"/>
    <x v="7"/>
    <x v="1"/>
    <x v="0"/>
    <n v="400"/>
    <n v="98.5"/>
    <n v="301.5"/>
    <n v="40"/>
    <n v="0"/>
    <n v="1"/>
  </r>
  <r>
    <s v="OR0452"/>
    <x v="149"/>
    <x v="4"/>
    <x v="4"/>
    <n v="5"/>
    <n v="12"/>
    <n v="3.43"/>
    <s v="C0063"/>
    <x v="9"/>
    <x v="1"/>
    <x v="9"/>
    <n v="60"/>
    <n v="17.150000000000002"/>
    <n v="42.849999999999994"/>
    <n v="12"/>
    <n v="0"/>
    <n v="1"/>
  </r>
  <r>
    <s v="OR0453"/>
    <x v="149"/>
    <x v="0"/>
    <x v="0"/>
    <n v="5"/>
    <n v="10"/>
    <n v="3.46"/>
    <s v="C0109"/>
    <x v="74"/>
    <x v="1"/>
    <x v="0"/>
    <n v="50"/>
    <n v="17.3"/>
    <n v="32.700000000000003"/>
    <n v="10"/>
    <n v="0"/>
    <n v="1"/>
  </r>
  <r>
    <s v="OR0454"/>
    <x v="149"/>
    <x v="1"/>
    <x v="1"/>
    <n v="1"/>
    <n v="25"/>
    <n v="9.2100000000000009"/>
    <s v="C0015"/>
    <x v="77"/>
    <x v="0"/>
    <x v="0"/>
    <n v="25"/>
    <n v="9.2100000000000009"/>
    <n v="15.79"/>
    <n v="25"/>
    <n v="0"/>
    <n v="0"/>
  </r>
  <r>
    <s v="OR0455"/>
    <x v="149"/>
    <x v="4"/>
    <x v="4"/>
    <n v="7"/>
    <n v="12"/>
    <n v="3.5"/>
    <s v="C0183"/>
    <x v="1"/>
    <x v="1"/>
    <x v="2"/>
    <n v="84"/>
    <n v="24.5"/>
    <n v="59.5"/>
    <n v="12"/>
    <n v="0"/>
    <n v="1"/>
  </r>
  <r>
    <s v="OR0456"/>
    <x v="149"/>
    <x v="3"/>
    <x v="3"/>
    <n v="6"/>
    <n v="15"/>
    <n v="5.4"/>
    <s v="C0032"/>
    <x v="113"/>
    <x v="1"/>
    <x v="0"/>
    <n v="90"/>
    <n v="32.400000000000006"/>
    <n v="57.599999999999994"/>
    <n v="15"/>
    <n v="0"/>
    <n v="1"/>
  </r>
  <r>
    <s v="OR0457"/>
    <x v="150"/>
    <x v="1"/>
    <x v="1"/>
    <n v="6"/>
    <n v="25"/>
    <n v="6.04"/>
    <s v="C0110"/>
    <x v="26"/>
    <x v="1"/>
    <x v="8"/>
    <n v="150"/>
    <n v="36.24"/>
    <n v="113.75999999999999"/>
    <n v="25"/>
    <n v="0"/>
    <n v="1"/>
  </r>
  <r>
    <s v="OR0458"/>
    <x v="150"/>
    <x v="0"/>
    <x v="0"/>
    <n v="10"/>
    <n v="10"/>
    <n v="3.34"/>
    <s v="C0105"/>
    <x v="45"/>
    <x v="3"/>
    <x v="2"/>
    <n v="100"/>
    <n v="33.4"/>
    <n v="66.599999999999994"/>
    <n v="10"/>
    <n v="0"/>
    <n v="0"/>
  </r>
  <r>
    <s v="OR0459"/>
    <x v="150"/>
    <x v="4"/>
    <x v="4"/>
    <n v="3"/>
    <n v="12"/>
    <n v="3.94"/>
    <s v="C0051"/>
    <x v="16"/>
    <x v="2"/>
    <x v="7"/>
    <n v="36"/>
    <n v="11.82"/>
    <n v="24.18"/>
    <n v="12"/>
    <n v="1"/>
    <n v="0"/>
  </r>
  <r>
    <s v="OR0460"/>
    <x v="151"/>
    <x v="0"/>
    <x v="0"/>
    <n v="3"/>
    <n v="10"/>
    <n v="3.12"/>
    <s v="C0036"/>
    <x v="93"/>
    <x v="0"/>
    <x v="9"/>
    <n v="30"/>
    <n v="9.36"/>
    <n v="20.64"/>
    <n v="10"/>
    <n v="0"/>
    <n v="0"/>
  </r>
  <r>
    <s v="OR0461"/>
    <x v="152"/>
    <x v="4"/>
    <x v="4"/>
    <n v="7"/>
    <n v="12"/>
    <n v="4.5599999999999996"/>
    <s v="C0188"/>
    <x v="30"/>
    <x v="1"/>
    <x v="4"/>
    <n v="84"/>
    <n v="31.919999999999998"/>
    <n v="52.08"/>
    <n v="12"/>
    <n v="0"/>
    <n v="1"/>
  </r>
  <r>
    <s v="OR0462"/>
    <x v="152"/>
    <x v="1"/>
    <x v="1"/>
    <n v="3"/>
    <n v="25"/>
    <n v="6.29"/>
    <s v="C0049"/>
    <x v="74"/>
    <x v="1"/>
    <x v="3"/>
    <n v="75"/>
    <n v="18.87"/>
    <n v="56.129999999999995"/>
    <n v="25"/>
    <n v="0"/>
    <n v="1"/>
  </r>
  <r>
    <s v="OR0463"/>
    <x v="152"/>
    <x v="2"/>
    <x v="2"/>
    <n v="2"/>
    <n v="40"/>
    <n v="8.93"/>
    <s v="C0087"/>
    <x v="49"/>
    <x v="3"/>
    <x v="3"/>
    <n v="80"/>
    <n v="17.86"/>
    <n v="62.14"/>
    <n v="40"/>
    <n v="0"/>
    <n v="0"/>
  </r>
  <r>
    <s v="OR0464"/>
    <x v="153"/>
    <x v="1"/>
    <x v="1"/>
    <n v="3"/>
    <n v="25"/>
    <n v="9.02"/>
    <s v="C0147"/>
    <x v="30"/>
    <x v="0"/>
    <x v="2"/>
    <n v="75"/>
    <n v="27.06"/>
    <n v="47.94"/>
    <n v="25"/>
    <n v="0"/>
    <n v="0"/>
  </r>
  <r>
    <s v="OR0465"/>
    <x v="153"/>
    <x v="4"/>
    <x v="4"/>
    <n v="2"/>
    <n v="12"/>
    <n v="4.6100000000000003"/>
    <s v="C0120"/>
    <x v="55"/>
    <x v="0"/>
    <x v="6"/>
    <n v="24"/>
    <n v="9.2200000000000006"/>
    <n v="14.78"/>
    <n v="12"/>
    <n v="0"/>
    <n v="0"/>
  </r>
  <r>
    <s v="OR0466"/>
    <x v="153"/>
    <x v="0"/>
    <x v="0"/>
    <n v="6"/>
    <n v="10"/>
    <n v="3.13"/>
    <s v="C0180"/>
    <x v="83"/>
    <x v="1"/>
    <x v="4"/>
    <n v="60"/>
    <n v="18.78"/>
    <n v="41.22"/>
    <n v="10"/>
    <n v="0"/>
    <n v="1"/>
  </r>
  <r>
    <s v="OR0467"/>
    <x v="153"/>
    <x v="2"/>
    <x v="2"/>
    <n v="4"/>
    <n v="40"/>
    <n v="10.47"/>
    <s v="C0039"/>
    <x v="0"/>
    <x v="0"/>
    <x v="7"/>
    <n v="160"/>
    <n v="41.88"/>
    <n v="118.12"/>
    <n v="40"/>
    <n v="0"/>
    <n v="0"/>
  </r>
  <r>
    <s v="OR0468"/>
    <x v="154"/>
    <x v="3"/>
    <x v="3"/>
    <n v="9"/>
    <n v="15"/>
    <n v="4.75"/>
    <s v="C0082"/>
    <x v="14"/>
    <x v="2"/>
    <x v="4"/>
    <n v="135"/>
    <n v="42.75"/>
    <n v="92.25"/>
    <n v="15"/>
    <n v="1"/>
    <n v="0"/>
  </r>
  <r>
    <s v="OR0469"/>
    <x v="155"/>
    <x v="3"/>
    <x v="3"/>
    <n v="5"/>
    <n v="15"/>
    <n v="4.28"/>
    <s v="C0132"/>
    <x v="97"/>
    <x v="1"/>
    <x v="5"/>
    <n v="75"/>
    <n v="21.400000000000002"/>
    <n v="53.599999999999994"/>
    <n v="15"/>
    <n v="0"/>
    <n v="1"/>
  </r>
  <r>
    <s v="OR0470"/>
    <x v="156"/>
    <x v="4"/>
    <x v="4"/>
    <n v="1"/>
    <n v="12"/>
    <n v="3.81"/>
    <s v="C0077"/>
    <x v="39"/>
    <x v="1"/>
    <x v="2"/>
    <n v="12"/>
    <n v="3.81"/>
    <n v="8.19"/>
    <n v="12"/>
    <n v="0"/>
    <n v="1"/>
  </r>
  <r>
    <s v="OR0471"/>
    <x v="156"/>
    <x v="4"/>
    <x v="4"/>
    <n v="3"/>
    <n v="12"/>
    <n v="4.78"/>
    <s v="C0057"/>
    <x v="54"/>
    <x v="1"/>
    <x v="7"/>
    <n v="36"/>
    <n v="14.34"/>
    <n v="21.66"/>
    <n v="12"/>
    <n v="0"/>
    <n v="1"/>
  </r>
  <r>
    <s v="OR0472"/>
    <x v="157"/>
    <x v="1"/>
    <x v="1"/>
    <n v="5"/>
    <n v="25"/>
    <n v="6.67"/>
    <s v="C0083"/>
    <x v="71"/>
    <x v="0"/>
    <x v="5"/>
    <n v="125"/>
    <n v="33.35"/>
    <n v="91.65"/>
    <n v="25"/>
    <n v="0"/>
    <n v="0"/>
  </r>
  <r>
    <s v="OR0473"/>
    <x v="158"/>
    <x v="4"/>
    <x v="4"/>
    <n v="2"/>
    <n v="12"/>
    <n v="3.25"/>
    <s v="C0036"/>
    <x v="93"/>
    <x v="0"/>
    <x v="1"/>
    <n v="24"/>
    <n v="6.5"/>
    <n v="17.5"/>
    <n v="12"/>
    <n v="0"/>
    <n v="0"/>
  </r>
  <r>
    <s v="OR0474"/>
    <x v="158"/>
    <x v="3"/>
    <x v="3"/>
    <n v="6"/>
    <n v="15"/>
    <n v="5.6"/>
    <s v="C0120"/>
    <x v="55"/>
    <x v="1"/>
    <x v="7"/>
    <n v="90"/>
    <n v="33.599999999999994"/>
    <n v="56.400000000000006"/>
    <n v="15"/>
    <n v="0"/>
    <n v="1"/>
  </r>
  <r>
    <s v="OR0475"/>
    <x v="158"/>
    <x v="0"/>
    <x v="0"/>
    <n v="8"/>
    <n v="10"/>
    <n v="2.0699999999999998"/>
    <s v="C0166"/>
    <x v="68"/>
    <x v="0"/>
    <x v="8"/>
    <n v="80"/>
    <n v="16.559999999999999"/>
    <n v="63.44"/>
    <n v="10"/>
    <n v="0"/>
    <n v="0"/>
  </r>
  <r>
    <s v="OR0476"/>
    <x v="159"/>
    <x v="3"/>
    <x v="3"/>
    <n v="6"/>
    <n v="15"/>
    <n v="4.13"/>
    <s v="C0164"/>
    <x v="34"/>
    <x v="3"/>
    <x v="1"/>
    <n v="90"/>
    <n v="24.78"/>
    <n v="65.22"/>
    <n v="15"/>
    <n v="0"/>
    <n v="0"/>
  </r>
  <r>
    <s v="OR0477"/>
    <x v="160"/>
    <x v="3"/>
    <x v="3"/>
    <n v="4"/>
    <n v="15"/>
    <n v="4.33"/>
    <s v="C0107"/>
    <x v="56"/>
    <x v="1"/>
    <x v="6"/>
    <n v="60"/>
    <n v="17.32"/>
    <n v="42.68"/>
    <n v="15"/>
    <n v="0"/>
    <n v="1"/>
  </r>
  <r>
    <s v="OR0478"/>
    <x v="160"/>
    <x v="1"/>
    <x v="1"/>
    <n v="5"/>
    <n v="25"/>
    <n v="9.07"/>
    <s v="C0035"/>
    <x v="16"/>
    <x v="1"/>
    <x v="1"/>
    <n v="125"/>
    <n v="45.35"/>
    <n v="79.650000000000006"/>
    <n v="25"/>
    <n v="0"/>
    <n v="1"/>
  </r>
  <r>
    <s v="OR0479"/>
    <x v="161"/>
    <x v="3"/>
    <x v="3"/>
    <n v="9"/>
    <n v="15"/>
    <n v="5.65"/>
    <s v="C0104"/>
    <x v="21"/>
    <x v="1"/>
    <x v="5"/>
    <n v="135"/>
    <n v="50.85"/>
    <n v="84.15"/>
    <n v="15"/>
    <n v="0"/>
    <n v="1"/>
  </r>
  <r>
    <s v="OR0480"/>
    <x v="161"/>
    <x v="4"/>
    <x v="4"/>
    <n v="2"/>
    <n v="12"/>
    <n v="3.36"/>
    <s v="C0186"/>
    <x v="98"/>
    <x v="1"/>
    <x v="4"/>
    <n v="24"/>
    <n v="6.72"/>
    <n v="17.28"/>
    <n v="12"/>
    <n v="0"/>
    <n v="1"/>
  </r>
  <r>
    <s v="OR0481"/>
    <x v="161"/>
    <x v="0"/>
    <x v="0"/>
    <n v="10"/>
    <n v="10"/>
    <n v="2.37"/>
    <s v="C0143"/>
    <x v="89"/>
    <x v="1"/>
    <x v="2"/>
    <n v="100"/>
    <n v="23.700000000000003"/>
    <n v="76.3"/>
    <n v="10"/>
    <n v="0"/>
    <n v="1"/>
  </r>
  <r>
    <s v="OR0482"/>
    <x v="162"/>
    <x v="3"/>
    <x v="3"/>
    <n v="9"/>
    <n v="15"/>
    <n v="3.76"/>
    <s v="C0164"/>
    <x v="34"/>
    <x v="0"/>
    <x v="7"/>
    <n v="135"/>
    <n v="33.839999999999996"/>
    <n v="101.16"/>
    <n v="15"/>
    <n v="0"/>
    <n v="0"/>
  </r>
  <r>
    <s v="OR0483"/>
    <x v="162"/>
    <x v="2"/>
    <x v="2"/>
    <n v="3"/>
    <n v="40"/>
    <n v="11.38"/>
    <s v="C0115"/>
    <x v="114"/>
    <x v="3"/>
    <x v="8"/>
    <n v="120"/>
    <n v="34.14"/>
    <n v="85.86"/>
    <n v="40"/>
    <n v="0"/>
    <n v="0"/>
  </r>
  <r>
    <s v="OR0484"/>
    <x v="162"/>
    <x v="0"/>
    <x v="0"/>
    <n v="8"/>
    <n v="10"/>
    <n v="3.88"/>
    <s v="C0107"/>
    <x v="56"/>
    <x v="1"/>
    <x v="0"/>
    <n v="80"/>
    <n v="31.04"/>
    <n v="48.96"/>
    <n v="10"/>
    <n v="0"/>
    <n v="1"/>
  </r>
  <r>
    <s v="OR0485"/>
    <x v="162"/>
    <x v="2"/>
    <x v="2"/>
    <n v="10"/>
    <n v="40"/>
    <n v="13.77"/>
    <s v="C0078"/>
    <x v="35"/>
    <x v="3"/>
    <x v="2"/>
    <n v="400"/>
    <n v="137.69999999999999"/>
    <n v="262.3"/>
    <n v="40"/>
    <n v="0"/>
    <n v="0"/>
  </r>
  <r>
    <s v="OR0486"/>
    <x v="163"/>
    <x v="2"/>
    <x v="2"/>
    <n v="6"/>
    <n v="40"/>
    <n v="8.89"/>
    <s v="C0064"/>
    <x v="46"/>
    <x v="1"/>
    <x v="5"/>
    <n v="240"/>
    <n v="53.34"/>
    <n v="186.66"/>
    <n v="40"/>
    <n v="0"/>
    <n v="1"/>
  </r>
  <r>
    <s v="OR0487"/>
    <x v="163"/>
    <x v="2"/>
    <x v="2"/>
    <n v="3"/>
    <n v="40"/>
    <n v="11.64"/>
    <s v="C0200"/>
    <x v="0"/>
    <x v="1"/>
    <x v="7"/>
    <n v="120"/>
    <n v="34.92"/>
    <n v="85.08"/>
    <n v="40"/>
    <n v="0"/>
    <n v="1"/>
  </r>
  <r>
    <s v="OR0488"/>
    <x v="163"/>
    <x v="3"/>
    <x v="3"/>
    <n v="6"/>
    <n v="15"/>
    <n v="4.5599999999999996"/>
    <s v="C0081"/>
    <x v="33"/>
    <x v="2"/>
    <x v="2"/>
    <n v="90"/>
    <n v="27.36"/>
    <n v="62.64"/>
    <n v="15"/>
    <n v="1"/>
    <n v="0"/>
  </r>
  <r>
    <s v="OR0489"/>
    <x v="163"/>
    <x v="4"/>
    <x v="4"/>
    <n v="5"/>
    <n v="12"/>
    <n v="4.3499999999999996"/>
    <s v="C0064"/>
    <x v="46"/>
    <x v="1"/>
    <x v="8"/>
    <n v="60"/>
    <n v="21.75"/>
    <n v="38.25"/>
    <n v="12"/>
    <n v="0"/>
    <n v="1"/>
  </r>
  <r>
    <s v="OR0490"/>
    <x v="164"/>
    <x v="1"/>
    <x v="1"/>
    <n v="10"/>
    <n v="25"/>
    <n v="6.8"/>
    <s v="C0014"/>
    <x v="18"/>
    <x v="1"/>
    <x v="3"/>
    <n v="250"/>
    <n v="68"/>
    <n v="182"/>
    <n v="25"/>
    <n v="0"/>
    <n v="1"/>
  </r>
  <r>
    <s v="OR0491"/>
    <x v="165"/>
    <x v="4"/>
    <x v="4"/>
    <n v="4"/>
    <n v="12"/>
    <n v="3.38"/>
    <s v="C0137"/>
    <x v="52"/>
    <x v="2"/>
    <x v="9"/>
    <n v="48"/>
    <n v="13.52"/>
    <n v="34.480000000000004"/>
    <n v="12"/>
    <n v="1"/>
    <n v="0"/>
  </r>
  <r>
    <s v="OR0492"/>
    <x v="165"/>
    <x v="0"/>
    <x v="0"/>
    <n v="4"/>
    <n v="10"/>
    <n v="3.23"/>
    <s v="C0159"/>
    <x v="105"/>
    <x v="2"/>
    <x v="9"/>
    <n v="40"/>
    <n v="12.92"/>
    <n v="27.08"/>
    <n v="10"/>
    <n v="1"/>
    <n v="0"/>
  </r>
  <r>
    <s v="OR0493"/>
    <x v="166"/>
    <x v="4"/>
    <x v="4"/>
    <n v="8"/>
    <n v="12"/>
    <n v="4.22"/>
    <s v="C0045"/>
    <x v="51"/>
    <x v="2"/>
    <x v="4"/>
    <n v="96"/>
    <n v="33.76"/>
    <n v="62.24"/>
    <n v="12"/>
    <n v="1"/>
    <n v="0"/>
  </r>
  <r>
    <s v="OR0494"/>
    <x v="166"/>
    <x v="4"/>
    <x v="4"/>
    <n v="9"/>
    <n v="12"/>
    <n v="4.3"/>
    <s v="C0176"/>
    <x v="9"/>
    <x v="0"/>
    <x v="1"/>
    <n v="108"/>
    <n v="38.699999999999996"/>
    <n v="69.300000000000011"/>
    <n v="12"/>
    <n v="0"/>
    <n v="0"/>
  </r>
  <r>
    <s v="OR0495"/>
    <x v="166"/>
    <x v="4"/>
    <x v="4"/>
    <n v="7"/>
    <n v="12"/>
    <n v="2.96"/>
    <s v="C0095"/>
    <x v="61"/>
    <x v="1"/>
    <x v="9"/>
    <n v="84"/>
    <n v="20.72"/>
    <n v="63.28"/>
    <n v="12"/>
    <n v="0"/>
    <n v="1"/>
  </r>
  <r>
    <s v="OR0496"/>
    <x v="167"/>
    <x v="0"/>
    <x v="0"/>
    <n v="9"/>
    <n v="10"/>
    <n v="2.59"/>
    <s v="C0087"/>
    <x v="49"/>
    <x v="1"/>
    <x v="7"/>
    <n v="90"/>
    <n v="23.31"/>
    <n v="66.69"/>
    <n v="10"/>
    <n v="0"/>
    <n v="1"/>
  </r>
  <r>
    <s v="OR0497"/>
    <x v="167"/>
    <x v="4"/>
    <x v="4"/>
    <n v="10"/>
    <n v="12"/>
    <n v="4.32"/>
    <s v="C0045"/>
    <x v="51"/>
    <x v="1"/>
    <x v="6"/>
    <n v="120"/>
    <n v="43.2"/>
    <n v="76.8"/>
    <n v="12"/>
    <n v="0"/>
    <n v="1"/>
  </r>
  <r>
    <s v="OR0498"/>
    <x v="167"/>
    <x v="2"/>
    <x v="2"/>
    <n v="1"/>
    <n v="40"/>
    <n v="10.67"/>
    <s v="C0034"/>
    <x v="40"/>
    <x v="1"/>
    <x v="9"/>
    <n v="40"/>
    <n v="10.67"/>
    <n v="29.33"/>
    <n v="40"/>
    <n v="0"/>
    <n v="1"/>
  </r>
  <r>
    <s v="OR0499"/>
    <x v="167"/>
    <x v="2"/>
    <x v="2"/>
    <n v="3"/>
    <n v="40"/>
    <n v="9.52"/>
    <s v="C0195"/>
    <x v="56"/>
    <x v="1"/>
    <x v="6"/>
    <n v="120"/>
    <n v="28.56"/>
    <n v="91.44"/>
    <n v="40"/>
    <n v="0"/>
    <n v="1"/>
  </r>
  <r>
    <s v="OR0500"/>
    <x v="167"/>
    <x v="2"/>
    <x v="2"/>
    <n v="8"/>
    <n v="40"/>
    <n v="13.53"/>
    <s v="C0013"/>
    <x v="16"/>
    <x v="1"/>
    <x v="5"/>
    <n v="320"/>
    <n v="108.24"/>
    <n v="211.76"/>
    <n v="40"/>
    <n v="0"/>
    <n v="1"/>
  </r>
  <r>
    <s v="OR0501"/>
    <x v="168"/>
    <x v="2"/>
    <x v="2"/>
    <n v="2"/>
    <n v="40"/>
    <n v="11.47"/>
    <s v="C0110"/>
    <x v="26"/>
    <x v="1"/>
    <x v="8"/>
    <n v="80"/>
    <n v="22.94"/>
    <n v="57.06"/>
    <n v="40"/>
    <n v="0"/>
    <n v="1"/>
  </r>
  <r>
    <s v="OR0502"/>
    <x v="168"/>
    <x v="1"/>
    <x v="1"/>
    <n v="4"/>
    <n v="25"/>
    <n v="6.06"/>
    <s v="C0169"/>
    <x v="56"/>
    <x v="0"/>
    <x v="7"/>
    <n v="100"/>
    <n v="24.24"/>
    <n v="75.760000000000005"/>
    <n v="25"/>
    <n v="0"/>
    <n v="0"/>
  </r>
  <r>
    <s v="OR0503"/>
    <x v="169"/>
    <x v="3"/>
    <x v="3"/>
    <n v="5"/>
    <n v="15"/>
    <n v="3.29"/>
    <s v="C0168"/>
    <x v="62"/>
    <x v="1"/>
    <x v="8"/>
    <n v="75"/>
    <n v="16.45"/>
    <n v="58.55"/>
    <n v="15"/>
    <n v="0"/>
    <n v="1"/>
  </r>
  <r>
    <s v="OR0504"/>
    <x v="169"/>
    <x v="4"/>
    <x v="4"/>
    <n v="9"/>
    <n v="12"/>
    <n v="4.29"/>
    <s v="C0096"/>
    <x v="82"/>
    <x v="1"/>
    <x v="1"/>
    <n v="108"/>
    <n v="38.61"/>
    <n v="69.39"/>
    <n v="12"/>
    <n v="0"/>
    <n v="1"/>
  </r>
  <r>
    <s v="OR0505"/>
    <x v="169"/>
    <x v="4"/>
    <x v="4"/>
    <n v="4"/>
    <n v="12"/>
    <n v="3.42"/>
    <s v="C0091"/>
    <x v="72"/>
    <x v="1"/>
    <x v="8"/>
    <n v="48"/>
    <n v="13.68"/>
    <n v="34.32"/>
    <n v="12"/>
    <n v="0"/>
    <n v="1"/>
  </r>
  <r>
    <s v="OR0506"/>
    <x v="170"/>
    <x v="3"/>
    <x v="3"/>
    <n v="6"/>
    <n v="15"/>
    <n v="5.73"/>
    <s v="C0163"/>
    <x v="95"/>
    <x v="0"/>
    <x v="4"/>
    <n v="90"/>
    <n v="34.380000000000003"/>
    <n v="55.62"/>
    <n v="15"/>
    <n v="0"/>
    <n v="0"/>
  </r>
  <r>
    <s v="OR0507"/>
    <x v="171"/>
    <x v="4"/>
    <x v="4"/>
    <n v="7"/>
    <n v="12"/>
    <n v="4.74"/>
    <s v="C0021"/>
    <x v="37"/>
    <x v="1"/>
    <x v="3"/>
    <n v="84"/>
    <n v="33.18"/>
    <n v="50.82"/>
    <n v="12"/>
    <n v="0"/>
    <n v="1"/>
  </r>
  <r>
    <s v="OR0508"/>
    <x v="171"/>
    <x v="4"/>
    <x v="4"/>
    <n v="3"/>
    <n v="12"/>
    <n v="2.81"/>
    <s v="C0160"/>
    <x v="19"/>
    <x v="1"/>
    <x v="5"/>
    <n v="36"/>
    <n v="8.43"/>
    <n v="27.57"/>
    <n v="12"/>
    <n v="0"/>
    <n v="1"/>
  </r>
  <r>
    <s v="OR0509"/>
    <x v="171"/>
    <x v="2"/>
    <x v="2"/>
    <n v="6"/>
    <n v="40"/>
    <n v="12.24"/>
    <s v="C0073"/>
    <x v="38"/>
    <x v="1"/>
    <x v="6"/>
    <n v="240"/>
    <n v="73.44"/>
    <n v="166.56"/>
    <n v="40"/>
    <n v="0"/>
    <n v="1"/>
  </r>
  <r>
    <s v="OR0510"/>
    <x v="172"/>
    <x v="4"/>
    <x v="4"/>
    <n v="10"/>
    <n v="12"/>
    <n v="4.72"/>
    <s v="C0171"/>
    <x v="59"/>
    <x v="1"/>
    <x v="5"/>
    <n v="120"/>
    <n v="47.199999999999996"/>
    <n v="72.800000000000011"/>
    <n v="12"/>
    <n v="0"/>
    <n v="1"/>
  </r>
  <r>
    <s v="OR0511"/>
    <x v="173"/>
    <x v="4"/>
    <x v="4"/>
    <n v="4"/>
    <n v="12"/>
    <n v="2.85"/>
    <s v="C0179"/>
    <x v="20"/>
    <x v="1"/>
    <x v="5"/>
    <n v="48"/>
    <n v="11.4"/>
    <n v="36.6"/>
    <n v="12"/>
    <n v="0"/>
    <n v="1"/>
  </r>
  <r>
    <s v="OR0512"/>
    <x v="173"/>
    <x v="3"/>
    <x v="3"/>
    <n v="4"/>
    <n v="15"/>
    <n v="5.4"/>
    <s v="C0093"/>
    <x v="76"/>
    <x v="1"/>
    <x v="0"/>
    <n v="60"/>
    <n v="21.6"/>
    <n v="38.4"/>
    <n v="15"/>
    <n v="0"/>
    <n v="1"/>
  </r>
  <r>
    <s v="OR0513"/>
    <x v="173"/>
    <x v="0"/>
    <x v="0"/>
    <n v="6"/>
    <n v="10"/>
    <n v="3.63"/>
    <s v="C0183"/>
    <x v="1"/>
    <x v="0"/>
    <x v="3"/>
    <n v="60"/>
    <n v="21.78"/>
    <n v="38.22"/>
    <n v="10"/>
    <n v="0"/>
    <n v="0"/>
  </r>
  <r>
    <s v="OR0514"/>
    <x v="173"/>
    <x v="2"/>
    <x v="2"/>
    <n v="9"/>
    <n v="40"/>
    <n v="10.5"/>
    <s v="C0168"/>
    <x v="62"/>
    <x v="0"/>
    <x v="9"/>
    <n v="360"/>
    <n v="94.5"/>
    <n v="265.5"/>
    <n v="40"/>
    <n v="0"/>
    <n v="0"/>
  </r>
  <r>
    <s v="OR0515"/>
    <x v="173"/>
    <x v="1"/>
    <x v="1"/>
    <n v="10"/>
    <n v="25"/>
    <n v="9.86"/>
    <s v="C0089"/>
    <x v="115"/>
    <x v="1"/>
    <x v="9"/>
    <n v="250"/>
    <n v="98.6"/>
    <n v="151.4"/>
    <n v="25"/>
    <n v="0"/>
    <n v="1"/>
  </r>
  <r>
    <s v="OR0516"/>
    <x v="174"/>
    <x v="1"/>
    <x v="1"/>
    <n v="6"/>
    <n v="25"/>
    <n v="9.43"/>
    <s v="C0023"/>
    <x v="63"/>
    <x v="1"/>
    <x v="7"/>
    <n v="150"/>
    <n v="56.58"/>
    <n v="93.42"/>
    <n v="25"/>
    <n v="0"/>
    <n v="1"/>
  </r>
  <r>
    <s v="OR0517"/>
    <x v="174"/>
    <x v="1"/>
    <x v="1"/>
    <n v="10"/>
    <n v="25"/>
    <n v="6.74"/>
    <s v="C0188"/>
    <x v="30"/>
    <x v="1"/>
    <x v="1"/>
    <n v="250"/>
    <n v="67.400000000000006"/>
    <n v="182.6"/>
    <n v="25"/>
    <n v="0"/>
    <n v="1"/>
  </r>
  <r>
    <s v="OR0518"/>
    <x v="174"/>
    <x v="0"/>
    <x v="0"/>
    <n v="3"/>
    <n v="10"/>
    <n v="2.65"/>
    <s v="C0194"/>
    <x v="60"/>
    <x v="1"/>
    <x v="4"/>
    <n v="30"/>
    <n v="7.9499999999999993"/>
    <n v="22.05"/>
    <n v="10"/>
    <n v="0"/>
    <n v="1"/>
  </r>
  <r>
    <s v="OR0519"/>
    <x v="174"/>
    <x v="1"/>
    <x v="1"/>
    <n v="4"/>
    <n v="25"/>
    <n v="6.09"/>
    <s v="C0022"/>
    <x v="32"/>
    <x v="1"/>
    <x v="2"/>
    <n v="100"/>
    <n v="24.36"/>
    <n v="75.64"/>
    <n v="25"/>
    <n v="0"/>
    <n v="1"/>
  </r>
  <r>
    <s v="OR0520"/>
    <x v="175"/>
    <x v="0"/>
    <x v="0"/>
    <n v="4"/>
    <n v="10"/>
    <n v="3.41"/>
    <s v="C0090"/>
    <x v="116"/>
    <x v="1"/>
    <x v="8"/>
    <n v="40"/>
    <n v="13.64"/>
    <n v="26.36"/>
    <n v="10"/>
    <n v="0"/>
    <n v="1"/>
  </r>
  <r>
    <s v="OR0521"/>
    <x v="175"/>
    <x v="2"/>
    <x v="2"/>
    <n v="10"/>
    <n v="40"/>
    <n v="14.88"/>
    <s v="C0053"/>
    <x v="6"/>
    <x v="3"/>
    <x v="4"/>
    <n v="400"/>
    <n v="148.80000000000001"/>
    <n v="251.2"/>
    <n v="40"/>
    <n v="0"/>
    <n v="0"/>
  </r>
  <r>
    <s v="OR0522"/>
    <x v="176"/>
    <x v="2"/>
    <x v="2"/>
    <n v="8"/>
    <n v="40"/>
    <n v="13.65"/>
    <s v="C0112"/>
    <x v="70"/>
    <x v="0"/>
    <x v="8"/>
    <n v="320"/>
    <n v="109.2"/>
    <n v="210.8"/>
    <n v="40"/>
    <n v="0"/>
    <n v="0"/>
  </r>
  <r>
    <s v="OR0523"/>
    <x v="176"/>
    <x v="1"/>
    <x v="1"/>
    <n v="6"/>
    <n v="25"/>
    <n v="5.28"/>
    <s v="C0125"/>
    <x v="83"/>
    <x v="3"/>
    <x v="9"/>
    <n v="150"/>
    <n v="31.68"/>
    <n v="118.32"/>
    <n v="25"/>
    <n v="0"/>
    <n v="0"/>
  </r>
  <r>
    <s v="OR0524"/>
    <x v="176"/>
    <x v="1"/>
    <x v="1"/>
    <n v="2"/>
    <n v="25"/>
    <n v="8.89"/>
    <s v="C0168"/>
    <x v="62"/>
    <x v="1"/>
    <x v="5"/>
    <n v="50"/>
    <n v="17.78"/>
    <n v="32.22"/>
    <n v="25"/>
    <n v="0"/>
    <n v="1"/>
  </r>
  <r>
    <s v="OR0525"/>
    <x v="176"/>
    <x v="4"/>
    <x v="4"/>
    <n v="6"/>
    <n v="12"/>
    <n v="4.28"/>
    <s v="C0182"/>
    <x v="57"/>
    <x v="2"/>
    <x v="1"/>
    <n v="72"/>
    <n v="25.68"/>
    <n v="46.32"/>
    <n v="12"/>
    <n v="1"/>
    <n v="0"/>
  </r>
  <r>
    <s v="OR0526"/>
    <x v="177"/>
    <x v="0"/>
    <x v="0"/>
    <n v="8"/>
    <n v="10"/>
    <n v="3.74"/>
    <s v="C0124"/>
    <x v="15"/>
    <x v="0"/>
    <x v="4"/>
    <n v="80"/>
    <n v="29.92"/>
    <n v="50.08"/>
    <n v="10"/>
    <n v="0"/>
    <n v="0"/>
  </r>
  <r>
    <s v="OR0527"/>
    <x v="177"/>
    <x v="1"/>
    <x v="1"/>
    <n v="3"/>
    <n v="25"/>
    <n v="5.52"/>
    <s v="C0189"/>
    <x v="42"/>
    <x v="1"/>
    <x v="6"/>
    <n v="75"/>
    <n v="16.559999999999999"/>
    <n v="58.44"/>
    <n v="25"/>
    <n v="0"/>
    <n v="1"/>
  </r>
  <r>
    <s v="OR0528"/>
    <x v="177"/>
    <x v="2"/>
    <x v="2"/>
    <n v="6"/>
    <n v="40"/>
    <n v="11.74"/>
    <s v="C0069"/>
    <x v="3"/>
    <x v="1"/>
    <x v="0"/>
    <n v="240"/>
    <n v="70.44"/>
    <n v="169.56"/>
    <n v="40"/>
    <n v="0"/>
    <n v="1"/>
  </r>
  <r>
    <s v="OR0529"/>
    <x v="178"/>
    <x v="3"/>
    <x v="3"/>
    <n v="2"/>
    <n v="15"/>
    <n v="4.2699999999999996"/>
    <s v="C0175"/>
    <x v="79"/>
    <x v="0"/>
    <x v="6"/>
    <n v="30"/>
    <n v="8.5399999999999991"/>
    <n v="21.46"/>
    <n v="15"/>
    <n v="0"/>
    <n v="0"/>
  </r>
  <r>
    <s v="OR0530"/>
    <x v="178"/>
    <x v="1"/>
    <x v="1"/>
    <n v="10"/>
    <n v="25"/>
    <n v="9.14"/>
    <s v="C0127"/>
    <x v="22"/>
    <x v="0"/>
    <x v="4"/>
    <n v="250"/>
    <n v="91.4"/>
    <n v="158.6"/>
    <n v="25"/>
    <n v="0"/>
    <n v="0"/>
  </r>
  <r>
    <s v="OR0531"/>
    <x v="178"/>
    <x v="2"/>
    <x v="2"/>
    <n v="9"/>
    <n v="40"/>
    <n v="15.55"/>
    <s v="C0007"/>
    <x v="65"/>
    <x v="1"/>
    <x v="4"/>
    <n v="360"/>
    <n v="139.95000000000002"/>
    <n v="220.04999999999998"/>
    <n v="40"/>
    <n v="0"/>
    <n v="1"/>
  </r>
  <r>
    <s v="OR0532"/>
    <x v="178"/>
    <x v="2"/>
    <x v="2"/>
    <n v="7"/>
    <n v="40"/>
    <n v="11.99"/>
    <s v="C0197"/>
    <x v="68"/>
    <x v="1"/>
    <x v="6"/>
    <n v="280"/>
    <n v="83.93"/>
    <n v="196.07"/>
    <n v="40"/>
    <n v="0"/>
    <n v="1"/>
  </r>
  <r>
    <s v="OR0533"/>
    <x v="179"/>
    <x v="3"/>
    <x v="3"/>
    <n v="4"/>
    <n v="15"/>
    <n v="4.22"/>
    <s v="C0113"/>
    <x v="12"/>
    <x v="3"/>
    <x v="2"/>
    <n v="60"/>
    <n v="16.88"/>
    <n v="43.120000000000005"/>
    <n v="15"/>
    <n v="0"/>
    <n v="0"/>
  </r>
  <r>
    <s v="OR0534"/>
    <x v="180"/>
    <x v="4"/>
    <x v="4"/>
    <n v="5"/>
    <n v="12"/>
    <n v="4.4800000000000004"/>
    <s v="C0187"/>
    <x v="48"/>
    <x v="3"/>
    <x v="2"/>
    <n v="60"/>
    <n v="22.400000000000002"/>
    <n v="37.599999999999994"/>
    <n v="12"/>
    <n v="0"/>
    <n v="0"/>
  </r>
  <r>
    <s v="OR0535"/>
    <x v="180"/>
    <x v="3"/>
    <x v="3"/>
    <n v="2"/>
    <n v="15"/>
    <n v="4.96"/>
    <s v="C0025"/>
    <x v="58"/>
    <x v="0"/>
    <x v="2"/>
    <n v="30"/>
    <n v="9.92"/>
    <n v="20.079999999999998"/>
    <n v="15"/>
    <n v="0"/>
    <n v="0"/>
  </r>
  <r>
    <s v="OR0536"/>
    <x v="181"/>
    <x v="1"/>
    <x v="1"/>
    <n v="5"/>
    <n v="25"/>
    <n v="7.6"/>
    <s v="C0158"/>
    <x v="36"/>
    <x v="1"/>
    <x v="1"/>
    <n v="125"/>
    <n v="38"/>
    <n v="87"/>
    <n v="25"/>
    <n v="0"/>
    <n v="1"/>
  </r>
  <r>
    <s v="OR0537"/>
    <x v="182"/>
    <x v="4"/>
    <x v="4"/>
    <n v="5"/>
    <n v="12"/>
    <n v="3.87"/>
    <s v="C0098"/>
    <x v="98"/>
    <x v="0"/>
    <x v="5"/>
    <n v="60"/>
    <n v="19.350000000000001"/>
    <n v="40.65"/>
    <n v="12"/>
    <n v="0"/>
    <n v="0"/>
  </r>
  <r>
    <s v="OR0538"/>
    <x v="182"/>
    <x v="3"/>
    <x v="3"/>
    <n v="6"/>
    <n v="15"/>
    <n v="3.58"/>
    <s v="C0051"/>
    <x v="16"/>
    <x v="1"/>
    <x v="8"/>
    <n v="90"/>
    <n v="21.48"/>
    <n v="68.52"/>
    <n v="15"/>
    <n v="0"/>
    <n v="1"/>
  </r>
  <r>
    <s v="OR0539"/>
    <x v="183"/>
    <x v="3"/>
    <x v="3"/>
    <n v="10"/>
    <n v="15"/>
    <n v="5.77"/>
    <s v="C0044"/>
    <x v="78"/>
    <x v="1"/>
    <x v="8"/>
    <n v="150"/>
    <n v="57.699999999999996"/>
    <n v="92.300000000000011"/>
    <n v="15"/>
    <n v="0"/>
    <n v="1"/>
  </r>
  <r>
    <s v="OR0540"/>
    <x v="184"/>
    <x v="2"/>
    <x v="2"/>
    <n v="3"/>
    <n v="40"/>
    <n v="12.58"/>
    <s v="C0198"/>
    <x v="109"/>
    <x v="1"/>
    <x v="0"/>
    <n v="120"/>
    <n v="37.74"/>
    <n v="82.259999999999991"/>
    <n v="40"/>
    <n v="0"/>
    <n v="1"/>
  </r>
  <r>
    <s v="OR0541"/>
    <x v="184"/>
    <x v="3"/>
    <x v="3"/>
    <n v="9"/>
    <n v="15"/>
    <n v="5.0599999999999996"/>
    <s v="C0037"/>
    <x v="64"/>
    <x v="3"/>
    <x v="0"/>
    <n v="135"/>
    <n v="45.54"/>
    <n v="89.460000000000008"/>
    <n v="15"/>
    <n v="0"/>
    <n v="0"/>
  </r>
  <r>
    <s v="OR0542"/>
    <x v="184"/>
    <x v="3"/>
    <x v="3"/>
    <n v="9"/>
    <n v="15"/>
    <n v="4.67"/>
    <s v="C0125"/>
    <x v="83"/>
    <x v="1"/>
    <x v="9"/>
    <n v="135"/>
    <n v="42.03"/>
    <n v="92.97"/>
    <n v="15"/>
    <n v="0"/>
    <n v="1"/>
  </r>
  <r>
    <s v="OR0543"/>
    <x v="185"/>
    <x v="0"/>
    <x v="0"/>
    <n v="10"/>
    <n v="10"/>
    <n v="2.2200000000000002"/>
    <s v="C0040"/>
    <x v="84"/>
    <x v="2"/>
    <x v="2"/>
    <n v="100"/>
    <n v="22.200000000000003"/>
    <n v="77.8"/>
    <n v="10"/>
    <n v="1"/>
    <n v="0"/>
  </r>
  <r>
    <s v="OR0544"/>
    <x v="186"/>
    <x v="0"/>
    <x v="0"/>
    <n v="2"/>
    <n v="10"/>
    <n v="2.02"/>
    <s v="C0070"/>
    <x v="117"/>
    <x v="0"/>
    <x v="7"/>
    <n v="20"/>
    <n v="4.04"/>
    <n v="15.96"/>
    <n v="10"/>
    <n v="0"/>
    <n v="0"/>
  </r>
  <r>
    <s v="OR0545"/>
    <x v="186"/>
    <x v="4"/>
    <x v="4"/>
    <n v="5"/>
    <n v="12"/>
    <n v="2.5099999999999998"/>
    <s v="C0103"/>
    <x v="3"/>
    <x v="1"/>
    <x v="6"/>
    <n v="60"/>
    <n v="12.549999999999999"/>
    <n v="47.45"/>
    <n v="12"/>
    <n v="0"/>
    <n v="1"/>
  </r>
  <r>
    <s v="OR0546"/>
    <x v="186"/>
    <x v="0"/>
    <x v="0"/>
    <n v="4"/>
    <n v="10"/>
    <n v="3.9"/>
    <s v="C0146"/>
    <x v="58"/>
    <x v="0"/>
    <x v="2"/>
    <n v="40"/>
    <n v="15.6"/>
    <n v="24.4"/>
    <n v="10"/>
    <n v="0"/>
    <n v="0"/>
  </r>
  <r>
    <s v="OR0547"/>
    <x v="186"/>
    <x v="2"/>
    <x v="2"/>
    <n v="10"/>
    <n v="40"/>
    <n v="14.94"/>
    <s v="C0118"/>
    <x v="105"/>
    <x v="0"/>
    <x v="5"/>
    <n v="400"/>
    <n v="149.4"/>
    <n v="250.6"/>
    <n v="40"/>
    <n v="0"/>
    <n v="0"/>
  </r>
  <r>
    <s v="OR0548"/>
    <x v="187"/>
    <x v="3"/>
    <x v="3"/>
    <n v="6"/>
    <n v="15"/>
    <n v="3.49"/>
    <s v="C0104"/>
    <x v="21"/>
    <x v="3"/>
    <x v="3"/>
    <n v="90"/>
    <n v="20.94"/>
    <n v="69.06"/>
    <n v="15"/>
    <n v="0"/>
    <n v="0"/>
  </r>
  <r>
    <s v="OR0549"/>
    <x v="187"/>
    <x v="2"/>
    <x v="2"/>
    <n v="1"/>
    <n v="40"/>
    <n v="10.89"/>
    <s v="C0200"/>
    <x v="0"/>
    <x v="1"/>
    <x v="6"/>
    <n v="40"/>
    <n v="10.89"/>
    <n v="29.11"/>
    <n v="40"/>
    <n v="0"/>
    <n v="1"/>
  </r>
  <r>
    <s v="OR0550"/>
    <x v="187"/>
    <x v="1"/>
    <x v="1"/>
    <n v="3"/>
    <n v="25"/>
    <n v="6.64"/>
    <s v="C0177"/>
    <x v="110"/>
    <x v="1"/>
    <x v="4"/>
    <n v="75"/>
    <n v="19.919999999999998"/>
    <n v="55.08"/>
    <n v="25"/>
    <n v="0"/>
    <n v="1"/>
  </r>
  <r>
    <s v="OR0551"/>
    <x v="187"/>
    <x v="1"/>
    <x v="1"/>
    <n v="5"/>
    <n v="25"/>
    <n v="5.76"/>
    <s v="C0131"/>
    <x v="69"/>
    <x v="1"/>
    <x v="4"/>
    <n v="125"/>
    <n v="28.799999999999997"/>
    <n v="96.2"/>
    <n v="25"/>
    <n v="0"/>
    <n v="1"/>
  </r>
  <r>
    <s v="OR0552"/>
    <x v="187"/>
    <x v="3"/>
    <x v="3"/>
    <n v="2"/>
    <n v="15"/>
    <n v="5.21"/>
    <s v="C0098"/>
    <x v="98"/>
    <x v="1"/>
    <x v="1"/>
    <n v="30"/>
    <n v="10.42"/>
    <n v="19.579999999999998"/>
    <n v="15"/>
    <n v="0"/>
    <n v="1"/>
  </r>
  <r>
    <s v="OR0553"/>
    <x v="188"/>
    <x v="0"/>
    <x v="0"/>
    <n v="3"/>
    <n v="10"/>
    <n v="3.27"/>
    <s v="C0126"/>
    <x v="90"/>
    <x v="0"/>
    <x v="7"/>
    <n v="30"/>
    <n v="9.81"/>
    <n v="20.189999999999998"/>
    <n v="10"/>
    <n v="0"/>
    <n v="0"/>
  </r>
  <r>
    <s v="OR0554"/>
    <x v="188"/>
    <x v="3"/>
    <x v="3"/>
    <n v="4"/>
    <n v="15"/>
    <n v="5.98"/>
    <s v="C0118"/>
    <x v="105"/>
    <x v="1"/>
    <x v="4"/>
    <n v="60"/>
    <n v="23.92"/>
    <n v="36.08"/>
    <n v="15"/>
    <n v="0"/>
    <n v="1"/>
  </r>
  <r>
    <s v="OR0555"/>
    <x v="189"/>
    <x v="0"/>
    <x v="0"/>
    <n v="4"/>
    <n v="10"/>
    <n v="2.38"/>
    <s v="C0050"/>
    <x v="74"/>
    <x v="2"/>
    <x v="1"/>
    <n v="40"/>
    <n v="9.52"/>
    <n v="30.48"/>
    <n v="10"/>
    <n v="1"/>
    <n v="0"/>
  </r>
  <r>
    <s v="OR0556"/>
    <x v="189"/>
    <x v="3"/>
    <x v="3"/>
    <n v="7"/>
    <n v="15"/>
    <n v="4.13"/>
    <s v="C0041"/>
    <x v="45"/>
    <x v="1"/>
    <x v="9"/>
    <n v="105"/>
    <n v="28.91"/>
    <n v="76.09"/>
    <n v="15"/>
    <n v="0"/>
    <n v="1"/>
  </r>
  <r>
    <s v="OR0557"/>
    <x v="189"/>
    <x v="1"/>
    <x v="1"/>
    <n v="5"/>
    <n v="25"/>
    <n v="9.35"/>
    <s v="C0193"/>
    <x v="67"/>
    <x v="1"/>
    <x v="8"/>
    <n v="125"/>
    <n v="46.75"/>
    <n v="78.25"/>
    <n v="25"/>
    <n v="0"/>
    <n v="1"/>
  </r>
  <r>
    <s v="OR0558"/>
    <x v="189"/>
    <x v="3"/>
    <x v="3"/>
    <n v="8"/>
    <n v="15"/>
    <n v="3.62"/>
    <s v="C0184"/>
    <x v="11"/>
    <x v="2"/>
    <x v="7"/>
    <n v="120"/>
    <n v="28.96"/>
    <n v="91.039999999999992"/>
    <n v="15"/>
    <n v="1"/>
    <n v="0"/>
  </r>
  <r>
    <s v="OR0559"/>
    <x v="190"/>
    <x v="1"/>
    <x v="1"/>
    <n v="5"/>
    <n v="25"/>
    <n v="8.68"/>
    <s v="C0050"/>
    <x v="74"/>
    <x v="1"/>
    <x v="0"/>
    <n v="125"/>
    <n v="43.4"/>
    <n v="81.599999999999994"/>
    <n v="25"/>
    <n v="0"/>
    <n v="1"/>
  </r>
  <r>
    <s v="OR0560"/>
    <x v="190"/>
    <x v="3"/>
    <x v="3"/>
    <n v="10"/>
    <n v="15"/>
    <n v="3.4"/>
    <s v="C0015"/>
    <x v="77"/>
    <x v="3"/>
    <x v="1"/>
    <n v="150"/>
    <n v="34"/>
    <n v="116"/>
    <n v="15"/>
    <n v="0"/>
    <n v="0"/>
  </r>
  <r>
    <s v="OR0561"/>
    <x v="190"/>
    <x v="2"/>
    <x v="2"/>
    <n v="2"/>
    <n v="40"/>
    <n v="9.3000000000000007"/>
    <s v="C0165"/>
    <x v="8"/>
    <x v="1"/>
    <x v="9"/>
    <n v="80"/>
    <n v="18.600000000000001"/>
    <n v="61.4"/>
    <n v="40"/>
    <n v="0"/>
    <n v="1"/>
  </r>
  <r>
    <s v="OR0562"/>
    <x v="190"/>
    <x v="3"/>
    <x v="3"/>
    <n v="7"/>
    <n v="15"/>
    <n v="3.65"/>
    <s v="C0019"/>
    <x v="118"/>
    <x v="2"/>
    <x v="0"/>
    <n v="105"/>
    <n v="25.55"/>
    <n v="79.45"/>
    <n v="15"/>
    <n v="1"/>
    <n v="0"/>
  </r>
  <r>
    <s v="OR0563"/>
    <x v="190"/>
    <x v="2"/>
    <x v="2"/>
    <n v="2"/>
    <n v="40"/>
    <n v="14.04"/>
    <s v="C0197"/>
    <x v="68"/>
    <x v="0"/>
    <x v="3"/>
    <n v="80"/>
    <n v="28.08"/>
    <n v="51.92"/>
    <n v="40"/>
    <n v="0"/>
    <n v="0"/>
  </r>
  <r>
    <s v="OR0564"/>
    <x v="191"/>
    <x v="1"/>
    <x v="1"/>
    <n v="2"/>
    <n v="25"/>
    <n v="9.57"/>
    <s v="C0002"/>
    <x v="43"/>
    <x v="1"/>
    <x v="6"/>
    <n v="50"/>
    <n v="19.14"/>
    <n v="30.86"/>
    <n v="25"/>
    <n v="0"/>
    <n v="1"/>
  </r>
  <r>
    <s v="OR0565"/>
    <x v="192"/>
    <x v="2"/>
    <x v="2"/>
    <n v="3"/>
    <n v="40"/>
    <n v="12.77"/>
    <s v="C0083"/>
    <x v="71"/>
    <x v="1"/>
    <x v="7"/>
    <n v="120"/>
    <n v="38.31"/>
    <n v="81.69"/>
    <n v="40"/>
    <n v="0"/>
    <n v="1"/>
  </r>
  <r>
    <s v="OR0566"/>
    <x v="193"/>
    <x v="3"/>
    <x v="3"/>
    <n v="8"/>
    <n v="15"/>
    <n v="4.2699999999999996"/>
    <s v="C0030"/>
    <x v="34"/>
    <x v="0"/>
    <x v="5"/>
    <n v="120"/>
    <n v="34.159999999999997"/>
    <n v="85.84"/>
    <n v="15"/>
    <n v="0"/>
    <n v="0"/>
  </r>
  <r>
    <s v="OR0567"/>
    <x v="193"/>
    <x v="1"/>
    <x v="1"/>
    <n v="4"/>
    <n v="25"/>
    <n v="8.75"/>
    <s v="C0097"/>
    <x v="26"/>
    <x v="1"/>
    <x v="5"/>
    <n v="100"/>
    <n v="35"/>
    <n v="65"/>
    <n v="25"/>
    <n v="0"/>
    <n v="1"/>
  </r>
  <r>
    <s v="OR0568"/>
    <x v="193"/>
    <x v="2"/>
    <x v="2"/>
    <n v="3"/>
    <n v="40"/>
    <n v="9.3699999999999992"/>
    <s v="C0170"/>
    <x v="48"/>
    <x v="1"/>
    <x v="0"/>
    <n v="120"/>
    <n v="28.11"/>
    <n v="91.89"/>
    <n v="40"/>
    <n v="0"/>
    <n v="1"/>
  </r>
  <r>
    <s v="OR0569"/>
    <x v="194"/>
    <x v="2"/>
    <x v="2"/>
    <n v="5"/>
    <n v="40"/>
    <n v="11"/>
    <s v="C0156"/>
    <x v="18"/>
    <x v="1"/>
    <x v="7"/>
    <n v="200"/>
    <n v="55"/>
    <n v="145"/>
    <n v="40"/>
    <n v="0"/>
    <n v="1"/>
  </r>
  <r>
    <s v="OR0570"/>
    <x v="194"/>
    <x v="1"/>
    <x v="1"/>
    <n v="10"/>
    <n v="25"/>
    <n v="5.0999999999999996"/>
    <s v="C0085"/>
    <x v="29"/>
    <x v="1"/>
    <x v="8"/>
    <n v="250"/>
    <n v="51"/>
    <n v="199"/>
    <n v="25"/>
    <n v="0"/>
    <n v="1"/>
  </r>
  <r>
    <s v="OR0571"/>
    <x v="194"/>
    <x v="2"/>
    <x v="2"/>
    <n v="8"/>
    <n v="40"/>
    <n v="10.119999999999999"/>
    <s v="C0054"/>
    <x v="37"/>
    <x v="1"/>
    <x v="9"/>
    <n v="320"/>
    <n v="80.959999999999994"/>
    <n v="239.04000000000002"/>
    <n v="40"/>
    <n v="0"/>
    <n v="1"/>
  </r>
  <r>
    <s v="OR0572"/>
    <x v="195"/>
    <x v="3"/>
    <x v="3"/>
    <n v="7"/>
    <n v="15"/>
    <n v="5.88"/>
    <s v="C0119"/>
    <x v="21"/>
    <x v="3"/>
    <x v="0"/>
    <n v="105"/>
    <n v="41.16"/>
    <n v="63.84"/>
    <n v="15"/>
    <n v="0"/>
    <n v="0"/>
  </r>
  <r>
    <s v="OR0573"/>
    <x v="195"/>
    <x v="0"/>
    <x v="0"/>
    <n v="1"/>
    <n v="10"/>
    <n v="2.21"/>
    <s v="C0083"/>
    <x v="71"/>
    <x v="1"/>
    <x v="1"/>
    <n v="10"/>
    <n v="2.21"/>
    <n v="7.79"/>
    <n v="10"/>
    <n v="0"/>
    <n v="1"/>
  </r>
  <r>
    <s v="OR0574"/>
    <x v="195"/>
    <x v="2"/>
    <x v="2"/>
    <n v="3"/>
    <n v="40"/>
    <n v="8.3800000000000008"/>
    <s v="C0086"/>
    <x v="35"/>
    <x v="1"/>
    <x v="4"/>
    <n v="120"/>
    <n v="25.14"/>
    <n v="94.86"/>
    <n v="40"/>
    <n v="0"/>
    <n v="1"/>
  </r>
  <r>
    <s v="OR0575"/>
    <x v="195"/>
    <x v="4"/>
    <x v="4"/>
    <n v="6"/>
    <n v="12"/>
    <n v="2.68"/>
    <s v="C0149"/>
    <x v="10"/>
    <x v="1"/>
    <x v="0"/>
    <n v="72"/>
    <n v="16.080000000000002"/>
    <n v="55.92"/>
    <n v="12"/>
    <n v="0"/>
    <n v="1"/>
  </r>
  <r>
    <s v="OR0576"/>
    <x v="196"/>
    <x v="1"/>
    <x v="1"/>
    <n v="8"/>
    <n v="25"/>
    <n v="6.6"/>
    <s v="C0187"/>
    <x v="48"/>
    <x v="1"/>
    <x v="2"/>
    <n v="200"/>
    <n v="52.8"/>
    <n v="147.19999999999999"/>
    <n v="25"/>
    <n v="0"/>
    <n v="1"/>
  </r>
  <r>
    <s v="OR0577"/>
    <x v="196"/>
    <x v="2"/>
    <x v="2"/>
    <n v="4"/>
    <n v="40"/>
    <n v="14.82"/>
    <s v="C0008"/>
    <x v="68"/>
    <x v="1"/>
    <x v="1"/>
    <n v="160"/>
    <n v="59.28"/>
    <n v="100.72"/>
    <n v="40"/>
    <n v="0"/>
    <n v="1"/>
  </r>
  <r>
    <s v="OR0578"/>
    <x v="196"/>
    <x v="1"/>
    <x v="1"/>
    <n v="7"/>
    <n v="25"/>
    <n v="8.67"/>
    <s v="C0178"/>
    <x v="19"/>
    <x v="0"/>
    <x v="3"/>
    <n v="175"/>
    <n v="60.69"/>
    <n v="114.31"/>
    <n v="25"/>
    <n v="0"/>
    <n v="0"/>
  </r>
  <r>
    <s v="OR0579"/>
    <x v="196"/>
    <x v="3"/>
    <x v="3"/>
    <n v="8"/>
    <n v="15"/>
    <n v="5.97"/>
    <s v="C0147"/>
    <x v="30"/>
    <x v="1"/>
    <x v="3"/>
    <n v="120"/>
    <n v="47.76"/>
    <n v="72.240000000000009"/>
    <n v="15"/>
    <n v="0"/>
    <n v="1"/>
  </r>
  <r>
    <s v="OR0580"/>
    <x v="196"/>
    <x v="4"/>
    <x v="4"/>
    <n v="4"/>
    <n v="12"/>
    <n v="3.9"/>
    <s v="C0173"/>
    <x v="119"/>
    <x v="1"/>
    <x v="1"/>
    <n v="48"/>
    <n v="15.6"/>
    <n v="32.4"/>
    <n v="12"/>
    <n v="0"/>
    <n v="1"/>
  </r>
  <r>
    <s v="OR0581"/>
    <x v="196"/>
    <x v="0"/>
    <x v="0"/>
    <n v="6"/>
    <n v="10"/>
    <n v="3.16"/>
    <s v="C0177"/>
    <x v="110"/>
    <x v="1"/>
    <x v="4"/>
    <n v="60"/>
    <n v="18.96"/>
    <n v="41.04"/>
    <n v="10"/>
    <n v="0"/>
    <n v="1"/>
  </r>
  <r>
    <s v="OR0582"/>
    <x v="196"/>
    <x v="2"/>
    <x v="2"/>
    <n v="3"/>
    <n v="40"/>
    <n v="11.05"/>
    <s v="C0040"/>
    <x v="84"/>
    <x v="0"/>
    <x v="7"/>
    <n v="120"/>
    <n v="33.150000000000006"/>
    <n v="86.85"/>
    <n v="40"/>
    <n v="0"/>
    <n v="0"/>
  </r>
  <r>
    <s v="OR0583"/>
    <x v="197"/>
    <x v="2"/>
    <x v="2"/>
    <n v="5"/>
    <n v="40"/>
    <n v="12.94"/>
    <s v="C0057"/>
    <x v="54"/>
    <x v="1"/>
    <x v="2"/>
    <n v="200"/>
    <n v="64.7"/>
    <n v="135.30000000000001"/>
    <n v="40"/>
    <n v="0"/>
    <n v="1"/>
  </r>
  <r>
    <s v="OR0584"/>
    <x v="197"/>
    <x v="0"/>
    <x v="0"/>
    <n v="3"/>
    <n v="10"/>
    <n v="2.02"/>
    <s v="C0105"/>
    <x v="45"/>
    <x v="0"/>
    <x v="0"/>
    <n v="30"/>
    <n v="6.0600000000000005"/>
    <n v="23.939999999999998"/>
    <n v="10"/>
    <n v="0"/>
    <n v="0"/>
  </r>
  <r>
    <s v="OR0585"/>
    <x v="198"/>
    <x v="2"/>
    <x v="2"/>
    <n v="6"/>
    <n v="40"/>
    <n v="13.06"/>
    <s v="C0087"/>
    <x v="49"/>
    <x v="1"/>
    <x v="2"/>
    <n v="240"/>
    <n v="78.36"/>
    <n v="161.63999999999999"/>
    <n v="40"/>
    <n v="0"/>
    <n v="1"/>
  </r>
  <r>
    <s v="OR0586"/>
    <x v="198"/>
    <x v="1"/>
    <x v="1"/>
    <n v="3"/>
    <n v="25"/>
    <n v="5.33"/>
    <s v="C0048"/>
    <x v="87"/>
    <x v="1"/>
    <x v="3"/>
    <n v="75"/>
    <n v="15.99"/>
    <n v="59.01"/>
    <n v="25"/>
    <n v="0"/>
    <n v="1"/>
  </r>
  <r>
    <s v="OR0587"/>
    <x v="198"/>
    <x v="3"/>
    <x v="3"/>
    <n v="6"/>
    <n v="15"/>
    <n v="5.32"/>
    <s v="C0146"/>
    <x v="58"/>
    <x v="1"/>
    <x v="2"/>
    <n v="90"/>
    <n v="31.92"/>
    <n v="58.08"/>
    <n v="15"/>
    <n v="0"/>
    <n v="1"/>
  </r>
  <r>
    <s v="OR0588"/>
    <x v="199"/>
    <x v="1"/>
    <x v="1"/>
    <n v="8"/>
    <n v="25"/>
    <n v="7.98"/>
    <s v="C0150"/>
    <x v="76"/>
    <x v="1"/>
    <x v="0"/>
    <n v="200"/>
    <n v="63.84"/>
    <n v="136.16"/>
    <n v="25"/>
    <n v="0"/>
    <n v="1"/>
  </r>
  <r>
    <s v="OR0589"/>
    <x v="200"/>
    <x v="3"/>
    <x v="3"/>
    <n v="9"/>
    <n v="15"/>
    <n v="5.59"/>
    <s v="C0140"/>
    <x v="95"/>
    <x v="1"/>
    <x v="4"/>
    <n v="135"/>
    <n v="50.31"/>
    <n v="84.69"/>
    <n v="15"/>
    <n v="0"/>
    <n v="1"/>
  </r>
  <r>
    <s v="OR0590"/>
    <x v="200"/>
    <x v="2"/>
    <x v="2"/>
    <n v="10"/>
    <n v="40"/>
    <n v="15.91"/>
    <s v="C0128"/>
    <x v="50"/>
    <x v="1"/>
    <x v="6"/>
    <n v="400"/>
    <n v="159.1"/>
    <n v="240.9"/>
    <n v="40"/>
    <n v="0"/>
    <n v="1"/>
  </r>
  <r>
    <s v="OR0591"/>
    <x v="201"/>
    <x v="3"/>
    <x v="3"/>
    <n v="9"/>
    <n v="15"/>
    <n v="5.14"/>
    <s v="C0142"/>
    <x v="102"/>
    <x v="1"/>
    <x v="3"/>
    <n v="135"/>
    <n v="46.26"/>
    <n v="88.740000000000009"/>
    <n v="15"/>
    <n v="0"/>
    <n v="1"/>
  </r>
  <r>
    <s v="OR0592"/>
    <x v="202"/>
    <x v="1"/>
    <x v="1"/>
    <n v="2"/>
    <n v="25"/>
    <n v="8.4"/>
    <s v="C0038"/>
    <x v="22"/>
    <x v="1"/>
    <x v="4"/>
    <n v="50"/>
    <n v="16.8"/>
    <n v="33.200000000000003"/>
    <n v="25"/>
    <n v="0"/>
    <n v="1"/>
  </r>
  <r>
    <s v="OR0593"/>
    <x v="202"/>
    <x v="3"/>
    <x v="3"/>
    <n v="2"/>
    <n v="15"/>
    <n v="4.3099999999999996"/>
    <s v="C0062"/>
    <x v="49"/>
    <x v="2"/>
    <x v="2"/>
    <n v="30"/>
    <n v="8.6199999999999992"/>
    <n v="21.380000000000003"/>
    <n v="15"/>
    <n v="1"/>
    <n v="0"/>
  </r>
  <r>
    <s v="OR0594"/>
    <x v="202"/>
    <x v="2"/>
    <x v="2"/>
    <n v="9"/>
    <n v="40"/>
    <n v="11.09"/>
    <s v="C0149"/>
    <x v="10"/>
    <x v="1"/>
    <x v="2"/>
    <n v="360"/>
    <n v="99.81"/>
    <n v="260.19"/>
    <n v="40"/>
    <n v="0"/>
    <n v="1"/>
  </r>
  <r>
    <s v="OR0595"/>
    <x v="203"/>
    <x v="4"/>
    <x v="4"/>
    <n v="2"/>
    <n v="12"/>
    <n v="3.35"/>
    <s v="C0025"/>
    <x v="58"/>
    <x v="3"/>
    <x v="8"/>
    <n v="24"/>
    <n v="6.7"/>
    <n v="17.3"/>
    <n v="12"/>
    <n v="0"/>
    <n v="0"/>
  </r>
  <r>
    <s v="OR0596"/>
    <x v="204"/>
    <x v="4"/>
    <x v="4"/>
    <n v="9"/>
    <n v="12"/>
    <n v="4.04"/>
    <s v="C0014"/>
    <x v="18"/>
    <x v="0"/>
    <x v="9"/>
    <n v="108"/>
    <n v="36.36"/>
    <n v="71.64"/>
    <n v="12"/>
    <n v="0"/>
    <n v="0"/>
  </r>
  <r>
    <s v="OR0597"/>
    <x v="204"/>
    <x v="1"/>
    <x v="1"/>
    <n v="2"/>
    <n v="25"/>
    <n v="7.09"/>
    <s v="C0107"/>
    <x v="56"/>
    <x v="1"/>
    <x v="4"/>
    <n v="50"/>
    <n v="14.18"/>
    <n v="35.82"/>
    <n v="25"/>
    <n v="0"/>
    <n v="1"/>
  </r>
  <r>
    <s v="OR0598"/>
    <x v="204"/>
    <x v="1"/>
    <x v="1"/>
    <n v="7"/>
    <n v="25"/>
    <n v="5.54"/>
    <s v="C0020"/>
    <x v="111"/>
    <x v="1"/>
    <x v="7"/>
    <n v="175"/>
    <n v="38.78"/>
    <n v="136.22"/>
    <n v="25"/>
    <n v="0"/>
    <n v="1"/>
  </r>
  <r>
    <s v="OR0599"/>
    <x v="204"/>
    <x v="2"/>
    <x v="2"/>
    <n v="5"/>
    <n v="40"/>
    <n v="8.2799999999999994"/>
    <s v="C0015"/>
    <x v="77"/>
    <x v="0"/>
    <x v="7"/>
    <n v="200"/>
    <n v="41.4"/>
    <n v="158.6"/>
    <n v="40"/>
    <n v="0"/>
    <n v="0"/>
  </r>
  <r>
    <s v="OR0600"/>
    <x v="205"/>
    <x v="1"/>
    <x v="1"/>
    <n v="8"/>
    <n v="25"/>
    <n v="9.98"/>
    <s v="C0181"/>
    <x v="26"/>
    <x v="0"/>
    <x v="9"/>
    <n v="200"/>
    <n v="79.84"/>
    <n v="120.16"/>
    <n v="25"/>
    <n v="0"/>
    <n v="0"/>
  </r>
  <r>
    <s v="OR0601"/>
    <x v="205"/>
    <x v="3"/>
    <x v="3"/>
    <n v="3"/>
    <n v="15"/>
    <n v="3.84"/>
    <s v="C0048"/>
    <x v="87"/>
    <x v="0"/>
    <x v="6"/>
    <n v="45"/>
    <n v="11.52"/>
    <n v="33.480000000000004"/>
    <n v="15"/>
    <n v="0"/>
    <n v="0"/>
  </r>
  <r>
    <s v="OR0602"/>
    <x v="205"/>
    <x v="3"/>
    <x v="3"/>
    <n v="1"/>
    <n v="15"/>
    <n v="4.22"/>
    <s v="C0135"/>
    <x v="8"/>
    <x v="1"/>
    <x v="6"/>
    <n v="15"/>
    <n v="4.22"/>
    <n v="10.780000000000001"/>
    <n v="15"/>
    <n v="0"/>
    <n v="1"/>
  </r>
  <r>
    <s v="OR0603"/>
    <x v="205"/>
    <x v="4"/>
    <x v="4"/>
    <n v="6"/>
    <n v="12"/>
    <n v="3.28"/>
    <s v="C0111"/>
    <x v="49"/>
    <x v="1"/>
    <x v="7"/>
    <n v="72"/>
    <n v="19.68"/>
    <n v="52.32"/>
    <n v="12"/>
    <n v="0"/>
    <n v="1"/>
  </r>
  <r>
    <s v="OR0604"/>
    <x v="206"/>
    <x v="3"/>
    <x v="3"/>
    <n v="1"/>
    <n v="15"/>
    <n v="3.96"/>
    <s v="C0074"/>
    <x v="120"/>
    <x v="1"/>
    <x v="1"/>
    <n v="15"/>
    <n v="3.96"/>
    <n v="11.04"/>
    <n v="15"/>
    <n v="0"/>
    <n v="1"/>
  </r>
  <r>
    <s v="OR0605"/>
    <x v="206"/>
    <x v="2"/>
    <x v="2"/>
    <n v="10"/>
    <n v="40"/>
    <n v="12.88"/>
    <s v="C0049"/>
    <x v="74"/>
    <x v="1"/>
    <x v="4"/>
    <n v="400"/>
    <n v="128.80000000000001"/>
    <n v="271.2"/>
    <n v="40"/>
    <n v="0"/>
    <n v="1"/>
  </r>
  <r>
    <s v="OR0606"/>
    <x v="206"/>
    <x v="4"/>
    <x v="4"/>
    <n v="9"/>
    <n v="12"/>
    <n v="4.04"/>
    <s v="C0184"/>
    <x v="11"/>
    <x v="1"/>
    <x v="6"/>
    <n v="108"/>
    <n v="36.36"/>
    <n v="71.64"/>
    <n v="12"/>
    <n v="0"/>
    <n v="1"/>
  </r>
  <r>
    <s v="OR0607"/>
    <x v="206"/>
    <x v="4"/>
    <x v="4"/>
    <n v="3"/>
    <n v="12"/>
    <n v="2.83"/>
    <s v="C0106"/>
    <x v="7"/>
    <x v="2"/>
    <x v="1"/>
    <n v="36"/>
    <n v="8.49"/>
    <n v="27.509999999999998"/>
    <n v="12"/>
    <n v="1"/>
    <n v="0"/>
  </r>
  <r>
    <s v="OR0608"/>
    <x v="206"/>
    <x v="1"/>
    <x v="1"/>
    <n v="9"/>
    <n v="25"/>
    <n v="9.89"/>
    <s v="C0139"/>
    <x v="47"/>
    <x v="1"/>
    <x v="8"/>
    <n v="225"/>
    <n v="89.01"/>
    <n v="135.99"/>
    <n v="25"/>
    <n v="0"/>
    <n v="1"/>
  </r>
  <r>
    <s v="OR0609"/>
    <x v="206"/>
    <x v="0"/>
    <x v="0"/>
    <n v="6"/>
    <n v="10"/>
    <n v="3.93"/>
    <s v="C0047"/>
    <x v="35"/>
    <x v="0"/>
    <x v="4"/>
    <n v="60"/>
    <n v="23.580000000000002"/>
    <n v="36.42"/>
    <n v="10"/>
    <n v="0"/>
    <n v="0"/>
  </r>
  <r>
    <s v="OR0610"/>
    <x v="207"/>
    <x v="0"/>
    <x v="0"/>
    <n v="5"/>
    <n v="10"/>
    <n v="3.41"/>
    <s v="C0047"/>
    <x v="35"/>
    <x v="0"/>
    <x v="5"/>
    <n v="50"/>
    <n v="17.05"/>
    <n v="32.950000000000003"/>
    <n v="10"/>
    <n v="0"/>
    <n v="0"/>
  </r>
  <r>
    <s v="OR0611"/>
    <x v="208"/>
    <x v="3"/>
    <x v="3"/>
    <n v="10"/>
    <n v="15"/>
    <n v="5.3"/>
    <s v="C0073"/>
    <x v="38"/>
    <x v="1"/>
    <x v="9"/>
    <n v="150"/>
    <n v="53"/>
    <n v="97"/>
    <n v="15"/>
    <n v="0"/>
    <n v="1"/>
  </r>
  <r>
    <s v="OR0612"/>
    <x v="208"/>
    <x v="4"/>
    <x v="4"/>
    <n v="10"/>
    <n v="12"/>
    <n v="3.43"/>
    <s v="C0066"/>
    <x v="41"/>
    <x v="1"/>
    <x v="7"/>
    <n v="120"/>
    <n v="34.300000000000004"/>
    <n v="85.699999999999989"/>
    <n v="12"/>
    <n v="0"/>
    <n v="1"/>
  </r>
  <r>
    <s v="OR0613"/>
    <x v="208"/>
    <x v="4"/>
    <x v="4"/>
    <n v="4"/>
    <n v="12"/>
    <n v="4.12"/>
    <s v="C0043"/>
    <x v="31"/>
    <x v="2"/>
    <x v="8"/>
    <n v="48"/>
    <n v="16.48"/>
    <n v="31.52"/>
    <n v="12"/>
    <n v="1"/>
    <n v="0"/>
  </r>
  <r>
    <s v="OR0614"/>
    <x v="208"/>
    <x v="3"/>
    <x v="3"/>
    <n v="8"/>
    <n v="15"/>
    <n v="4.28"/>
    <s v="C0091"/>
    <x v="72"/>
    <x v="1"/>
    <x v="6"/>
    <n v="120"/>
    <n v="34.24"/>
    <n v="85.759999999999991"/>
    <n v="15"/>
    <n v="0"/>
    <n v="1"/>
  </r>
  <r>
    <s v="OR0615"/>
    <x v="209"/>
    <x v="2"/>
    <x v="2"/>
    <n v="1"/>
    <n v="40"/>
    <n v="14.6"/>
    <s v="C0032"/>
    <x v="113"/>
    <x v="3"/>
    <x v="6"/>
    <n v="40"/>
    <n v="14.6"/>
    <n v="25.4"/>
    <n v="40"/>
    <n v="0"/>
    <n v="0"/>
  </r>
  <r>
    <s v="OR0616"/>
    <x v="209"/>
    <x v="4"/>
    <x v="4"/>
    <n v="1"/>
    <n v="12"/>
    <n v="3.32"/>
    <s v="C0170"/>
    <x v="48"/>
    <x v="0"/>
    <x v="1"/>
    <n v="12"/>
    <n v="3.32"/>
    <n v="8.68"/>
    <n v="12"/>
    <n v="0"/>
    <n v="0"/>
  </r>
  <r>
    <s v="OR0617"/>
    <x v="209"/>
    <x v="4"/>
    <x v="4"/>
    <n v="8"/>
    <n v="12"/>
    <n v="2.92"/>
    <s v="C0067"/>
    <x v="52"/>
    <x v="0"/>
    <x v="0"/>
    <n v="96"/>
    <n v="23.36"/>
    <n v="72.64"/>
    <n v="12"/>
    <n v="0"/>
    <n v="0"/>
  </r>
  <r>
    <s v="OR0618"/>
    <x v="210"/>
    <x v="0"/>
    <x v="0"/>
    <n v="6"/>
    <n v="10"/>
    <n v="2.2000000000000002"/>
    <s v="C0141"/>
    <x v="16"/>
    <x v="1"/>
    <x v="2"/>
    <n v="60"/>
    <n v="13.200000000000001"/>
    <n v="46.8"/>
    <n v="10"/>
    <n v="0"/>
    <n v="1"/>
  </r>
  <r>
    <s v="OR0619"/>
    <x v="211"/>
    <x v="2"/>
    <x v="2"/>
    <n v="5"/>
    <n v="40"/>
    <n v="11.64"/>
    <s v="C0116"/>
    <x v="80"/>
    <x v="0"/>
    <x v="1"/>
    <n v="200"/>
    <n v="58.2"/>
    <n v="141.80000000000001"/>
    <n v="40"/>
    <n v="0"/>
    <n v="0"/>
  </r>
  <r>
    <s v="OR0620"/>
    <x v="211"/>
    <x v="0"/>
    <x v="0"/>
    <n v="3"/>
    <n v="10"/>
    <n v="2.54"/>
    <s v="C0165"/>
    <x v="8"/>
    <x v="1"/>
    <x v="3"/>
    <n v="30"/>
    <n v="7.62"/>
    <n v="22.38"/>
    <n v="10"/>
    <n v="0"/>
    <n v="1"/>
  </r>
  <r>
    <s v="OR0621"/>
    <x v="212"/>
    <x v="1"/>
    <x v="1"/>
    <n v="5"/>
    <n v="25"/>
    <n v="9.66"/>
    <s v="C0036"/>
    <x v="93"/>
    <x v="0"/>
    <x v="4"/>
    <n v="125"/>
    <n v="48.3"/>
    <n v="76.7"/>
    <n v="25"/>
    <n v="0"/>
    <n v="0"/>
  </r>
  <r>
    <s v="OR0622"/>
    <x v="212"/>
    <x v="3"/>
    <x v="3"/>
    <n v="1"/>
    <n v="15"/>
    <n v="4.66"/>
    <s v="C0156"/>
    <x v="18"/>
    <x v="1"/>
    <x v="8"/>
    <n v="15"/>
    <n v="4.66"/>
    <n v="10.34"/>
    <n v="15"/>
    <n v="0"/>
    <n v="1"/>
  </r>
  <r>
    <s v="OR0623"/>
    <x v="213"/>
    <x v="4"/>
    <x v="4"/>
    <n v="10"/>
    <n v="12"/>
    <n v="3.4"/>
    <s v="C0044"/>
    <x v="78"/>
    <x v="1"/>
    <x v="6"/>
    <n v="120"/>
    <n v="34"/>
    <n v="86"/>
    <n v="12"/>
    <n v="0"/>
    <n v="1"/>
  </r>
  <r>
    <s v="OR0624"/>
    <x v="213"/>
    <x v="2"/>
    <x v="2"/>
    <n v="9"/>
    <n v="40"/>
    <n v="10.210000000000001"/>
    <s v="C0147"/>
    <x v="30"/>
    <x v="1"/>
    <x v="3"/>
    <n v="360"/>
    <n v="91.890000000000015"/>
    <n v="268.11"/>
    <n v="40"/>
    <n v="0"/>
    <n v="1"/>
  </r>
  <r>
    <s v="OR0625"/>
    <x v="213"/>
    <x v="1"/>
    <x v="1"/>
    <n v="3"/>
    <n v="25"/>
    <n v="8.93"/>
    <s v="C0061"/>
    <x v="112"/>
    <x v="0"/>
    <x v="6"/>
    <n v="75"/>
    <n v="26.79"/>
    <n v="48.21"/>
    <n v="25"/>
    <n v="0"/>
    <n v="0"/>
  </r>
  <r>
    <s v="OR0626"/>
    <x v="213"/>
    <x v="4"/>
    <x v="4"/>
    <n v="3"/>
    <n v="12"/>
    <n v="2.89"/>
    <s v="C0056"/>
    <x v="121"/>
    <x v="3"/>
    <x v="2"/>
    <n v="36"/>
    <n v="8.67"/>
    <n v="27.33"/>
    <n v="12"/>
    <n v="0"/>
    <n v="0"/>
  </r>
  <r>
    <s v="OR0627"/>
    <x v="213"/>
    <x v="4"/>
    <x v="4"/>
    <n v="9"/>
    <n v="12"/>
    <n v="3.61"/>
    <s v="C0170"/>
    <x v="48"/>
    <x v="1"/>
    <x v="6"/>
    <n v="108"/>
    <n v="32.49"/>
    <n v="75.509999999999991"/>
    <n v="12"/>
    <n v="0"/>
    <n v="1"/>
  </r>
  <r>
    <s v="OR0628"/>
    <x v="214"/>
    <x v="2"/>
    <x v="2"/>
    <n v="3"/>
    <n v="40"/>
    <n v="10.51"/>
    <s v="C0070"/>
    <x v="117"/>
    <x v="1"/>
    <x v="6"/>
    <n v="120"/>
    <n v="31.53"/>
    <n v="88.47"/>
    <n v="40"/>
    <n v="0"/>
    <n v="1"/>
  </r>
  <r>
    <s v="OR0629"/>
    <x v="214"/>
    <x v="0"/>
    <x v="0"/>
    <n v="4"/>
    <n v="10"/>
    <n v="3.97"/>
    <s v="C0109"/>
    <x v="74"/>
    <x v="1"/>
    <x v="5"/>
    <n v="40"/>
    <n v="15.88"/>
    <n v="24.119999999999997"/>
    <n v="10"/>
    <n v="0"/>
    <n v="1"/>
  </r>
  <r>
    <s v="OR0630"/>
    <x v="215"/>
    <x v="3"/>
    <x v="3"/>
    <n v="3"/>
    <n v="15"/>
    <n v="4.7699999999999996"/>
    <s v="C0149"/>
    <x v="10"/>
    <x v="1"/>
    <x v="1"/>
    <n v="45"/>
    <n v="14.309999999999999"/>
    <n v="30.69"/>
    <n v="15"/>
    <n v="0"/>
    <n v="1"/>
  </r>
  <r>
    <s v="OR0631"/>
    <x v="215"/>
    <x v="3"/>
    <x v="3"/>
    <n v="4"/>
    <n v="15"/>
    <n v="4.16"/>
    <s v="C0005"/>
    <x v="99"/>
    <x v="0"/>
    <x v="7"/>
    <n v="60"/>
    <n v="16.64"/>
    <n v="43.36"/>
    <n v="15"/>
    <n v="0"/>
    <n v="0"/>
  </r>
  <r>
    <s v="OR0632"/>
    <x v="216"/>
    <x v="3"/>
    <x v="3"/>
    <n v="6"/>
    <n v="15"/>
    <n v="3.31"/>
    <s v="C0088"/>
    <x v="3"/>
    <x v="0"/>
    <x v="4"/>
    <n v="90"/>
    <n v="19.86"/>
    <n v="70.14"/>
    <n v="15"/>
    <n v="0"/>
    <n v="0"/>
  </r>
  <r>
    <s v="OR0633"/>
    <x v="217"/>
    <x v="3"/>
    <x v="3"/>
    <n v="9"/>
    <n v="15"/>
    <n v="3.56"/>
    <s v="C0004"/>
    <x v="94"/>
    <x v="1"/>
    <x v="2"/>
    <n v="135"/>
    <n v="32.04"/>
    <n v="102.96000000000001"/>
    <n v="15"/>
    <n v="0"/>
    <n v="1"/>
  </r>
  <r>
    <s v="OR0634"/>
    <x v="217"/>
    <x v="0"/>
    <x v="0"/>
    <n v="7"/>
    <n v="10"/>
    <n v="2.65"/>
    <s v="C0198"/>
    <x v="109"/>
    <x v="1"/>
    <x v="4"/>
    <n v="70"/>
    <n v="18.55"/>
    <n v="51.45"/>
    <n v="10"/>
    <n v="0"/>
    <n v="1"/>
  </r>
  <r>
    <s v="OR0635"/>
    <x v="217"/>
    <x v="1"/>
    <x v="1"/>
    <n v="1"/>
    <n v="25"/>
    <n v="7.24"/>
    <s v="C0086"/>
    <x v="35"/>
    <x v="1"/>
    <x v="7"/>
    <n v="25"/>
    <n v="7.24"/>
    <n v="17.759999999999998"/>
    <n v="25"/>
    <n v="0"/>
    <n v="1"/>
  </r>
  <r>
    <s v="OR0636"/>
    <x v="217"/>
    <x v="1"/>
    <x v="1"/>
    <n v="10"/>
    <n v="25"/>
    <n v="7.06"/>
    <s v="C0021"/>
    <x v="37"/>
    <x v="0"/>
    <x v="8"/>
    <n v="250"/>
    <n v="70.599999999999994"/>
    <n v="179.4"/>
    <n v="25"/>
    <n v="0"/>
    <n v="0"/>
  </r>
  <r>
    <s v="OR0637"/>
    <x v="218"/>
    <x v="1"/>
    <x v="1"/>
    <n v="8"/>
    <n v="25"/>
    <n v="7.93"/>
    <s v="C0096"/>
    <x v="82"/>
    <x v="1"/>
    <x v="1"/>
    <n v="200"/>
    <n v="63.44"/>
    <n v="136.56"/>
    <n v="25"/>
    <n v="0"/>
    <n v="1"/>
  </r>
  <r>
    <s v="OR0638"/>
    <x v="218"/>
    <x v="4"/>
    <x v="4"/>
    <n v="5"/>
    <n v="12"/>
    <n v="3.24"/>
    <s v="C0099"/>
    <x v="79"/>
    <x v="1"/>
    <x v="4"/>
    <n v="60"/>
    <n v="16.200000000000003"/>
    <n v="43.8"/>
    <n v="12"/>
    <n v="0"/>
    <n v="1"/>
  </r>
  <r>
    <s v="OR0639"/>
    <x v="218"/>
    <x v="4"/>
    <x v="4"/>
    <n v="3"/>
    <n v="12"/>
    <n v="2.42"/>
    <s v="C0011"/>
    <x v="50"/>
    <x v="3"/>
    <x v="6"/>
    <n v="36"/>
    <n v="7.26"/>
    <n v="28.740000000000002"/>
    <n v="12"/>
    <n v="0"/>
    <n v="0"/>
  </r>
  <r>
    <s v="OR0640"/>
    <x v="218"/>
    <x v="2"/>
    <x v="2"/>
    <n v="4"/>
    <n v="40"/>
    <n v="11.94"/>
    <s v="C0131"/>
    <x v="69"/>
    <x v="2"/>
    <x v="8"/>
    <n v="160"/>
    <n v="47.76"/>
    <n v="112.24000000000001"/>
    <n v="40"/>
    <n v="1"/>
    <n v="0"/>
  </r>
  <r>
    <s v="OR0641"/>
    <x v="218"/>
    <x v="2"/>
    <x v="2"/>
    <n v="5"/>
    <n v="40"/>
    <n v="10.23"/>
    <s v="C0172"/>
    <x v="103"/>
    <x v="2"/>
    <x v="6"/>
    <n v="200"/>
    <n v="51.150000000000006"/>
    <n v="148.85"/>
    <n v="40"/>
    <n v="1"/>
    <n v="0"/>
  </r>
  <r>
    <s v="OR0642"/>
    <x v="219"/>
    <x v="4"/>
    <x v="4"/>
    <n v="7"/>
    <n v="12"/>
    <n v="4.46"/>
    <s v="C0148"/>
    <x v="48"/>
    <x v="1"/>
    <x v="0"/>
    <n v="84"/>
    <n v="31.22"/>
    <n v="52.78"/>
    <n v="12"/>
    <n v="0"/>
    <n v="1"/>
  </r>
  <r>
    <s v="OR0643"/>
    <x v="219"/>
    <x v="4"/>
    <x v="4"/>
    <n v="6"/>
    <n v="12"/>
    <n v="4.7300000000000004"/>
    <s v="C0159"/>
    <x v="105"/>
    <x v="0"/>
    <x v="7"/>
    <n v="72"/>
    <n v="28.380000000000003"/>
    <n v="43.62"/>
    <n v="12"/>
    <n v="0"/>
    <n v="0"/>
  </r>
  <r>
    <s v="OR0644"/>
    <x v="219"/>
    <x v="3"/>
    <x v="3"/>
    <n v="6"/>
    <n v="15"/>
    <n v="3.74"/>
    <s v="C0045"/>
    <x v="51"/>
    <x v="3"/>
    <x v="5"/>
    <n v="90"/>
    <n v="22.44"/>
    <n v="67.56"/>
    <n v="15"/>
    <n v="0"/>
    <n v="0"/>
  </r>
  <r>
    <s v="OR0645"/>
    <x v="219"/>
    <x v="1"/>
    <x v="1"/>
    <n v="10"/>
    <n v="25"/>
    <n v="6.58"/>
    <s v="C0035"/>
    <x v="16"/>
    <x v="0"/>
    <x v="2"/>
    <n v="250"/>
    <n v="65.8"/>
    <n v="184.2"/>
    <n v="25"/>
    <n v="0"/>
    <n v="0"/>
  </r>
  <r>
    <s v="OR0646"/>
    <x v="220"/>
    <x v="3"/>
    <x v="3"/>
    <n v="2"/>
    <n v="15"/>
    <n v="5.88"/>
    <s v="C0001"/>
    <x v="92"/>
    <x v="1"/>
    <x v="6"/>
    <n v="30"/>
    <n v="11.76"/>
    <n v="18.240000000000002"/>
    <n v="15"/>
    <n v="0"/>
    <n v="1"/>
  </r>
  <r>
    <s v="OR0647"/>
    <x v="220"/>
    <x v="2"/>
    <x v="2"/>
    <n v="2"/>
    <n v="40"/>
    <n v="14.55"/>
    <s v="C0182"/>
    <x v="57"/>
    <x v="0"/>
    <x v="5"/>
    <n v="80"/>
    <n v="29.1"/>
    <n v="50.9"/>
    <n v="40"/>
    <n v="0"/>
    <n v="0"/>
  </r>
  <r>
    <s v="OR0648"/>
    <x v="220"/>
    <x v="0"/>
    <x v="0"/>
    <n v="3"/>
    <n v="10"/>
    <n v="2.33"/>
    <s v="C0183"/>
    <x v="1"/>
    <x v="0"/>
    <x v="7"/>
    <n v="30"/>
    <n v="6.99"/>
    <n v="23.009999999999998"/>
    <n v="10"/>
    <n v="0"/>
    <n v="0"/>
  </r>
  <r>
    <s v="OR0649"/>
    <x v="220"/>
    <x v="3"/>
    <x v="3"/>
    <n v="1"/>
    <n v="15"/>
    <n v="4.93"/>
    <s v="C0135"/>
    <x v="8"/>
    <x v="1"/>
    <x v="1"/>
    <n v="15"/>
    <n v="4.93"/>
    <n v="10.07"/>
    <n v="15"/>
    <n v="0"/>
    <n v="1"/>
  </r>
  <r>
    <s v="OR0650"/>
    <x v="220"/>
    <x v="0"/>
    <x v="0"/>
    <n v="2"/>
    <n v="10"/>
    <n v="3.11"/>
    <s v="C0090"/>
    <x v="116"/>
    <x v="1"/>
    <x v="4"/>
    <n v="20"/>
    <n v="6.22"/>
    <n v="13.780000000000001"/>
    <n v="10"/>
    <n v="0"/>
    <n v="1"/>
  </r>
  <r>
    <s v="OR0651"/>
    <x v="220"/>
    <x v="3"/>
    <x v="3"/>
    <n v="1"/>
    <n v="15"/>
    <n v="4.5599999999999996"/>
    <s v="C0083"/>
    <x v="71"/>
    <x v="1"/>
    <x v="8"/>
    <n v="15"/>
    <n v="4.5599999999999996"/>
    <n v="10.440000000000001"/>
    <n v="15"/>
    <n v="0"/>
    <n v="1"/>
  </r>
  <r>
    <s v="OR0652"/>
    <x v="220"/>
    <x v="3"/>
    <x v="3"/>
    <n v="1"/>
    <n v="15"/>
    <n v="4.25"/>
    <s v="C0178"/>
    <x v="19"/>
    <x v="1"/>
    <x v="4"/>
    <n v="15"/>
    <n v="4.25"/>
    <n v="10.75"/>
    <n v="15"/>
    <n v="0"/>
    <n v="1"/>
  </r>
  <r>
    <s v="OR0653"/>
    <x v="220"/>
    <x v="2"/>
    <x v="2"/>
    <n v="3"/>
    <n v="40"/>
    <n v="15.7"/>
    <s v="C0100"/>
    <x v="52"/>
    <x v="0"/>
    <x v="8"/>
    <n v="120"/>
    <n v="47.099999999999994"/>
    <n v="72.900000000000006"/>
    <n v="40"/>
    <n v="0"/>
    <n v="0"/>
  </r>
  <r>
    <s v="OR0654"/>
    <x v="221"/>
    <x v="4"/>
    <x v="4"/>
    <n v="1"/>
    <n v="12"/>
    <n v="3.08"/>
    <s v="C0009"/>
    <x v="53"/>
    <x v="1"/>
    <x v="3"/>
    <n v="12"/>
    <n v="3.08"/>
    <n v="8.92"/>
    <n v="12"/>
    <n v="0"/>
    <n v="1"/>
  </r>
  <r>
    <s v="OR0655"/>
    <x v="222"/>
    <x v="2"/>
    <x v="2"/>
    <n v="8"/>
    <n v="40"/>
    <n v="14.45"/>
    <s v="C0171"/>
    <x v="59"/>
    <x v="0"/>
    <x v="4"/>
    <n v="320"/>
    <n v="115.6"/>
    <n v="204.4"/>
    <n v="40"/>
    <n v="0"/>
    <n v="0"/>
  </r>
  <r>
    <s v="OR0656"/>
    <x v="222"/>
    <x v="3"/>
    <x v="3"/>
    <n v="6"/>
    <n v="15"/>
    <n v="3.14"/>
    <s v="C0055"/>
    <x v="91"/>
    <x v="3"/>
    <x v="7"/>
    <n v="90"/>
    <n v="18.84"/>
    <n v="71.16"/>
    <n v="15"/>
    <n v="0"/>
    <n v="0"/>
  </r>
  <r>
    <s v="OR0657"/>
    <x v="222"/>
    <x v="0"/>
    <x v="0"/>
    <n v="2"/>
    <n v="10"/>
    <n v="3.83"/>
    <s v="C0051"/>
    <x v="16"/>
    <x v="1"/>
    <x v="2"/>
    <n v="20"/>
    <n v="7.66"/>
    <n v="12.34"/>
    <n v="10"/>
    <n v="0"/>
    <n v="1"/>
  </r>
  <r>
    <s v="OR0658"/>
    <x v="223"/>
    <x v="2"/>
    <x v="2"/>
    <n v="6"/>
    <n v="40"/>
    <n v="8.43"/>
    <s v="C0058"/>
    <x v="74"/>
    <x v="1"/>
    <x v="7"/>
    <n v="240"/>
    <n v="50.58"/>
    <n v="189.42000000000002"/>
    <n v="40"/>
    <n v="0"/>
    <n v="1"/>
  </r>
  <r>
    <s v="OR0659"/>
    <x v="223"/>
    <x v="1"/>
    <x v="1"/>
    <n v="6"/>
    <n v="25"/>
    <n v="6.23"/>
    <s v="C0004"/>
    <x v="94"/>
    <x v="1"/>
    <x v="4"/>
    <n v="150"/>
    <n v="37.380000000000003"/>
    <n v="112.62"/>
    <n v="25"/>
    <n v="0"/>
    <n v="1"/>
  </r>
  <r>
    <s v="OR0660"/>
    <x v="223"/>
    <x v="4"/>
    <x v="4"/>
    <n v="8"/>
    <n v="12"/>
    <n v="4.07"/>
    <s v="C0078"/>
    <x v="35"/>
    <x v="1"/>
    <x v="1"/>
    <n v="96"/>
    <n v="32.56"/>
    <n v="63.44"/>
    <n v="12"/>
    <n v="0"/>
    <n v="1"/>
  </r>
  <r>
    <s v="OR0661"/>
    <x v="223"/>
    <x v="0"/>
    <x v="0"/>
    <n v="6"/>
    <n v="10"/>
    <n v="2.44"/>
    <s v="C0117"/>
    <x v="122"/>
    <x v="1"/>
    <x v="4"/>
    <n v="60"/>
    <n v="14.64"/>
    <n v="45.36"/>
    <n v="10"/>
    <n v="0"/>
    <n v="1"/>
  </r>
  <r>
    <s v="OR0662"/>
    <x v="223"/>
    <x v="1"/>
    <x v="1"/>
    <n v="1"/>
    <n v="25"/>
    <n v="6.31"/>
    <s v="C0032"/>
    <x v="113"/>
    <x v="1"/>
    <x v="8"/>
    <n v="25"/>
    <n v="6.31"/>
    <n v="18.690000000000001"/>
    <n v="25"/>
    <n v="0"/>
    <n v="1"/>
  </r>
  <r>
    <s v="OR0663"/>
    <x v="224"/>
    <x v="1"/>
    <x v="1"/>
    <n v="5"/>
    <n v="25"/>
    <n v="7.47"/>
    <s v="C0034"/>
    <x v="40"/>
    <x v="1"/>
    <x v="3"/>
    <n v="125"/>
    <n v="37.35"/>
    <n v="87.65"/>
    <n v="25"/>
    <n v="0"/>
    <n v="1"/>
  </r>
  <r>
    <s v="OR0664"/>
    <x v="224"/>
    <x v="3"/>
    <x v="3"/>
    <n v="3"/>
    <n v="15"/>
    <n v="5.58"/>
    <s v="C0149"/>
    <x v="10"/>
    <x v="1"/>
    <x v="0"/>
    <n v="45"/>
    <n v="16.740000000000002"/>
    <n v="28.259999999999998"/>
    <n v="15"/>
    <n v="0"/>
    <n v="1"/>
  </r>
  <r>
    <s v="OR0665"/>
    <x v="224"/>
    <x v="3"/>
    <x v="3"/>
    <n v="9"/>
    <n v="15"/>
    <n v="3.44"/>
    <s v="C0064"/>
    <x v="46"/>
    <x v="1"/>
    <x v="3"/>
    <n v="135"/>
    <n v="30.96"/>
    <n v="104.03999999999999"/>
    <n v="15"/>
    <n v="0"/>
    <n v="1"/>
  </r>
  <r>
    <s v="OR0666"/>
    <x v="224"/>
    <x v="1"/>
    <x v="1"/>
    <n v="8"/>
    <n v="25"/>
    <n v="9.1300000000000008"/>
    <s v="C0119"/>
    <x v="21"/>
    <x v="0"/>
    <x v="4"/>
    <n v="200"/>
    <n v="73.040000000000006"/>
    <n v="126.96"/>
    <n v="25"/>
    <n v="0"/>
    <n v="0"/>
  </r>
  <r>
    <s v="OR0667"/>
    <x v="224"/>
    <x v="4"/>
    <x v="4"/>
    <n v="3"/>
    <n v="12"/>
    <n v="2.71"/>
    <s v="C0170"/>
    <x v="48"/>
    <x v="1"/>
    <x v="5"/>
    <n v="36"/>
    <n v="8.129999999999999"/>
    <n v="27.87"/>
    <n v="12"/>
    <n v="0"/>
    <n v="1"/>
  </r>
  <r>
    <s v="OR0668"/>
    <x v="224"/>
    <x v="3"/>
    <x v="3"/>
    <n v="5"/>
    <n v="15"/>
    <n v="3.09"/>
    <s v="C0193"/>
    <x v="67"/>
    <x v="1"/>
    <x v="0"/>
    <n v="75"/>
    <n v="15.45"/>
    <n v="59.55"/>
    <n v="15"/>
    <n v="0"/>
    <n v="1"/>
  </r>
  <r>
    <s v="OR0669"/>
    <x v="225"/>
    <x v="0"/>
    <x v="0"/>
    <n v="2"/>
    <n v="10"/>
    <n v="3.22"/>
    <s v="C0131"/>
    <x v="69"/>
    <x v="1"/>
    <x v="5"/>
    <n v="20"/>
    <n v="6.44"/>
    <n v="13.559999999999999"/>
    <n v="10"/>
    <n v="0"/>
    <n v="1"/>
  </r>
  <r>
    <s v="OR0670"/>
    <x v="225"/>
    <x v="4"/>
    <x v="4"/>
    <n v="1"/>
    <n v="12"/>
    <n v="2.5099999999999998"/>
    <s v="C0025"/>
    <x v="58"/>
    <x v="1"/>
    <x v="9"/>
    <n v="12"/>
    <n v="2.5099999999999998"/>
    <n v="9.49"/>
    <n v="12"/>
    <n v="0"/>
    <n v="1"/>
  </r>
  <r>
    <s v="OR0671"/>
    <x v="225"/>
    <x v="3"/>
    <x v="3"/>
    <n v="2"/>
    <n v="15"/>
    <n v="3.49"/>
    <s v="C0085"/>
    <x v="29"/>
    <x v="1"/>
    <x v="3"/>
    <n v="30"/>
    <n v="6.98"/>
    <n v="23.02"/>
    <n v="15"/>
    <n v="0"/>
    <n v="1"/>
  </r>
  <r>
    <s v="OR0672"/>
    <x v="225"/>
    <x v="3"/>
    <x v="3"/>
    <n v="8"/>
    <n v="15"/>
    <n v="5.72"/>
    <s v="C0085"/>
    <x v="29"/>
    <x v="1"/>
    <x v="9"/>
    <n v="120"/>
    <n v="45.76"/>
    <n v="74.240000000000009"/>
    <n v="15"/>
    <n v="0"/>
    <n v="1"/>
  </r>
  <r>
    <s v="OR0673"/>
    <x v="226"/>
    <x v="2"/>
    <x v="2"/>
    <n v="4"/>
    <n v="40"/>
    <n v="15.33"/>
    <s v="C0106"/>
    <x v="7"/>
    <x v="0"/>
    <x v="8"/>
    <n v="160"/>
    <n v="61.32"/>
    <n v="98.68"/>
    <n v="40"/>
    <n v="0"/>
    <n v="0"/>
  </r>
  <r>
    <s v="OR0674"/>
    <x v="227"/>
    <x v="2"/>
    <x v="2"/>
    <n v="4"/>
    <n v="40"/>
    <n v="11.38"/>
    <s v="C0176"/>
    <x v="9"/>
    <x v="0"/>
    <x v="1"/>
    <n v="160"/>
    <n v="45.52"/>
    <n v="114.47999999999999"/>
    <n v="40"/>
    <n v="0"/>
    <n v="0"/>
  </r>
  <r>
    <s v="OR0675"/>
    <x v="228"/>
    <x v="1"/>
    <x v="1"/>
    <n v="10"/>
    <n v="25"/>
    <n v="6.25"/>
    <s v="C0032"/>
    <x v="113"/>
    <x v="1"/>
    <x v="6"/>
    <n v="250"/>
    <n v="62.5"/>
    <n v="187.5"/>
    <n v="25"/>
    <n v="0"/>
    <n v="1"/>
  </r>
  <r>
    <s v="OR0676"/>
    <x v="228"/>
    <x v="2"/>
    <x v="2"/>
    <n v="5"/>
    <n v="40"/>
    <n v="8.4600000000000009"/>
    <s v="C0075"/>
    <x v="71"/>
    <x v="0"/>
    <x v="3"/>
    <n v="200"/>
    <n v="42.300000000000004"/>
    <n v="157.69999999999999"/>
    <n v="40"/>
    <n v="0"/>
    <n v="0"/>
  </r>
  <r>
    <s v="OR0677"/>
    <x v="228"/>
    <x v="3"/>
    <x v="3"/>
    <n v="2"/>
    <n v="15"/>
    <n v="5.69"/>
    <s v="C0006"/>
    <x v="75"/>
    <x v="1"/>
    <x v="3"/>
    <n v="30"/>
    <n v="11.38"/>
    <n v="18.619999999999997"/>
    <n v="15"/>
    <n v="0"/>
    <n v="1"/>
  </r>
  <r>
    <s v="OR0678"/>
    <x v="228"/>
    <x v="1"/>
    <x v="1"/>
    <n v="7"/>
    <n v="25"/>
    <n v="9"/>
    <s v="C0160"/>
    <x v="19"/>
    <x v="2"/>
    <x v="0"/>
    <n v="175"/>
    <n v="63"/>
    <n v="112"/>
    <n v="25"/>
    <n v="1"/>
    <n v="0"/>
  </r>
  <r>
    <s v="OR0679"/>
    <x v="228"/>
    <x v="2"/>
    <x v="2"/>
    <n v="3"/>
    <n v="40"/>
    <n v="10.23"/>
    <s v="C0050"/>
    <x v="74"/>
    <x v="0"/>
    <x v="6"/>
    <n v="120"/>
    <n v="30.69"/>
    <n v="89.31"/>
    <n v="40"/>
    <n v="0"/>
    <n v="0"/>
  </r>
  <r>
    <s v="OR0680"/>
    <x v="229"/>
    <x v="3"/>
    <x v="3"/>
    <n v="9"/>
    <n v="15"/>
    <n v="4.82"/>
    <s v="C0112"/>
    <x v="70"/>
    <x v="0"/>
    <x v="2"/>
    <n v="135"/>
    <n v="43.38"/>
    <n v="91.62"/>
    <n v="15"/>
    <n v="0"/>
    <n v="0"/>
  </r>
  <r>
    <s v="OR0681"/>
    <x v="230"/>
    <x v="0"/>
    <x v="0"/>
    <n v="2"/>
    <n v="10"/>
    <n v="2.09"/>
    <s v="C0142"/>
    <x v="102"/>
    <x v="1"/>
    <x v="5"/>
    <n v="20"/>
    <n v="4.18"/>
    <n v="15.82"/>
    <n v="10"/>
    <n v="0"/>
    <n v="1"/>
  </r>
  <r>
    <s v="OR0682"/>
    <x v="230"/>
    <x v="0"/>
    <x v="0"/>
    <n v="4"/>
    <n v="10"/>
    <n v="3.56"/>
    <s v="C0157"/>
    <x v="27"/>
    <x v="1"/>
    <x v="8"/>
    <n v="40"/>
    <n v="14.24"/>
    <n v="25.759999999999998"/>
    <n v="10"/>
    <n v="0"/>
    <n v="1"/>
  </r>
  <r>
    <s v="OR0683"/>
    <x v="231"/>
    <x v="0"/>
    <x v="0"/>
    <n v="3"/>
    <n v="10"/>
    <n v="3.83"/>
    <s v="C0072"/>
    <x v="88"/>
    <x v="1"/>
    <x v="1"/>
    <n v="30"/>
    <n v="11.49"/>
    <n v="18.509999999999998"/>
    <n v="10"/>
    <n v="0"/>
    <n v="1"/>
  </r>
  <r>
    <s v="OR0684"/>
    <x v="231"/>
    <x v="1"/>
    <x v="1"/>
    <n v="5"/>
    <n v="25"/>
    <n v="7.66"/>
    <s v="C0088"/>
    <x v="3"/>
    <x v="0"/>
    <x v="0"/>
    <n v="125"/>
    <n v="38.299999999999997"/>
    <n v="86.7"/>
    <n v="25"/>
    <n v="0"/>
    <n v="0"/>
  </r>
  <r>
    <s v="OR0685"/>
    <x v="232"/>
    <x v="2"/>
    <x v="2"/>
    <n v="8"/>
    <n v="40"/>
    <n v="12.16"/>
    <s v="C0148"/>
    <x v="48"/>
    <x v="2"/>
    <x v="6"/>
    <n v="320"/>
    <n v="97.28"/>
    <n v="222.72"/>
    <n v="40"/>
    <n v="1"/>
    <n v="0"/>
  </r>
  <r>
    <s v="OR0686"/>
    <x v="233"/>
    <x v="4"/>
    <x v="4"/>
    <n v="7"/>
    <n v="12"/>
    <n v="3.97"/>
    <s v="C0058"/>
    <x v="74"/>
    <x v="1"/>
    <x v="4"/>
    <n v="84"/>
    <n v="27.790000000000003"/>
    <n v="56.209999999999994"/>
    <n v="12"/>
    <n v="0"/>
    <n v="1"/>
  </r>
  <r>
    <s v="OR0687"/>
    <x v="233"/>
    <x v="1"/>
    <x v="1"/>
    <n v="4"/>
    <n v="25"/>
    <n v="6.53"/>
    <s v="C0017"/>
    <x v="17"/>
    <x v="3"/>
    <x v="5"/>
    <n v="100"/>
    <n v="26.12"/>
    <n v="73.88"/>
    <n v="25"/>
    <n v="0"/>
    <n v="0"/>
  </r>
  <r>
    <s v="OR0688"/>
    <x v="233"/>
    <x v="3"/>
    <x v="3"/>
    <n v="3"/>
    <n v="15"/>
    <n v="3.29"/>
    <s v="C0170"/>
    <x v="48"/>
    <x v="1"/>
    <x v="9"/>
    <n v="45"/>
    <n v="9.870000000000001"/>
    <n v="35.129999999999995"/>
    <n v="15"/>
    <n v="0"/>
    <n v="1"/>
  </r>
  <r>
    <s v="OR0689"/>
    <x v="234"/>
    <x v="4"/>
    <x v="4"/>
    <n v="10"/>
    <n v="12"/>
    <n v="2.42"/>
    <s v="C0096"/>
    <x v="82"/>
    <x v="0"/>
    <x v="0"/>
    <n v="120"/>
    <n v="24.2"/>
    <n v="95.8"/>
    <n v="12"/>
    <n v="0"/>
    <n v="0"/>
  </r>
  <r>
    <s v="OR0690"/>
    <x v="234"/>
    <x v="1"/>
    <x v="1"/>
    <n v="5"/>
    <n v="25"/>
    <n v="7.76"/>
    <s v="C0049"/>
    <x v="74"/>
    <x v="1"/>
    <x v="6"/>
    <n v="125"/>
    <n v="38.799999999999997"/>
    <n v="86.2"/>
    <n v="25"/>
    <n v="0"/>
    <n v="1"/>
  </r>
  <r>
    <s v="OR0691"/>
    <x v="235"/>
    <x v="0"/>
    <x v="0"/>
    <n v="9"/>
    <n v="10"/>
    <n v="3.63"/>
    <s v="C0089"/>
    <x v="115"/>
    <x v="1"/>
    <x v="8"/>
    <n v="90"/>
    <n v="32.67"/>
    <n v="57.33"/>
    <n v="10"/>
    <n v="0"/>
    <n v="1"/>
  </r>
  <r>
    <s v="OR0692"/>
    <x v="235"/>
    <x v="0"/>
    <x v="0"/>
    <n v="8"/>
    <n v="10"/>
    <n v="2.33"/>
    <s v="C0078"/>
    <x v="35"/>
    <x v="0"/>
    <x v="9"/>
    <n v="80"/>
    <n v="18.64"/>
    <n v="61.36"/>
    <n v="10"/>
    <n v="0"/>
    <n v="0"/>
  </r>
  <r>
    <s v="OR0693"/>
    <x v="235"/>
    <x v="3"/>
    <x v="3"/>
    <n v="4"/>
    <n v="15"/>
    <n v="4.5599999999999996"/>
    <s v="C0088"/>
    <x v="3"/>
    <x v="1"/>
    <x v="2"/>
    <n v="60"/>
    <n v="18.239999999999998"/>
    <n v="41.760000000000005"/>
    <n v="15"/>
    <n v="0"/>
    <n v="1"/>
  </r>
  <r>
    <s v="OR0694"/>
    <x v="235"/>
    <x v="3"/>
    <x v="3"/>
    <n v="7"/>
    <n v="15"/>
    <n v="5.0599999999999996"/>
    <s v="C0149"/>
    <x v="10"/>
    <x v="0"/>
    <x v="0"/>
    <n v="105"/>
    <n v="35.419999999999995"/>
    <n v="69.580000000000013"/>
    <n v="15"/>
    <n v="0"/>
    <n v="0"/>
  </r>
  <r>
    <s v="OR0695"/>
    <x v="236"/>
    <x v="1"/>
    <x v="1"/>
    <n v="1"/>
    <n v="25"/>
    <n v="8.42"/>
    <s v="C0070"/>
    <x v="117"/>
    <x v="0"/>
    <x v="5"/>
    <n v="25"/>
    <n v="8.42"/>
    <n v="16.579999999999998"/>
    <n v="25"/>
    <n v="0"/>
    <n v="0"/>
  </r>
  <r>
    <s v="OR0696"/>
    <x v="237"/>
    <x v="0"/>
    <x v="0"/>
    <n v="7"/>
    <n v="10"/>
    <n v="3.96"/>
    <s v="C0092"/>
    <x v="102"/>
    <x v="1"/>
    <x v="3"/>
    <n v="70"/>
    <n v="27.72"/>
    <n v="42.28"/>
    <n v="10"/>
    <n v="0"/>
    <n v="1"/>
  </r>
  <r>
    <s v="OR0697"/>
    <x v="238"/>
    <x v="3"/>
    <x v="3"/>
    <n v="5"/>
    <n v="15"/>
    <n v="5.13"/>
    <s v="C0122"/>
    <x v="1"/>
    <x v="0"/>
    <x v="1"/>
    <n v="75"/>
    <n v="25.65"/>
    <n v="49.35"/>
    <n v="15"/>
    <n v="0"/>
    <n v="0"/>
  </r>
  <r>
    <s v="OR0698"/>
    <x v="238"/>
    <x v="1"/>
    <x v="1"/>
    <n v="1"/>
    <n v="25"/>
    <n v="8.6199999999999992"/>
    <s v="C0097"/>
    <x v="26"/>
    <x v="1"/>
    <x v="3"/>
    <n v="25"/>
    <n v="8.6199999999999992"/>
    <n v="16.380000000000003"/>
    <n v="25"/>
    <n v="0"/>
    <n v="1"/>
  </r>
  <r>
    <s v="OR0699"/>
    <x v="238"/>
    <x v="1"/>
    <x v="1"/>
    <n v="2"/>
    <n v="25"/>
    <n v="8.64"/>
    <s v="C0143"/>
    <x v="89"/>
    <x v="1"/>
    <x v="0"/>
    <n v="50"/>
    <n v="17.28"/>
    <n v="32.72"/>
    <n v="25"/>
    <n v="0"/>
    <n v="1"/>
  </r>
  <r>
    <s v="OR0700"/>
    <x v="239"/>
    <x v="1"/>
    <x v="1"/>
    <n v="7"/>
    <n v="25"/>
    <n v="9"/>
    <s v="C0096"/>
    <x v="82"/>
    <x v="1"/>
    <x v="9"/>
    <n v="175"/>
    <n v="63"/>
    <n v="112"/>
    <n v="25"/>
    <n v="0"/>
    <n v="1"/>
  </r>
  <r>
    <s v="OR0701"/>
    <x v="239"/>
    <x v="4"/>
    <x v="4"/>
    <n v="8"/>
    <n v="12"/>
    <n v="3.81"/>
    <s v="C0185"/>
    <x v="55"/>
    <x v="1"/>
    <x v="4"/>
    <n v="96"/>
    <n v="30.48"/>
    <n v="65.52"/>
    <n v="12"/>
    <n v="0"/>
    <n v="1"/>
  </r>
  <r>
    <s v="OR0702"/>
    <x v="239"/>
    <x v="0"/>
    <x v="0"/>
    <n v="5"/>
    <n v="10"/>
    <n v="2.76"/>
    <s v="C0120"/>
    <x v="55"/>
    <x v="1"/>
    <x v="2"/>
    <n v="50"/>
    <n v="13.799999999999999"/>
    <n v="36.200000000000003"/>
    <n v="10"/>
    <n v="0"/>
    <n v="1"/>
  </r>
  <r>
    <s v="OR0703"/>
    <x v="239"/>
    <x v="0"/>
    <x v="0"/>
    <n v="9"/>
    <n v="10"/>
    <n v="2.41"/>
    <s v="C0182"/>
    <x v="57"/>
    <x v="1"/>
    <x v="4"/>
    <n v="90"/>
    <n v="21.69"/>
    <n v="68.31"/>
    <n v="10"/>
    <n v="0"/>
    <n v="1"/>
  </r>
  <r>
    <s v="OR0704"/>
    <x v="240"/>
    <x v="4"/>
    <x v="4"/>
    <n v="1"/>
    <n v="12"/>
    <n v="3.1"/>
    <s v="C0164"/>
    <x v="34"/>
    <x v="0"/>
    <x v="6"/>
    <n v="12"/>
    <n v="3.1"/>
    <n v="8.9"/>
    <n v="12"/>
    <n v="0"/>
    <n v="0"/>
  </r>
  <r>
    <s v="OR0705"/>
    <x v="240"/>
    <x v="4"/>
    <x v="4"/>
    <n v="10"/>
    <n v="12"/>
    <n v="3.77"/>
    <s v="C0003"/>
    <x v="86"/>
    <x v="0"/>
    <x v="6"/>
    <n v="120"/>
    <n v="37.700000000000003"/>
    <n v="82.3"/>
    <n v="12"/>
    <n v="0"/>
    <n v="0"/>
  </r>
  <r>
    <s v="OR0706"/>
    <x v="241"/>
    <x v="0"/>
    <x v="0"/>
    <n v="9"/>
    <n v="10"/>
    <n v="2.02"/>
    <s v="C0077"/>
    <x v="39"/>
    <x v="0"/>
    <x v="7"/>
    <n v="90"/>
    <n v="18.18"/>
    <n v="71.819999999999993"/>
    <n v="10"/>
    <n v="0"/>
    <n v="0"/>
  </r>
  <r>
    <s v="OR0707"/>
    <x v="241"/>
    <x v="2"/>
    <x v="2"/>
    <n v="4"/>
    <n v="40"/>
    <n v="11.92"/>
    <s v="C0064"/>
    <x v="46"/>
    <x v="0"/>
    <x v="4"/>
    <n v="160"/>
    <n v="47.68"/>
    <n v="112.32"/>
    <n v="40"/>
    <n v="0"/>
    <n v="0"/>
  </r>
  <r>
    <s v="OR0708"/>
    <x v="241"/>
    <x v="0"/>
    <x v="0"/>
    <n v="8"/>
    <n v="10"/>
    <n v="3.58"/>
    <s v="C0048"/>
    <x v="87"/>
    <x v="1"/>
    <x v="2"/>
    <n v="80"/>
    <n v="28.64"/>
    <n v="51.36"/>
    <n v="10"/>
    <n v="0"/>
    <n v="1"/>
  </r>
  <r>
    <s v="OR0709"/>
    <x v="241"/>
    <x v="1"/>
    <x v="1"/>
    <n v="10"/>
    <n v="25"/>
    <n v="8.3699999999999992"/>
    <s v="C0043"/>
    <x v="31"/>
    <x v="0"/>
    <x v="0"/>
    <n v="250"/>
    <n v="83.699999999999989"/>
    <n v="166.3"/>
    <n v="25"/>
    <n v="0"/>
    <n v="0"/>
  </r>
  <r>
    <s v="OR0710"/>
    <x v="241"/>
    <x v="4"/>
    <x v="4"/>
    <n v="1"/>
    <n v="12"/>
    <n v="4.25"/>
    <s v="C0132"/>
    <x v="97"/>
    <x v="0"/>
    <x v="3"/>
    <n v="12"/>
    <n v="4.25"/>
    <n v="7.75"/>
    <n v="12"/>
    <n v="0"/>
    <n v="0"/>
  </r>
  <r>
    <s v="OR0711"/>
    <x v="242"/>
    <x v="3"/>
    <x v="3"/>
    <n v="4"/>
    <n v="15"/>
    <n v="4.2"/>
    <s v="C0071"/>
    <x v="7"/>
    <x v="2"/>
    <x v="5"/>
    <n v="60"/>
    <n v="16.8"/>
    <n v="43.2"/>
    <n v="15"/>
    <n v="1"/>
    <n v="0"/>
  </r>
  <r>
    <s v="OR0712"/>
    <x v="242"/>
    <x v="3"/>
    <x v="3"/>
    <n v="4"/>
    <n v="15"/>
    <n v="4.03"/>
    <s v="C0078"/>
    <x v="35"/>
    <x v="1"/>
    <x v="4"/>
    <n v="60"/>
    <n v="16.12"/>
    <n v="43.879999999999995"/>
    <n v="15"/>
    <n v="0"/>
    <n v="1"/>
  </r>
  <r>
    <s v="OR0713"/>
    <x v="242"/>
    <x v="4"/>
    <x v="4"/>
    <n v="4"/>
    <n v="12"/>
    <n v="2.68"/>
    <s v="C0103"/>
    <x v="3"/>
    <x v="3"/>
    <x v="1"/>
    <n v="48"/>
    <n v="10.72"/>
    <n v="37.28"/>
    <n v="12"/>
    <n v="0"/>
    <n v="0"/>
  </r>
  <r>
    <s v="OR0714"/>
    <x v="243"/>
    <x v="0"/>
    <x v="0"/>
    <n v="10"/>
    <n v="10"/>
    <n v="2.65"/>
    <s v="C0050"/>
    <x v="74"/>
    <x v="1"/>
    <x v="5"/>
    <n v="100"/>
    <n v="26.5"/>
    <n v="73.5"/>
    <n v="10"/>
    <n v="0"/>
    <n v="1"/>
  </r>
  <r>
    <s v="OR0715"/>
    <x v="243"/>
    <x v="2"/>
    <x v="2"/>
    <n v="8"/>
    <n v="40"/>
    <n v="8.8699999999999992"/>
    <s v="C0030"/>
    <x v="34"/>
    <x v="0"/>
    <x v="9"/>
    <n v="320"/>
    <n v="70.959999999999994"/>
    <n v="249.04000000000002"/>
    <n v="40"/>
    <n v="0"/>
    <n v="0"/>
  </r>
  <r>
    <s v="OR0716"/>
    <x v="244"/>
    <x v="2"/>
    <x v="2"/>
    <n v="3"/>
    <n v="40"/>
    <n v="14.24"/>
    <s v="C0055"/>
    <x v="91"/>
    <x v="1"/>
    <x v="3"/>
    <n v="120"/>
    <n v="42.72"/>
    <n v="77.28"/>
    <n v="40"/>
    <n v="0"/>
    <n v="1"/>
  </r>
  <r>
    <s v="OR0717"/>
    <x v="244"/>
    <x v="0"/>
    <x v="0"/>
    <n v="2"/>
    <n v="10"/>
    <n v="3.03"/>
    <s v="C0136"/>
    <x v="90"/>
    <x v="0"/>
    <x v="4"/>
    <n v="20"/>
    <n v="6.06"/>
    <n v="13.940000000000001"/>
    <n v="10"/>
    <n v="0"/>
    <n v="0"/>
  </r>
  <r>
    <s v="OR0718"/>
    <x v="245"/>
    <x v="0"/>
    <x v="0"/>
    <n v="9"/>
    <n v="10"/>
    <n v="2.11"/>
    <s v="C0039"/>
    <x v="0"/>
    <x v="0"/>
    <x v="3"/>
    <n v="90"/>
    <n v="18.989999999999998"/>
    <n v="71.010000000000005"/>
    <n v="10"/>
    <n v="0"/>
    <n v="0"/>
  </r>
  <r>
    <s v="OR0719"/>
    <x v="245"/>
    <x v="1"/>
    <x v="1"/>
    <n v="10"/>
    <n v="25"/>
    <n v="6.58"/>
    <s v="C0125"/>
    <x v="83"/>
    <x v="1"/>
    <x v="3"/>
    <n v="250"/>
    <n v="65.8"/>
    <n v="184.2"/>
    <n v="25"/>
    <n v="0"/>
    <n v="1"/>
  </r>
  <r>
    <s v="OR0720"/>
    <x v="246"/>
    <x v="2"/>
    <x v="2"/>
    <n v="6"/>
    <n v="40"/>
    <n v="15.57"/>
    <s v="C0147"/>
    <x v="30"/>
    <x v="1"/>
    <x v="4"/>
    <n v="240"/>
    <n v="93.42"/>
    <n v="146.57999999999998"/>
    <n v="40"/>
    <n v="0"/>
    <n v="1"/>
  </r>
  <r>
    <s v="OR0721"/>
    <x v="246"/>
    <x v="1"/>
    <x v="1"/>
    <n v="9"/>
    <n v="25"/>
    <n v="8.24"/>
    <s v="C0111"/>
    <x v="49"/>
    <x v="1"/>
    <x v="0"/>
    <n v="225"/>
    <n v="74.16"/>
    <n v="150.84"/>
    <n v="25"/>
    <n v="0"/>
    <n v="1"/>
  </r>
  <r>
    <s v="OR0722"/>
    <x v="246"/>
    <x v="1"/>
    <x v="1"/>
    <n v="10"/>
    <n v="25"/>
    <n v="5.84"/>
    <s v="C0089"/>
    <x v="115"/>
    <x v="0"/>
    <x v="0"/>
    <n v="250"/>
    <n v="58.4"/>
    <n v="191.6"/>
    <n v="25"/>
    <n v="0"/>
    <n v="0"/>
  </r>
  <r>
    <s v="OR0723"/>
    <x v="247"/>
    <x v="0"/>
    <x v="0"/>
    <n v="4"/>
    <n v="10"/>
    <n v="3.28"/>
    <s v="C0122"/>
    <x v="1"/>
    <x v="1"/>
    <x v="7"/>
    <n v="40"/>
    <n v="13.12"/>
    <n v="26.880000000000003"/>
    <n v="10"/>
    <n v="0"/>
    <n v="1"/>
  </r>
  <r>
    <s v="OR0724"/>
    <x v="247"/>
    <x v="1"/>
    <x v="1"/>
    <n v="8"/>
    <n v="25"/>
    <n v="9.33"/>
    <s v="C0192"/>
    <x v="66"/>
    <x v="1"/>
    <x v="8"/>
    <n v="200"/>
    <n v="74.64"/>
    <n v="125.36"/>
    <n v="25"/>
    <n v="0"/>
    <n v="1"/>
  </r>
  <r>
    <s v="OR0725"/>
    <x v="248"/>
    <x v="3"/>
    <x v="3"/>
    <n v="10"/>
    <n v="15"/>
    <n v="5.0199999999999996"/>
    <s v="C0112"/>
    <x v="70"/>
    <x v="1"/>
    <x v="9"/>
    <n v="150"/>
    <n v="50.199999999999996"/>
    <n v="99.800000000000011"/>
    <n v="15"/>
    <n v="0"/>
    <n v="1"/>
  </r>
  <r>
    <s v="OR0726"/>
    <x v="248"/>
    <x v="1"/>
    <x v="1"/>
    <n v="1"/>
    <n v="25"/>
    <n v="8.68"/>
    <s v="C0058"/>
    <x v="74"/>
    <x v="3"/>
    <x v="1"/>
    <n v="25"/>
    <n v="8.68"/>
    <n v="16.32"/>
    <n v="25"/>
    <n v="0"/>
    <n v="0"/>
  </r>
  <r>
    <s v="OR0727"/>
    <x v="248"/>
    <x v="2"/>
    <x v="2"/>
    <n v="7"/>
    <n v="40"/>
    <n v="8.74"/>
    <s v="C0177"/>
    <x v="110"/>
    <x v="0"/>
    <x v="4"/>
    <n v="280"/>
    <n v="61.18"/>
    <n v="218.82"/>
    <n v="40"/>
    <n v="0"/>
    <n v="0"/>
  </r>
  <r>
    <s v="OR0728"/>
    <x v="249"/>
    <x v="1"/>
    <x v="1"/>
    <n v="3"/>
    <n v="25"/>
    <n v="7.17"/>
    <s v="C0092"/>
    <x v="102"/>
    <x v="1"/>
    <x v="3"/>
    <n v="75"/>
    <n v="21.509999999999998"/>
    <n v="53.49"/>
    <n v="25"/>
    <n v="0"/>
    <n v="1"/>
  </r>
  <r>
    <s v="OR0729"/>
    <x v="250"/>
    <x v="0"/>
    <x v="0"/>
    <n v="8"/>
    <n v="10"/>
    <n v="3.47"/>
    <s v="C0134"/>
    <x v="71"/>
    <x v="0"/>
    <x v="3"/>
    <n v="80"/>
    <n v="27.76"/>
    <n v="52.239999999999995"/>
    <n v="10"/>
    <n v="0"/>
    <n v="0"/>
  </r>
  <r>
    <s v="OR0730"/>
    <x v="251"/>
    <x v="4"/>
    <x v="4"/>
    <n v="5"/>
    <n v="12"/>
    <n v="2.78"/>
    <s v="C0083"/>
    <x v="71"/>
    <x v="0"/>
    <x v="2"/>
    <n v="60"/>
    <n v="13.899999999999999"/>
    <n v="46.1"/>
    <n v="12"/>
    <n v="0"/>
    <n v="0"/>
  </r>
  <r>
    <s v="OR0731"/>
    <x v="251"/>
    <x v="4"/>
    <x v="4"/>
    <n v="9"/>
    <n v="12"/>
    <n v="2.94"/>
    <s v="C0069"/>
    <x v="3"/>
    <x v="1"/>
    <x v="9"/>
    <n v="108"/>
    <n v="26.46"/>
    <n v="81.539999999999992"/>
    <n v="12"/>
    <n v="0"/>
    <n v="1"/>
  </r>
  <r>
    <s v="OR0732"/>
    <x v="251"/>
    <x v="4"/>
    <x v="4"/>
    <n v="3"/>
    <n v="12"/>
    <n v="4.49"/>
    <s v="C0147"/>
    <x v="30"/>
    <x v="1"/>
    <x v="2"/>
    <n v="36"/>
    <n v="13.47"/>
    <n v="22.53"/>
    <n v="12"/>
    <n v="0"/>
    <n v="1"/>
  </r>
  <r>
    <s v="OR0733"/>
    <x v="252"/>
    <x v="1"/>
    <x v="1"/>
    <n v="8"/>
    <n v="25"/>
    <n v="6.84"/>
    <s v="C0004"/>
    <x v="94"/>
    <x v="2"/>
    <x v="8"/>
    <n v="200"/>
    <n v="54.72"/>
    <n v="145.28"/>
    <n v="25"/>
    <n v="1"/>
    <n v="0"/>
  </r>
  <r>
    <s v="OR0734"/>
    <x v="252"/>
    <x v="1"/>
    <x v="1"/>
    <n v="9"/>
    <n v="25"/>
    <n v="7.79"/>
    <s v="C0200"/>
    <x v="0"/>
    <x v="1"/>
    <x v="6"/>
    <n v="225"/>
    <n v="70.11"/>
    <n v="154.88999999999999"/>
    <n v="25"/>
    <n v="0"/>
    <n v="1"/>
  </r>
  <r>
    <s v="OR0735"/>
    <x v="252"/>
    <x v="1"/>
    <x v="1"/>
    <n v="7"/>
    <n v="25"/>
    <n v="8.2899999999999991"/>
    <s v="C0027"/>
    <x v="73"/>
    <x v="1"/>
    <x v="4"/>
    <n v="175"/>
    <n v="58.029999999999994"/>
    <n v="116.97"/>
    <n v="25"/>
    <n v="0"/>
    <n v="1"/>
  </r>
  <r>
    <s v="OR0736"/>
    <x v="253"/>
    <x v="0"/>
    <x v="0"/>
    <n v="2"/>
    <n v="10"/>
    <n v="2.94"/>
    <s v="C0041"/>
    <x v="45"/>
    <x v="3"/>
    <x v="0"/>
    <n v="20"/>
    <n v="5.88"/>
    <n v="14.120000000000001"/>
    <n v="10"/>
    <n v="0"/>
    <n v="0"/>
  </r>
  <r>
    <s v="OR0737"/>
    <x v="253"/>
    <x v="0"/>
    <x v="0"/>
    <n v="1"/>
    <n v="10"/>
    <n v="3.62"/>
    <s v="C0127"/>
    <x v="22"/>
    <x v="1"/>
    <x v="0"/>
    <n v="10"/>
    <n v="3.62"/>
    <n v="6.38"/>
    <n v="10"/>
    <n v="0"/>
    <n v="1"/>
  </r>
  <r>
    <s v="OR0738"/>
    <x v="254"/>
    <x v="0"/>
    <x v="0"/>
    <n v="8"/>
    <n v="10"/>
    <n v="2.08"/>
    <s v="C0138"/>
    <x v="50"/>
    <x v="1"/>
    <x v="2"/>
    <n v="80"/>
    <n v="16.64"/>
    <n v="63.36"/>
    <n v="10"/>
    <n v="0"/>
    <n v="1"/>
  </r>
  <r>
    <s v="OR0739"/>
    <x v="255"/>
    <x v="4"/>
    <x v="4"/>
    <n v="5"/>
    <n v="12"/>
    <n v="4.6900000000000004"/>
    <s v="C0024"/>
    <x v="104"/>
    <x v="1"/>
    <x v="9"/>
    <n v="60"/>
    <n v="23.450000000000003"/>
    <n v="36.549999999999997"/>
    <n v="12"/>
    <n v="0"/>
    <n v="1"/>
  </r>
  <r>
    <s v="OR0740"/>
    <x v="255"/>
    <x v="4"/>
    <x v="4"/>
    <n v="7"/>
    <n v="12"/>
    <n v="3.9"/>
    <s v="C0126"/>
    <x v="90"/>
    <x v="3"/>
    <x v="6"/>
    <n v="84"/>
    <n v="27.3"/>
    <n v="56.7"/>
    <n v="12"/>
    <n v="0"/>
    <n v="0"/>
  </r>
  <r>
    <s v="OR0741"/>
    <x v="256"/>
    <x v="3"/>
    <x v="3"/>
    <n v="10"/>
    <n v="15"/>
    <n v="3.05"/>
    <s v="C0098"/>
    <x v="98"/>
    <x v="0"/>
    <x v="2"/>
    <n v="150"/>
    <n v="30.5"/>
    <n v="119.5"/>
    <n v="15"/>
    <n v="0"/>
    <n v="0"/>
  </r>
  <r>
    <s v="OR0742"/>
    <x v="256"/>
    <x v="2"/>
    <x v="2"/>
    <n v="5"/>
    <n v="40"/>
    <n v="8.11"/>
    <s v="C0077"/>
    <x v="39"/>
    <x v="1"/>
    <x v="8"/>
    <n v="200"/>
    <n v="40.549999999999997"/>
    <n v="159.44999999999999"/>
    <n v="40"/>
    <n v="0"/>
    <n v="1"/>
  </r>
  <r>
    <s v="OR0743"/>
    <x v="256"/>
    <x v="0"/>
    <x v="0"/>
    <n v="10"/>
    <n v="10"/>
    <n v="3.29"/>
    <s v="C0027"/>
    <x v="73"/>
    <x v="1"/>
    <x v="5"/>
    <n v="100"/>
    <n v="32.9"/>
    <n v="67.099999999999994"/>
    <n v="10"/>
    <n v="0"/>
    <n v="1"/>
  </r>
  <r>
    <s v="OR0744"/>
    <x v="257"/>
    <x v="0"/>
    <x v="0"/>
    <n v="5"/>
    <n v="10"/>
    <n v="2.66"/>
    <s v="C0139"/>
    <x v="47"/>
    <x v="0"/>
    <x v="5"/>
    <n v="50"/>
    <n v="13.3"/>
    <n v="36.700000000000003"/>
    <n v="10"/>
    <n v="0"/>
    <n v="0"/>
  </r>
  <r>
    <s v="OR0745"/>
    <x v="257"/>
    <x v="3"/>
    <x v="3"/>
    <n v="7"/>
    <n v="15"/>
    <n v="3.82"/>
    <s v="C0183"/>
    <x v="1"/>
    <x v="1"/>
    <x v="8"/>
    <n v="105"/>
    <n v="26.74"/>
    <n v="78.260000000000005"/>
    <n v="15"/>
    <n v="0"/>
    <n v="1"/>
  </r>
  <r>
    <s v="OR0746"/>
    <x v="258"/>
    <x v="2"/>
    <x v="2"/>
    <n v="4"/>
    <n v="40"/>
    <n v="9.31"/>
    <s v="C0070"/>
    <x v="117"/>
    <x v="0"/>
    <x v="3"/>
    <n v="160"/>
    <n v="37.24"/>
    <n v="122.75999999999999"/>
    <n v="40"/>
    <n v="0"/>
    <n v="0"/>
  </r>
  <r>
    <s v="OR0747"/>
    <x v="258"/>
    <x v="4"/>
    <x v="4"/>
    <n v="6"/>
    <n v="12"/>
    <n v="3.66"/>
    <s v="C0036"/>
    <x v="93"/>
    <x v="1"/>
    <x v="8"/>
    <n v="72"/>
    <n v="21.96"/>
    <n v="50.04"/>
    <n v="12"/>
    <n v="0"/>
    <n v="1"/>
  </r>
  <r>
    <s v="OR0748"/>
    <x v="259"/>
    <x v="2"/>
    <x v="2"/>
    <n v="1"/>
    <n v="40"/>
    <n v="9.89"/>
    <s v="C0063"/>
    <x v="9"/>
    <x v="0"/>
    <x v="3"/>
    <n v="40"/>
    <n v="9.89"/>
    <n v="30.11"/>
    <n v="40"/>
    <n v="0"/>
    <n v="0"/>
  </r>
  <r>
    <s v="OR0749"/>
    <x v="259"/>
    <x v="0"/>
    <x v="0"/>
    <n v="1"/>
    <n v="10"/>
    <n v="3.17"/>
    <s v="C0152"/>
    <x v="101"/>
    <x v="0"/>
    <x v="5"/>
    <n v="10"/>
    <n v="3.17"/>
    <n v="6.83"/>
    <n v="10"/>
    <n v="0"/>
    <n v="0"/>
  </r>
  <r>
    <s v="OR0750"/>
    <x v="259"/>
    <x v="4"/>
    <x v="4"/>
    <n v="1"/>
    <n v="12"/>
    <n v="2.92"/>
    <s v="C0035"/>
    <x v="16"/>
    <x v="1"/>
    <x v="8"/>
    <n v="12"/>
    <n v="2.92"/>
    <n v="9.08"/>
    <n v="12"/>
    <n v="0"/>
    <n v="1"/>
  </r>
  <r>
    <s v="OR0751"/>
    <x v="260"/>
    <x v="0"/>
    <x v="0"/>
    <n v="10"/>
    <n v="10"/>
    <n v="2.95"/>
    <s v="C0020"/>
    <x v="111"/>
    <x v="0"/>
    <x v="4"/>
    <n v="100"/>
    <n v="29.5"/>
    <n v="70.5"/>
    <n v="10"/>
    <n v="0"/>
    <n v="0"/>
  </r>
  <r>
    <s v="OR0752"/>
    <x v="260"/>
    <x v="2"/>
    <x v="2"/>
    <n v="10"/>
    <n v="40"/>
    <n v="15.92"/>
    <s v="C0106"/>
    <x v="7"/>
    <x v="1"/>
    <x v="2"/>
    <n v="400"/>
    <n v="159.19999999999999"/>
    <n v="240.8"/>
    <n v="40"/>
    <n v="0"/>
    <n v="1"/>
  </r>
  <r>
    <s v="OR0753"/>
    <x v="261"/>
    <x v="4"/>
    <x v="4"/>
    <n v="5"/>
    <n v="12"/>
    <n v="4.0199999999999996"/>
    <s v="C0088"/>
    <x v="3"/>
    <x v="3"/>
    <x v="5"/>
    <n v="60"/>
    <n v="20.099999999999998"/>
    <n v="39.900000000000006"/>
    <n v="12"/>
    <n v="0"/>
    <n v="0"/>
  </r>
  <r>
    <s v="OR0754"/>
    <x v="262"/>
    <x v="0"/>
    <x v="0"/>
    <n v="5"/>
    <n v="10"/>
    <n v="3.63"/>
    <s v="C0147"/>
    <x v="30"/>
    <x v="1"/>
    <x v="4"/>
    <n v="50"/>
    <n v="18.149999999999999"/>
    <n v="31.85"/>
    <n v="10"/>
    <n v="0"/>
    <n v="1"/>
  </r>
  <r>
    <s v="OR0755"/>
    <x v="262"/>
    <x v="2"/>
    <x v="2"/>
    <n v="10"/>
    <n v="40"/>
    <n v="9.3800000000000008"/>
    <s v="C0132"/>
    <x v="97"/>
    <x v="2"/>
    <x v="1"/>
    <n v="400"/>
    <n v="93.800000000000011"/>
    <n v="306.2"/>
    <n v="40"/>
    <n v="1"/>
    <n v="0"/>
  </r>
  <r>
    <s v="OR0756"/>
    <x v="262"/>
    <x v="3"/>
    <x v="3"/>
    <n v="9"/>
    <n v="15"/>
    <n v="3.13"/>
    <s v="C0164"/>
    <x v="34"/>
    <x v="3"/>
    <x v="4"/>
    <n v="135"/>
    <n v="28.169999999999998"/>
    <n v="106.83"/>
    <n v="15"/>
    <n v="0"/>
    <n v="0"/>
  </r>
  <r>
    <s v="OR0757"/>
    <x v="263"/>
    <x v="0"/>
    <x v="0"/>
    <n v="6"/>
    <n v="10"/>
    <n v="2.29"/>
    <s v="C0186"/>
    <x v="98"/>
    <x v="1"/>
    <x v="2"/>
    <n v="60"/>
    <n v="13.74"/>
    <n v="46.26"/>
    <n v="10"/>
    <n v="0"/>
    <n v="1"/>
  </r>
  <r>
    <s v="OR0758"/>
    <x v="263"/>
    <x v="3"/>
    <x v="3"/>
    <n v="3"/>
    <n v="15"/>
    <n v="5.75"/>
    <s v="C0180"/>
    <x v="83"/>
    <x v="1"/>
    <x v="9"/>
    <n v="45"/>
    <n v="17.25"/>
    <n v="27.75"/>
    <n v="15"/>
    <n v="0"/>
    <n v="1"/>
  </r>
  <r>
    <s v="OR0759"/>
    <x v="263"/>
    <x v="4"/>
    <x v="4"/>
    <n v="1"/>
    <n v="12"/>
    <n v="3.85"/>
    <s v="C0158"/>
    <x v="36"/>
    <x v="1"/>
    <x v="6"/>
    <n v="12"/>
    <n v="3.85"/>
    <n v="8.15"/>
    <n v="12"/>
    <n v="0"/>
    <n v="1"/>
  </r>
  <r>
    <s v="OR0760"/>
    <x v="264"/>
    <x v="2"/>
    <x v="2"/>
    <n v="7"/>
    <n v="40"/>
    <n v="10.52"/>
    <s v="C0057"/>
    <x v="54"/>
    <x v="1"/>
    <x v="9"/>
    <n v="280"/>
    <n v="73.64"/>
    <n v="206.36"/>
    <n v="40"/>
    <n v="0"/>
    <n v="1"/>
  </r>
  <r>
    <s v="OR0761"/>
    <x v="264"/>
    <x v="0"/>
    <x v="0"/>
    <n v="1"/>
    <n v="10"/>
    <n v="3.77"/>
    <s v="C0009"/>
    <x v="53"/>
    <x v="1"/>
    <x v="1"/>
    <n v="10"/>
    <n v="3.77"/>
    <n v="6.23"/>
    <n v="10"/>
    <n v="0"/>
    <n v="1"/>
  </r>
  <r>
    <s v="OR0762"/>
    <x v="265"/>
    <x v="1"/>
    <x v="1"/>
    <n v="8"/>
    <n v="25"/>
    <n v="8.85"/>
    <s v="C0198"/>
    <x v="109"/>
    <x v="1"/>
    <x v="9"/>
    <n v="200"/>
    <n v="70.8"/>
    <n v="129.19999999999999"/>
    <n v="25"/>
    <n v="0"/>
    <n v="1"/>
  </r>
  <r>
    <s v="OR0763"/>
    <x v="265"/>
    <x v="1"/>
    <x v="1"/>
    <n v="2"/>
    <n v="25"/>
    <n v="8.5399999999999991"/>
    <s v="C0127"/>
    <x v="22"/>
    <x v="1"/>
    <x v="6"/>
    <n v="50"/>
    <n v="17.079999999999998"/>
    <n v="32.92"/>
    <n v="25"/>
    <n v="0"/>
    <n v="1"/>
  </r>
  <r>
    <s v="OR0764"/>
    <x v="266"/>
    <x v="3"/>
    <x v="3"/>
    <n v="10"/>
    <n v="15"/>
    <n v="4.92"/>
    <s v="C0137"/>
    <x v="52"/>
    <x v="1"/>
    <x v="7"/>
    <n v="150"/>
    <n v="49.2"/>
    <n v="100.8"/>
    <n v="15"/>
    <n v="0"/>
    <n v="1"/>
  </r>
  <r>
    <s v="OR0765"/>
    <x v="267"/>
    <x v="2"/>
    <x v="2"/>
    <n v="8"/>
    <n v="40"/>
    <n v="15.87"/>
    <s v="C0022"/>
    <x v="32"/>
    <x v="2"/>
    <x v="0"/>
    <n v="320"/>
    <n v="126.96"/>
    <n v="193.04000000000002"/>
    <n v="40"/>
    <n v="1"/>
    <n v="0"/>
  </r>
  <r>
    <s v="OR0766"/>
    <x v="267"/>
    <x v="4"/>
    <x v="4"/>
    <n v="8"/>
    <n v="12"/>
    <n v="2.44"/>
    <s v="C0112"/>
    <x v="70"/>
    <x v="1"/>
    <x v="5"/>
    <n v="96"/>
    <n v="19.52"/>
    <n v="76.48"/>
    <n v="12"/>
    <n v="0"/>
    <n v="1"/>
  </r>
  <r>
    <s v="OR0767"/>
    <x v="267"/>
    <x v="3"/>
    <x v="3"/>
    <n v="7"/>
    <n v="15"/>
    <n v="3.55"/>
    <s v="C0072"/>
    <x v="88"/>
    <x v="1"/>
    <x v="3"/>
    <n v="105"/>
    <n v="24.849999999999998"/>
    <n v="80.150000000000006"/>
    <n v="15"/>
    <n v="0"/>
    <n v="1"/>
  </r>
  <r>
    <s v="OR0768"/>
    <x v="267"/>
    <x v="0"/>
    <x v="0"/>
    <n v="1"/>
    <n v="10"/>
    <n v="3.51"/>
    <s v="C0180"/>
    <x v="83"/>
    <x v="1"/>
    <x v="5"/>
    <n v="10"/>
    <n v="3.51"/>
    <n v="6.49"/>
    <n v="10"/>
    <n v="0"/>
    <n v="1"/>
  </r>
  <r>
    <s v="OR0769"/>
    <x v="268"/>
    <x v="1"/>
    <x v="1"/>
    <n v="3"/>
    <n v="25"/>
    <n v="8.26"/>
    <s v="C0114"/>
    <x v="5"/>
    <x v="1"/>
    <x v="5"/>
    <n v="75"/>
    <n v="24.78"/>
    <n v="50.22"/>
    <n v="25"/>
    <n v="0"/>
    <n v="1"/>
  </r>
  <r>
    <s v="OR0770"/>
    <x v="269"/>
    <x v="1"/>
    <x v="1"/>
    <n v="10"/>
    <n v="25"/>
    <n v="7.05"/>
    <s v="C0083"/>
    <x v="71"/>
    <x v="0"/>
    <x v="0"/>
    <n v="250"/>
    <n v="70.5"/>
    <n v="179.5"/>
    <n v="25"/>
    <n v="0"/>
    <n v="0"/>
  </r>
  <r>
    <s v="OR0771"/>
    <x v="269"/>
    <x v="2"/>
    <x v="2"/>
    <n v="4"/>
    <n v="40"/>
    <n v="14.12"/>
    <s v="C0127"/>
    <x v="22"/>
    <x v="2"/>
    <x v="2"/>
    <n v="160"/>
    <n v="56.48"/>
    <n v="103.52000000000001"/>
    <n v="40"/>
    <n v="1"/>
    <n v="0"/>
  </r>
  <r>
    <s v="OR0772"/>
    <x v="270"/>
    <x v="2"/>
    <x v="2"/>
    <n v="7"/>
    <n v="40"/>
    <n v="10.23"/>
    <s v="C0198"/>
    <x v="109"/>
    <x v="1"/>
    <x v="2"/>
    <n v="280"/>
    <n v="71.61"/>
    <n v="208.39"/>
    <n v="40"/>
    <n v="0"/>
    <n v="1"/>
  </r>
  <r>
    <s v="OR0773"/>
    <x v="270"/>
    <x v="3"/>
    <x v="3"/>
    <n v="5"/>
    <n v="15"/>
    <n v="5.01"/>
    <s v="C0084"/>
    <x v="28"/>
    <x v="2"/>
    <x v="2"/>
    <n v="75"/>
    <n v="25.049999999999997"/>
    <n v="49.95"/>
    <n v="15"/>
    <n v="1"/>
    <n v="0"/>
  </r>
  <r>
    <s v="OR0774"/>
    <x v="271"/>
    <x v="1"/>
    <x v="1"/>
    <n v="9"/>
    <n v="25"/>
    <n v="7.98"/>
    <s v="C0143"/>
    <x v="89"/>
    <x v="1"/>
    <x v="8"/>
    <n v="225"/>
    <n v="71.820000000000007"/>
    <n v="153.18"/>
    <n v="25"/>
    <n v="0"/>
    <n v="1"/>
  </r>
  <r>
    <s v="OR0775"/>
    <x v="271"/>
    <x v="2"/>
    <x v="2"/>
    <n v="7"/>
    <n v="40"/>
    <n v="14.85"/>
    <s v="C0071"/>
    <x v="7"/>
    <x v="2"/>
    <x v="1"/>
    <n v="280"/>
    <n v="103.95"/>
    <n v="176.05"/>
    <n v="40"/>
    <n v="1"/>
    <n v="0"/>
  </r>
  <r>
    <s v="OR0776"/>
    <x v="271"/>
    <x v="4"/>
    <x v="4"/>
    <n v="7"/>
    <n v="12"/>
    <n v="4.57"/>
    <s v="C0171"/>
    <x v="59"/>
    <x v="1"/>
    <x v="2"/>
    <n v="84"/>
    <n v="31.990000000000002"/>
    <n v="52.01"/>
    <n v="12"/>
    <n v="0"/>
    <n v="1"/>
  </r>
  <r>
    <s v="OR0777"/>
    <x v="272"/>
    <x v="4"/>
    <x v="4"/>
    <n v="7"/>
    <n v="12"/>
    <n v="4.38"/>
    <s v="C0049"/>
    <x v="74"/>
    <x v="1"/>
    <x v="2"/>
    <n v="84"/>
    <n v="30.66"/>
    <n v="53.34"/>
    <n v="12"/>
    <n v="0"/>
    <n v="1"/>
  </r>
  <r>
    <s v="OR0778"/>
    <x v="272"/>
    <x v="3"/>
    <x v="3"/>
    <n v="10"/>
    <n v="15"/>
    <n v="3.73"/>
    <s v="C0012"/>
    <x v="13"/>
    <x v="3"/>
    <x v="6"/>
    <n v="150"/>
    <n v="37.299999999999997"/>
    <n v="112.7"/>
    <n v="15"/>
    <n v="0"/>
    <n v="0"/>
  </r>
  <r>
    <s v="OR0779"/>
    <x v="272"/>
    <x v="2"/>
    <x v="2"/>
    <n v="6"/>
    <n v="40"/>
    <n v="10.78"/>
    <s v="C0075"/>
    <x v="71"/>
    <x v="0"/>
    <x v="8"/>
    <n v="240"/>
    <n v="64.679999999999993"/>
    <n v="175.32"/>
    <n v="40"/>
    <n v="0"/>
    <n v="0"/>
  </r>
  <r>
    <s v="OR0780"/>
    <x v="272"/>
    <x v="3"/>
    <x v="3"/>
    <n v="9"/>
    <n v="15"/>
    <n v="4.62"/>
    <s v="C0019"/>
    <x v="118"/>
    <x v="0"/>
    <x v="5"/>
    <n v="135"/>
    <n v="41.58"/>
    <n v="93.42"/>
    <n v="15"/>
    <n v="0"/>
    <n v="0"/>
  </r>
  <r>
    <s v="OR0781"/>
    <x v="272"/>
    <x v="2"/>
    <x v="2"/>
    <n v="10"/>
    <n v="40"/>
    <n v="10.4"/>
    <s v="C0110"/>
    <x v="26"/>
    <x v="3"/>
    <x v="3"/>
    <n v="400"/>
    <n v="104"/>
    <n v="296"/>
    <n v="40"/>
    <n v="0"/>
    <n v="0"/>
  </r>
  <r>
    <s v="OR0782"/>
    <x v="273"/>
    <x v="4"/>
    <x v="4"/>
    <n v="6"/>
    <n v="12"/>
    <n v="4.6100000000000003"/>
    <s v="C0008"/>
    <x v="68"/>
    <x v="1"/>
    <x v="6"/>
    <n v="72"/>
    <n v="27.660000000000004"/>
    <n v="44.339999999999996"/>
    <n v="12"/>
    <n v="0"/>
    <n v="1"/>
  </r>
  <r>
    <s v="OR0783"/>
    <x v="274"/>
    <x v="3"/>
    <x v="3"/>
    <n v="5"/>
    <n v="15"/>
    <n v="5.78"/>
    <s v="C0101"/>
    <x v="3"/>
    <x v="0"/>
    <x v="0"/>
    <n v="75"/>
    <n v="28.900000000000002"/>
    <n v="46.099999999999994"/>
    <n v="15"/>
    <n v="0"/>
    <n v="0"/>
  </r>
  <r>
    <s v="OR0784"/>
    <x v="274"/>
    <x v="1"/>
    <x v="1"/>
    <n v="6"/>
    <n v="25"/>
    <n v="7.31"/>
    <s v="C0059"/>
    <x v="31"/>
    <x v="1"/>
    <x v="1"/>
    <n v="150"/>
    <n v="43.86"/>
    <n v="106.14"/>
    <n v="25"/>
    <n v="0"/>
    <n v="1"/>
  </r>
  <r>
    <s v="OR0785"/>
    <x v="274"/>
    <x v="1"/>
    <x v="1"/>
    <n v="4"/>
    <n v="25"/>
    <n v="5.44"/>
    <s v="C0010"/>
    <x v="63"/>
    <x v="1"/>
    <x v="2"/>
    <n v="100"/>
    <n v="21.76"/>
    <n v="78.239999999999995"/>
    <n v="25"/>
    <n v="0"/>
    <n v="1"/>
  </r>
  <r>
    <s v="OR0786"/>
    <x v="275"/>
    <x v="2"/>
    <x v="2"/>
    <n v="1"/>
    <n v="40"/>
    <n v="15.04"/>
    <s v="C0134"/>
    <x v="71"/>
    <x v="0"/>
    <x v="3"/>
    <n v="40"/>
    <n v="15.04"/>
    <n v="24.96"/>
    <n v="40"/>
    <n v="0"/>
    <n v="0"/>
  </r>
  <r>
    <s v="OR0787"/>
    <x v="275"/>
    <x v="3"/>
    <x v="3"/>
    <n v="9"/>
    <n v="15"/>
    <n v="4.9000000000000004"/>
    <s v="C0082"/>
    <x v="14"/>
    <x v="0"/>
    <x v="8"/>
    <n v="135"/>
    <n v="44.1"/>
    <n v="90.9"/>
    <n v="15"/>
    <n v="0"/>
    <n v="0"/>
  </r>
  <r>
    <s v="OR0788"/>
    <x v="275"/>
    <x v="2"/>
    <x v="2"/>
    <n v="6"/>
    <n v="40"/>
    <n v="11.76"/>
    <s v="C0132"/>
    <x v="97"/>
    <x v="1"/>
    <x v="9"/>
    <n v="240"/>
    <n v="70.56"/>
    <n v="169.44"/>
    <n v="40"/>
    <n v="0"/>
    <n v="1"/>
  </r>
  <r>
    <s v="OR0789"/>
    <x v="275"/>
    <x v="4"/>
    <x v="4"/>
    <n v="5"/>
    <n v="12"/>
    <n v="4.68"/>
    <s v="C0037"/>
    <x v="64"/>
    <x v="0"/>
    <x v="8"/>
    <n v="60"/>
    <n v="23.4"/>
    <n v="36.6"/>
    <n v="12"/>
    <n v="0"/>
    <n v="0"/>
  </r>
  <r>
    <s v="OR0790"/>
    <x v="276"/>
    <x v="3"/>
    <x v="3"/>
    <n v="7"/>
    <n v="15"/>
    <n v="4.3899999999999997"/>
    <s v="C0038"/>
    <x v="22"/>
    <x v="1"/>
    <x v="7"/>
    <n v="105"/>
    <n v="30.729999999999997"/>
    <n v="74.27000000000001"/>
    <n v="15"/>
    <n v="0"/>
    <n v="1"/>
  </r>
  <r>
    <s v="OR0791"/>
    <x v="276"/>
    <x v="4"/>
    <x v="4"/>
    <n v="7"/>
    <n v="12"/>
    <n v="4.01"/>
    <s v="C0052"/>
    <x v="6"/>
    <x v="1"/>
    <x v="2"/>
    <n v="84"/>
    <n v="28.07"/>
    <n v="55.93"/>
    <n v="12"/>
    <n v="0"/>
    <n v="1"/>
  </r>
  <r>
    <s v="OR0792"/>
    <x v="276"/>
    <x v="3"/>
    <x v="3"/>
    <n v="6"/>
    <n v="15"/>
    <n v="3.88"/>
    <s v="C0168"/>
    <x v="62"/>
    <x v="0"/>
    <x v="6"/>
    <n v="90"/>
    <n v="23.28"/>
    <n v="66.72"/>
    <n v="15"/>
    <n v="0"/>
    <n v="0"/>
  </r>
  <r>
    <s v="OR0793"/>
    <x v="276"/>
    <x v="1"/>
    <x v="1"/>
    <n v="6"/>
    <n v="25"/>
    <n v="6.57"/>
    <s v="C0092"/>
    <x v="102"/>
    <x v="0"/>
    <x v="5"/>
    <n v="150"/>
    <n v="39.42"/>
    <n v="110.58"/>
    <n v="25"/>
    <n v="0"/>
    <n v="0"/>
  </r>
  <r>
    <s v="OR0794"/>
    <x v="276"/>
    <x v="0"/>
    <x v="0"/>
    <n v="7"/>
    <n v="10"/>
    <n v="3.92"/>
    <s v="C0025"/>
    <x v="58"/>
    <x v="3"/>
    <x v="3"/>
    <n v="70"/>
    <n v="27.439999999999998"/>
    <n v="42.56"/>
    <n v="10"/>
    <n v="0"/>
    <n v="0"/>
  </r>
  <r>
    <s v="OR0795"/>
    <x v="276"/>
    <x v="0"/>
    <x v="0"/>
    <n v="4"/>
    <n v="10"/>
    <n v="2.33"/>
    <s v="C0041"/>
    <x v="45"/>
    <x v="1"/>
    <x v="1"/>
    <n v="40"/>
    <n v="9.32"/>
    <n v="30.68"/>
    <n v="10"/>
    <n v="0"/>
    <n v="1"/>
  </r>
  <r>
    <s v="OR0796"/>
    <x v="276"/>
    <x v="0"/>
    <x v="0"/>
    <n v="2"/>
    <n v="10"/>
    <n v="3.79"/>
    <s v="C0060"/>
    <x v="80"/>
    <x v="1"/>
    <x v="9"/>
    <n v="20"/>
    <n v="7.58"/>
    <n v="12.42"/>
    <n v="10"/>
    <n v="0"/>
    <n v="1"/>
  </r>
  <r>
    <s v="OR0797"/>
    <x v="277"/>
    <x v="4"/>
    <x v="4"/>
    <n v="4"/>
    <n v="12"/>
    <n v="4.72"/>
    <s v="C0195"/>
    <x v="56"/>
    <x v="1"/>
    <x v="5"/>
    <n v="48"/>
    <n v="18.88"/>
    <n v="29.12"/>
    <n v="12"/>
    <n v="0"/>
    <n v="1"/>
  </r>
  <r>
    <s v="OR0798"/>
    <x v="277"/>
    <x v="3"/>
    <x v="3"/>
    <n v="1"/>
    <n v="15"/>
    <n v="4.58"/>
    <s v="C0195"/>
    <x v="56"/>
    <x v="1"/>
    <x v="6"/>
    <n v="15"/>
    <n v="4.58"/>
    <n v="10.42"/>
    <n v="15"/>
    <n v="0"/>
    <n v="1"/>
  </r>
  <r>
    <s v="OR0799"/>
    <x v="278"/>
    <x v="1"/>
    <x v="1"/>
    <n v="3"/>
    <n v="25"/>
    <n v="8.26"/>
    <s v="C0023"/>
    <x v="63"/>
    <x v="1"/>
    <x v="9"/>
    <n v="75"/>
    <n v="24.78"/>
    <n v="50.22"/>
    <n v="25"/>
    <n v="0"/>
    <n v="1"/>
  </r>
  <r>
    <s v="OR0800"/>
    <x v="278"/>
    <x v="3"/>
    <x v="3"/>
    <n v="9"/>
    <n v="15"/>
    <n v="4.99"/>
    <s v="C0107"/>
    <x v="56"/>
    <x v="1"/>
    <x v="9"/>
    <n v="135"/>
    <n v="44.910000000000004"/>
    <n v="90.09"/>
    <n v="15"/>
    <n v="0"/>
    <n v="1"/>
  </r>
  <r>
    <s v="OR0801"/>
    <x v="278"/>
    <x v="4"/>
    <x v="4"/>
    <n v="9"/>
    <n v="12"/>
    <n v="4.3499999999999996"/>
    <s v="C0067"/>
    <x v="52"/>
    <x v="1"/>
    <x v="4"/>
    <n v="108"/>
    <n v="39.15"/>
    <n v="68.849999999999994"/>
    <n v="12"/>
    <n v="0"/>
    <n v="1"/>
  </r>
  <r>
    <s v="OR0802"/>
    <x v="278"/>
    <x v="2"/>
    <x v="2"/>
    <n v="1"/>
    <n v="40"/>
    <n v="13.06"/>
    <s v="C0155"/>
    <x v="89"/>
    <x v="1"/>
    <x v="3"/>
    <n v="40"/>
    <n v="13.06"/>
    <n v="26.939999999999998"/>
    <n v="40"/>
    <n v="0"/>
    <n v="1"/>
  </r>
  <r>
    <s v="OR0803"/>
    <x v="278"/>
    <x v="3"/>
    <x v="3"/>
    <n v="10"/>
    <n v="15"/>
    <n v="5.31"/>
    <s v="C0080"/>
    <x v="16"/>
    <x v="0"/>
    <x v="9"/>
    <n v="150"/>
    <n v="53.099999999999994"/>
    <n v="96.9"/>
    <n v="15"/>
    <n v="0"/>
    <n v="0"/>
  </r>
  <r>
    <s v="OR0804"/>
    <x v="278"/>
    <x v="3"/>
    <x v="3"/>
    <n v="5"/>
    <n v="15"/>
    <n v="4.21"/>
    <s v="C0055"/>
    <x v="91"/>
    <x v="1"/>
    <x v="4"/>
    <n v="75"/>
    <n v="21.05"/>
    <n v="53.95"/>
    <n v="15"/>
    <n v="0"/>
    <n v="1"/>
  </r>
  <r>
    <s v="OR0805"/>
    <x v="278"/>
    <x v="0"/>
    <x v="0"/>
    <n v="6"/>
    <n v="10"/>
    <n v="2.83"/>
    <s v="C0058"/>
    <x v="74"/>
    <x v="1"/>
    <x v="0"/>
    <n v="60"/>
    <n v="16.98"/>
    <n v="43.019999999999996"/>
    <n v="10"/>
    <n v="0"/>
    <n v="1"/>
  </r>
  <r>
    <s v="OR0806"/>
    <x v="279"/>
    <x v="1"/>
    <x v="1"/>
    <n v="2"/>
    <n v="25"/>
    <n v="6.21"/>
    <s v="C0121"/>
    <x v="44"/>
    <x v="1"/>
    <x v="0"/>
    <n v="50"/>
    <n v="12.42"/>
    <n v="37.58"/>
    <n v="25"/>
    <n v="0"/>
    <n v="1"/>
  </r>
  <r>
    <s v="OR0807"/>
    <x v="279"/>
    <x v="3"/>
    <x v="3"/>
    <n v="4"/>
    <n v="15"/>
    <n v="5.58"/>
    <s v="C0166"/>
    <x v="68"/>
    <x v="1"/>
    <x v="4"/>
    <n v="60"/>
    <n v="22.32"/>
    <n v="37.68"/>
    <n v="15"/>
    <n v="0"/>
    <n v="1"/>
  </r>
  <r>
    <s v="OR0808"/>
    <x v="280"/>
    <x v="2"/>
    <x v="2"/>
    <n v="4"/>
    <n v="40"/>
    <n v="8.16"/>
    <s v="C0123"/>
    <x v="123"/>
    <x v="3"/>
    <x v="1"/>
    <n v="160"/>
    <n v="32.64"/>
    <n v="127.36"/>
    <n v="40"/>
    <n v="0"/>
    <n v="0"/>
  </r>
  <r>
    <s v="OR0809"/>
    <x v="280"/>
    <x v="3"/>
    <x v="3"/>
    <n v="7"/>
    <n v="15"/>
    <n v="4.8899999999999997"/>
    <s v="C0092"/>
    <x v="102"/>
    <x v="1"/>
    <x v="8"/>
    <n v="105"/>
    <n v="34.229999999999997"/>
    <n v="70.77000000000001"/>
    <n v="15"/>
    <n v="0"/>
    <n v="1"/>
  </r>
  <r>
    <s v="OR0810"/>
    <x v="280"/>
    <x v="2"/>
    <x v="2"/>
    <n v="5"/>
    <n v="40"/>
    <n v="13.34"/>
    <s v="C0068"/>
    <x v="96"/>
    <x v="1"/>
    <x v="1"/>
    <n v="200"/>
    <n v="66.7"/>
    <n v="133.30000000000001"/>
    <n v="40"/>
    <n v="0"/>
    <n v="1"/>
  </r>
  <r>
    <s v="OR0811"/>
    <x v="280"/>
    <x v="2"/>
    <x v="2"/>
    <n v="8"/>
    <n v="40"/>
    <n v="14.63"/>
    <s v="C0057"/>
    <x v="54"/>
    <x v="1"/>
    <x v="3"/>
    <n v="320"/>
    <n v="117.04"/>
    <n v="202.95999999999998"/>
    <n v="40"/>
    <n v="0"/>
    <n v="1"/>
  </r>
  <r>
    <s v="OR0812"/>
    <x v="280"/>
    <x v="2"/>
    <x v="2"/>
    <n v="2"/>
    <n v="40"/>
    <n v="12.12"/>
    <s v="C0081"/>
    <x v="33"/>
    <x v="1"/>
    <x v="9"/>
    <n v="80"/>
    <n v="24.24"/>
    <n v="55.760000000000005"/>
    <n v="40"/>
    <n v="0"/>
    <n v="1"/>
  </r>
  <r>
    <s v="OR0813"/>
    <x v="281"/>
    <x v="0"/>
    <x v="0"/>
    <n v="8"/>
    <n v="10"/>
    <n v="3.74"/>
    <s v="C0035"/>
    <x v="16"/>
    <x v="1"/>
    <x v="4"/>
    <n v="80"/>
    <n v="29.92"/>
    <n v="50.08"/>
    <n v="10"/>
    <n v="0"/>
    <n v="1"/>
  </r>
  <r>
    <s v="OR0814"/>
    <x v="282"/>
    <x v="2"/>
    <x v="2"/>
    <n v="9"/>
    <n v="40"/>
    <n v="9.27"/>
    <s v="C0145"/>
    <x v="43"/>
    <x v="2"/>
    <x v="5"/>
    <n v="360"/>
    <n v="83.429999999999993"/>
    <n v="276.57"/>
    <n v="40"/>
    <n v="1"/>
    <n v="0"/>
  </r>
  <r>
    <s v="OR0815"/>
    <x v="282"/>
    <x v="4"/>
    <x v="4"/>
    <n v="3"/>
    <n v="12"/>
    <n v="4.5999999999999996"/>
    <s v="C0156"/>
    <x v="18"/>
    <x v="1"/>
    <x v="3"/>
    <n v="36"/>
    <n v="13.799999999999999"/>
    <n v="22.200000000000003"/>
    <n v="12"/>
    <n v="0"/>
    <n v="1"/>
  </r>
  <r>
    <s v="OR0816"/>
    <x v="282"/>
    <x v="4"/>
    <x v="4"/>
    <n v="2"/>
    <n v="12"/>
    <n v="2.86"/>
    <s v="C0156"/>
    <x v="18"/>
    <x v="1"/>
    <x v="6"/>
    <n v="24"/>
    <n v="5.72"/>
    <n v="18.28"/>
    <n v="12"/>
    <n v="0"/>
    <n v="1"/>
  </r>
  <r>
    <s v="OR0817"/>
    <x v="282"/>
    <x v="0"/>
    <x v="0"/>
    <n v="10"/>
    <n v="10"/>
    <n v="3.01"/>
    <s v="C0176"/>
    <x v="9"/>
    <x v="1"/>
    <x v="7"/>
    <n v="100"/>
    <n v="30.099999999999998"/>
    <n v="69.900000000000006"/>
    <n v="10"/>
    <n v="0"/>
    <n v="1"/>
  </r>
  <r>
    <s v="OR0818"/>
    <x v="282"/>
    <x v="1"/>
    <x v="1"/>
    <n v="4"/>
    <n v="25"/>
    <n v="5.63"/>
    <s v="C0078"/>
    <x v="35"/>
    <x v="0"/>
    <x v="7"/>
    <n v="100"/>
    <n v="22.52"/>
    <n v="77.48"/>
    <n v="25"/>
    <n v="0"/>
    <n v="0"/>
  </r>
  <r>
    <s v="OR0819"/>
    <x v="283"/>
    <x v="4"/>
    <x v="4"/>
    <n v="2"/>
    <n v="12"/>
    <n v="2.46"/>
    <s v="C0157"/>
    <x v="27"/>
    <x v="1"/>
    <x v="1"/>
    <n v="24"/>
    <n v="4.92"/>
    <n v="19.079999999999998"/>
    <n v="12"/>
    <n v="0"/>
    <n v="1"/>
  </r>
  <r>
    <s v="OR0820"/>
    <x v="283"/>
    <x v="0"/>
    <x v="0"/>
    <n v="10"/>
    <n v="10"/>
    <n v="3.42"/>
    <s v="C0079"/>
    <x v="100"/>
    <x v="1"/>
    <x v="1"/>
    <n v="100"/>
    <n v="34.200000000000003"/>
    <n v="65.8"/>
    <n v="10"/>
    <n v="0"/>
    <n v="1"/>
  </r>
  <r>
    <s v="OR0821"/>
    <x v="284"/>
    <x v="0"/>
    <x v="0"/>
    <n v="1"/>
    <n v="10"/>
    <n v="3.95"/>
    <s v="C0185"/>
    <x v="55"/>
    <x v="0"/>
    <x v="4"/>
    <n v="10"/>
    <n v="3.95"/>
    <n v="6.05"/>
    <n v="10"/>
    <n v="0"/>
    <n v="0"/>
  </r>
  <r>
    <s v="OR0822"/>
    <x v="284"/>
    <x v="1"/>
    <x v="1"/>
    <n v="9"/>
    <n v="25"/>
    <n v="9.23"/>
    <s v="C0097"/>
    <x v="26"/>
    <x v="1"/>
    <x v="3"/>
    <n v="225"/>
    <n v="83.070000000000007"/>
    <n v="141.93"/>
    <n v="25"/>
    <n v="0"/>
    <n v="1"/>
  </r>
  <r>
    <s v="OR0823"/>
    <x v="285"/>
    <x v="2"/>
    <x v="2"/>
    <n v="2"/>
    <n v="40"/>
    <n v="11.27"/>
    <s v="C0031"/>
    <x v="61"/>
    <x v="1"/>
    <x v="6"/>
    <n v="80"/>
    <n v="22.54"/>
    <n v="57.46"/>
    <n v="40"/>
    <n v="0"/>
    <n v="1"/>
  </r>
  <r>
    <s v="OR0824"/>
    <x v="285"/>
    <x v="2"/>
    <x v="2"/>
    <n v="4"/>
    <n v="40"/>
    <n v="9.61"/>
    <s v="C0018"/>
    <x v="62"/>
    <x v="1"/>
    <x v="8"/>
    <n v="160"/>
    <n v="38.44"/>
    <n v="121.56"/>
    <n v="40"/>
    <n v="0"/>
    <n v="1"/>
  </r>
  <r>
    <s v="OR0825"/>
    <x v="285"/>
    <x v="1"/>
    <x v="1"/>
    <n v="6"/>
    <n v="25"/>
    <n v="9.08"/>
    <s v="C0093"/>
    <x v="76"/>
    <x v="1"/>
    <x v="4"/>
    <n v="150"/>
    <n v="54.480000000000004"/>
    <n v="95.52"/>
    <n v="25"/>
    <n v="0"/>
    <n v="1"/>
  </r>
  <r>
    <s v="OR0826"/>
    <x v="286"/>
    <x v="0"/>
    <x v="0"/>
    <n v="10"/>
    <n v="10"/>
    <n v="3.48"/>
    <s v="C0014"/>
    <x v="18"/>
    <x v="1"/>
    <x v="5"/>
    <n v="100"/>
    <n v="34.799999999999997"/>
    <n v="65.2"/>
    <n v="10"/>
    <n v="0"/>
    <n v="1"/>
  </r>
  <r>
    <s v="OR0827"/>
    <x v="286"/>
    <x v="1"/>
    <x v="1"/>
    <n v="1"/>
    <n v="25"/>
    <n v="6.8"/>
    <s v="C0072"/>
    <x v="88"/>
    <x v="1"/>
    <x v="8"/>
    <n v="25"/>
    <n v="6.8"/>
    <n v="18.2"/>
    <n v="25"/>
    <n v="0"/>
    <n v="1"/>
  </r>
  <r>
    <s v="OR0828"/>
    <x v="286"/>
    <x v="1"/>
    <x v="1"/>
    <n v="10"/>
    <n v="25"/>
    <n v="8.74"/>
    <s v="C0144"/>
    <x v="80"/>
    <x v="1"/>
    <x v="4"/>
    <n v="250"/>
    <n v="87.4"/>
    <n v="162.6"/>
    <n v="25"/>
    <n v="0"/>
    <n v="1"/>
  </r>
  <r>
    <s v="OR0829"/>
    <x v="286"/>
    <x v="3"/>
    <x v="3"/>
    <n v="8"/>
    <n v="15"/>
    <n v="5.93"/>
    <s v="C0154"/>
    <x v="81"/>
    <x v="0"/>
    <x v="9"/>
    <n v="120"/>
    <n v="47.44"/>
    <n v="72.56"/>
    <n v="15"/>
    <n v="0"/>
    <n v="0"/>
  </r>
  <r>
    <s v="OR0830"/>
    <x v="286"/>
    <x v="2"/>
    <x v="2"/>
    <n v="2"/>
    <n v="40"/>
    <n v="11.4"/>
    <s v="C0090"/>
    <x v="116"/>
    <x v="1"/>
    <x v="9"/>
    <n v="80"/>
    <n v="22.8"/>
    <n v="57.2"/>
    <n v="40"/>
    <n v="0"/>
    <n v="1"/>
  </r>
  <r>
    <s v="OR0831"/>
    <x v="287"/>
    <x v="3"/>
    <x v="3"/>
    <n v="10"/>
    <n v="15"/>
    <n v="3.2"/>
    <s v="C0136"/>
    <x v="90"/>
    <x v="1"/>
    <x v="3"/>
    <n v="150"/>
    <n v="32"/>
    <n v="118"/>
    <n v="15"/>
    <n v="0"/>
    <n v="1"/>
  </r>
  <r>
    <s v="OR0832"/>
    <x v="287"/>
    <x v="0"/>
    <x v="0"/>
    <n v="7"/>
    <n v="10"/>
    <n v="3.47"/>
    <s v="C0132"/>
    <x v="97"/>
    <x v="1"/>
    <x v="1"/>
    <n v="70"/>
    <n v="24.290000000000003"/>
    <n v="45.709999999999994"/>
    <n v="10"/>
    <n v="0"/>
    <n v="1"/>
  </r>
  <r>
    <s v="OR0833"/>
    <x v="287"/>
    <x v="2"/>
    <x v="2"/>
    <n v="3"/>
    <n v="40"/>
    <n v="8.8800000000000008"/>
    <s v="C0136"/>
    <x v="90"/>
    <x v="0"/>
    <x v="4"/>
    <n v="120"/>
    <n v="26.64"/>
    <n v="93.36"/>
    <n v="40"/>
    <n v="0"/>
    <n v="0"/>
  </r>
  <r>
    <s v="OR0834"/>
    <x v="287"/>
    <x v="3"/>
    <x v="3"/>
    <n v="10"/>
    <n v="15"/>
    <n v="4.0999999999999996"/>
    <s v="C0170"/>
    <x v="48"/>
    <x v="2"/>
    <x v="0"/>
    <n v="150"/>
    <n v="41"/>
    <n v="109"/>
    <n v="15"/>
    <n v="1"/>
    <n v="0"/>
  </r>
  <r>
    <s v="OR0835"/>
    <x v="288"/>
    <x v="1"/>
    <x v="1"/>
    <n v="5"/>
    <n v="25"/>
    <n v="9.99"/>
    <s v="C0005"/>
    <x v="99"/>
    <x v="1"/>
    <x v="6"/>
    <n v="125"/>
    <n v="49.95"/>
    <n v="75.05"/>
    <n v="25"/>
    <n v="0"/>
    <n v="1"/>
  </r>
  <r>
    <s v="OR0836"/>
    <x v="288"/>
    <x v="3"/>
    <x v="3"/>
    <n v="7"/>
    <n v="15"/>
    <n v="5.7"/>
    <s v="C0069"/>
    <x v="3"/>
    <x v="3"/>
    <x v="8"/>
    <n v="105"/>
    <n v="39.9"/>
    <n v="65.099999999999994"/>
    <n v="15"/>
    <n v="0"/>
    <n v="0"/>
  </r>
  <r>
    <s v="OR0837"/>
    <x v="288"/>
    <x v="4"/>
    <x v="4"/>
    <n v="2"/>
    <n v="12"/>
    <n v="3.58"/>
    <s v="C0013"/>
    <x v="16"/>
    <x v="1"/>
    <x v="0"/>
    <n v="24"/>
    <n v="7.16"/>
    <n v="16.84"/>
    <n v="12"/>
    <n v="0"/>
    <n v="1"/>
  </r>
  <r>
    <s v="OR0838"/>
    <x v="288"/>
    <x v="3"/>
    <x v="3"/>
    <n v="5"/>
    <n v="15"/>
    <n v="4.07"/>
    <s v="C0094"/>
    <x v="44"/>
    <x v="1"/>
    <x v="0"/>
    <n v="75"/>
    <n v="20.350000000000001"/>
    <n v="54.65"/>
    <n v="15"/>
    <n v="0"/>
    <n v="1"/>
  </r>
  <r>
    <s v="OR0839"/>
    <x v="288"/>
    <x v="1"/>
    <x v="1"/>
    <n v="10"/>
    <n v="25"/>
    <n v="9.42"/>
    <s v="C0103"/>
    <x v="3"/>
    <x v="1"/>
    <x v="3"/>
    <n v="250"/>
    <n v="94.2"/>
    <n v="155.80000000000001"/>
    <n v="25"/>
    <n v="0"/>
    <n v="1"/>
  </r>
  <r>
    <s v="OR0840"/>
    <x v="289"/>
    <x v="2"/>
    <x v="2"/>
    <n v="1"/>
    <n v="40"/>
    <n v="13.18"/>
    <s v="C0161"/>
    <x v="18"/>
    <x v="0"/>
    <x v="2"/>
    <n v="40"/>
    <n v="13.18"/>
    <n v="26.82"/>
    <n v="40"/>
    <n v="0"/>
    <n v="0"/>
  </r>
  <r>
    <s v="OR0841"/>
    <x v="289"/>
    <x v="1"/>
    <x v="1"/>
    <n v="2"/>
    <n v="25"/>
    <n v="7.53"/>
    <s v="C0106"/>
    <x v="7"/>
    <x v="1"/>
    <x v="4"/>
    <n v="50"/>
    <n v="15.06"/>
    <n v="34.94"/>
    <n v="25"/>
    <n v="0"/>
    <n v="1"/>
  </r>
  <r>
    <s v="OR0842"/>
    <x v="289"/>
    <x v="4"/>
    <x v="4"/>
    <n v="7"/>
    <n v="12"/>
    <n v="4.74"/>
    <s v="C0094"/>
    <x v="44"/>
    <x v="3"/>
    <x v="6"/>
    <n v="84"/>
    <n v="33.18"/>
    <n v="50.82"/>
    <n v="12"/>
    <n v="0"/>
    <n v="0"/>
  </r>
  <r>
    <s v="OR0843"/>
    <x v="289"/>
    <x v="4"/>
    <x v="4"/>
    <n v="7"/>
    <n v="12"/>
    <n v="3.58"/>
    <s v="C0114"/>
    <x v="5"/>
    <x v="1"/>
    <x v="9"/>
    <n v="84"/>
    <n v="25.060000000000002"/>
    <n v="58.94"/>
    <n v="12"/>
    <n v="0"/>
    <n v="1"/>
  </r>
  <r>
    <s v="OR0844"/>
    <x v="290"/>
    <x v="1"/>
    <x v="1"/>
    <n v="8"/>
    <n v="25"/>
    <n v="5.8"/>
    <s v="C0012"/>
    <x v="13"/>
    <x v="3"/>
    <x v="7"/>
    <n v="200"/>
    <n v="46.4"/>
    <n v="153.6"/>
    <n v="25"/>
    <n v="0"/>
    <n v="0"/>
  </r>
  <r>
    <s v="OR0845"/>
    <x v="290"/>
    <x v="4"/>
    <x v="4"/>
    <n v="2"/>
    <n v="12"/>
    <n v="3.34"/>
    <s v="C0035"/>
    <x v="16"/>
    <x v="1"/>
    <x v="7"/>
    <n v="24"/>
    <n v="6.68"/>
    <n v="17.32"/>
    <n v="12"/>
    <n v="0"/>
    <n v="1"/>
  </r>
  <r>
    <s v="OR0846"/>
    <x v="290"/>
    <x v="1"/>
    <x v="1"/>
    <n v="8"/>
    <n v="25"/>
    <n v="9.2899999999999991"/>
    <s v="C0180"/>
    <x v="83"/>
    <x v="1"/>
    <x v="9"/>
    <n v="200"/>
    <n v="74.319999999999993"/>
    <n v="125.68"/>
    <n v="25"/>
    <n v="0"/>
    <n v="1"/>
  </r>
  <r>
    <s v="OR0847"/>
    <x v="291"/>
    <x v="3"/>
    <x v="3"/>
    <n v="8"/>
    <n v="15"/>
    <n v="5.94"/>
    <s v="C0052"/>
    <x v="6"/>
    <x v="1"/>
    <x v="5"/>
    <n v="120"/>
    <n v="47.52"/>
    <n v="72.47999999999999"/>
    <n v="15"/>
    <n v="0"/>
    <n v="1"/>
  </r>
  <r>
    <s v="OR0848"/>
    <x v="291"/>
    <x v="0"/>
    <x v="0"/>
    <n v="10"/>
    <n v="10"/>
    <n v="3.09"/>
    <s v="C0081"/>
    <x v="33"/>
    <x v="1"/>
    <x v="6"/>
    <n v="100"/>
    <n v="30.9"/>
    <n v="69.099999999999994"/>
    <n v="10"/>
    <n v="0"/>
    <n v="1"/>
  </r>
  <r>
    <s v="OR0849"/>
    <x v="291"/>
    <x v="4"/>
    <x v="4"/>
    <n v="10"/>
    <n v="12"/>
    <n v="3.06"/>
    <s v="C0045"/>
    <x v="51"/>
    <x v="1"/>
    <x v="3"/>
    <n v="120"/>
    <n v="30.6"/>
    <n v="89.4"/>
    <n v="12"/>
    <n v="0"/>
    <n v="1"/>
  </r>
  <r>
    <s v="OR0850"/>
    <x v="291"/>
    <x v="1"/>
    <x v="1"/>
    <n v="1"/>
    <n v="25"/>
    <n v="5.0999999999999996"/>
    <s v="C0038"/>
    <x v="22"/>
    <x v="1"/>
    <x v="1"/>
    <n v="25"/>
    <n v="5.0999999999999996"/>
    <n v="19.899999999999999"/>
    <n v="25"/>
    <n v="0"/>
    <n v="1"/>
  </r>
  <r>
    <s v="OR0851"/>
    <x v="292"/>
    <x v="1"/>
    <x v="1"/>
    <n v="7"/>
    <n v="25"/>
    <n v="8.57"/>
    <s v="C0182"/>
    <x v="57"/>
    <x v="1"/>
    <x v="1"/>
    <n v="175"/>
    <n v="59.99"/>
    <n v="115.00999999999999"/>
    <n v="25"/>
    <n v="0"/>
    <n v="1"/>
  </r>
  <r>
    <s v="OR0852"/>
    <x v="292"/>
    <x v="2"/>
    <x v="2"/>
    <n v="9"/>
    <n v="40"/>
    <n v="15.79"/>
    <s v="C0086"/>
    <x v="35"/>
    <x v="0"/>
    <x v="5"/>
    <n v="360"/>
    <n v="142.10999999999999"/>
    <n v="217.89000000000001"/>
    <n v="40"/>
    <n v="0"/>
    <n v="0"/>
  </r>
  <r>
    <s v="OR0853"/>
    <x v="292"/>
    <x v="0"/>
    <x v="0"/>
    <n v="5"/>
    <n v="10"/>
    <n v="2.91"/>
    <s v="C0165"/>
    <x v="8"/>
    <x v="2"/>
    <x v="2"/>
    <n v="50"/>
    <n v="14.55"/>
    <n v="35.450000000000003"/>
    <n v="10"/>
    <n v="1"/>
    <n v="0"/>
  </r>
  <r>
    <s v="OR0854"/>
    <x v="293"/>
    <x v="0"/>
    <x v="0"/>
    <n v="4"/>
    <n v="10"/>
    <n v="2.2200000000000002"/>
    <s v="C0187"/>
    <x v="48"/>
    <x v="2"/>
    <x v="0"/>
    <n v="40"/>
    <n v="8.8800000000000008"/>
    <n v="31.119999999999997"/>
    <n v="10"/>
    <n v="1"/>
    <n v="0"/>
  </r>
  <r>
    <s v="OR0855"/>
    <x v="293"/>
    <x v="1"/>
    <x v="1"/>
    <n v="1"/>
    <n v="25"/>
    <n v="8.4499999999999993"/>
    <s v="C0163"/>
    <x v="95"/>
    <x v="3"/>
    <x v="7"/>
    <n v="25"/>
    <n v="8.4499999999999993"/>
    <n v="16.55"/>
    <n v="25"/>
    <n v="0"/>
    <n v="0"/>
  </r>
  <r>
    <s v="OR0856"/>
    <x v="294"/>
    <x v="3"/>
    <x v="3"/>
    <n v="3"/>
    <n v="15"/>
    <n v="3.12"/>
    <s v="C0147"/>
    <x v="30"/>
    <x v="0"/>
    <x v="5"/>
    <n v="45"/>
    <n v="9.36"/>
    <n v="35.64"/>
    <n v="15"/>
    <n v="0"/>
    <n v="0"/>
  </r>
  <r>
    <s v="OR0857"/>
    <x v="294"/>
    <x v="1"/>
    <x v="1"/>
    <n v="7"/>
    <n v="25"/>
    <n v="7.96"/>
    <s v="C0154"/>
    <x v="81"/>
    <x v="1"/>
    <x v="6"/>
    <n v="175"/>
    <n v="55.72"/>
    <n v="119.28"/>
    <n v="25"/>
    <n v="0"/>
    <n v="1"/>
  </r>
  <r>
    <s v="OR0858"/>
    <x v="295"/>
    <x v="0"/>
    <x v="0"/>
    <n v="10"/>
    <n v="10"/>
    <n v="3.97"/>
    <s v="C0054"/>
    <x v="37"/>
    <x v="1"/>
    <x v="5"/>
    <n v="100"/>
    <n v="39.700000000000003"/>
    <n v="60.3"/>
    <n v="10"/>
    <n v="0"/>
    <n v="1"/>
  </r>
  <r>
    <s v="OR0859"/>
    <x v="295"/>
    <x v="0"/>
    <x v="0"/>
    <n v="7"/>
    <n v="10"/>
    <n v="3.07"/>
    <s v="C0021"/>
    <x v="37"/>
    <x v="1"/>
    <x v="1"/>
    <n v="70"/>
    <n v="21.49"/>
    <n v="48.510000000000005"/>
    <n v="10"/>
    <n v="0"/>
    <n v="1"/>
  </r>
  <r>
    <s v="OR0860"/>
    <x v="296"/>
    <x v="3"/>
    <x v="3"/>
    <n v="2"/>
    <n v="15"/>
    <n v="5.34"/>
    <s v="C0085"/>
    <x v="29"/>
    <x v="1"/>
    <x v="1"/>
    <n v="30"/>
    <n v="10.68"/>
    <n v="19.32"/>
    <n v="15"/>
    <n v="0"/>
    <n v="1"/>
  </r>
  <r>
    <s v="OR0861"/>
    <x v="297"/>
    <x v="3"/>
    <x v="3"/>
    <n v="6"/>
    <n v="15"/>
    <n v="5.79"/>
    <s v="C0122"/>
    <x v="1"/>
    <x v="2"/>
    <x v="2"/>
    <n v="90"/>
    <n v="34.74"/>
    <n v="55.26"/>
    <n v="15"/>
    <n v="1"/>
    <n v="0"/>
  </r>
  <r>
    <s v="OR0862"/>
    <x v="297"/>
    <x v="0"/>
    <x v="0"/>
    <n v="5"/>
    <n v="10"/>
    <n v="3.82"/>
    <s v="C0191"/>
    <x v="17"/>
    <x v="1"/>
    <x v="3"/>
    <n v="50"/>
    <n v="19.099999999999998"/>
    <n v="30.900000000000002"/>
    <n v="10"/>
    <n v="0"/>
    <n v="1"/>
  </r>
  <r>
    <s v="OR0863"/>
    <x v="297"/>
    <x v="0"/>
    <x v="0"/>
    <n v="1"/>
    <n v="10"/>
    <n v="2"/>
    <s v="C0112"/>
    <x v="70"/>
    <x v="2"/>
    <x v="7"/>
    <n v="10"/>
    <n v="2"/>
    <n v="8"/>
    <n v="10"/>
    <n v="1"/>
    <n v="0"/>
  </r>
  <r>
    <s v="OR0864"/>
    <x v="298"/>
    <x v="0"/>
    <x v="0"/>
    <n v="3"/>
    <n v="10"/>
    <n v="2.39"/>
    <s v="C0102"/>
    <x v="85"/>
    <x v="0"/>
    <x v="2"/>
    <n v="30"/>
    <n v="7.17"/>
    <n v="22.83"/>
    <n v="10"/>
    <n v="0"/>
    <n v="0"/>
  </r>
  <r>
    <s v="OR0865"/>
    <x v="298"/>
    <x v="0"/>
    <x v="0"/>
    <n v="5"/>
    <n v="10"/>
    <n v="2.48"/>
    <s v="C0060"/>
    <x v="80"/>
    <x v="3"/>
    <x v="7"/>
    <n v="50"/>
    <n v="12.4"/>
    <n v="37.6"/>
    <n v="10"/>
    <n v="0"/>
    <n v="0"/>
  </r>
  <r>
    <s v="OR0866"/>
    <x v="299"/>
    <x v="1"/>
    <x v="1"/>
    <n v="4"/>
    <n v="25"/>
    <n v="6.48"/>
    <s v="C0013"/>
    <x v="16"/>
    <x v="1"/>
    <x v="9"/>
    <n v="100"/>
    <n v="25.92"/>
    <n v="74.08"/>
    <n v="25"/>
    <n v="0"/>
    <n v="1"/>
  </r>
  <r>
    <s v="OR0867"/>
    <x v="299"/>
    <x v="4"/>
    <x v="4"/>
    <n v="8"/>
    <n v="12"/>
    <n v="3.72"/>
    <s v="C0146"/>
    <x v="58"/>
    <x v="0"/>
    <x v="5"/>
    <n v="96"/>
    <n v="29.76"/>
    <n v="66.239999999999995"/>
    <n v="12"/>
    <n v="0"/>
    <n v="0"/>
  </r>
  <r>
    <s v="OR0868"/>
    <x v="299"/>
    <x v="4"/>
    <x v="4"/>
    <n v="8"/>
    <n v="12"/>
    <n v="3.33"/>
    <s v="C0177"/>
    <x v="110"/>
    <x v="1"/>
    <x v="0"/>
    <n v="96"/>
    <n v="26.64"/>
    <n v="69.36"/>
    <n v="12"/>
    <n v="0"/>
    <n v="1"/>
  </r>
  <r>
    <s v="OR0869"/>
    <x v="299"/>
    <x v="0"/>
    <x v="0"/>
    <n v="4"/>
    <n v="10"/>
    <n v="2.23"/>
    <s v="C0123"/>
    <x v="123"/>
    <x v="1"/>
    <x v="8"/>
    <n v="40"/>
    <n v="8.92"/>
    <n v="31.08"/>
    <n v="10"/>
    <n v="0"/>
    <n v="1"/>
  </r>
  <r>
    <s v="OR0870"/>
    <x v="300"/>
    <x v="2"/>
    <x v="2"/>
    <n v="4"/>
    <n v="40"/>
    <n v="13.67"/>
    <s v="C0132"/>
    <x v="97"/>
    <x v="1"/>
    <x v="2"/>
    <n v="160"/>
    <n v="54.68"/>
    <n v="105.32"/>
    <n v="40"/>
    <n v="0"/>
    <n v="1"/>
  </r>
  <r>
    <s v="OR0871"/>
    <x v="300"/>
    <x v="2"/>
    <x v="2"/>
    <n v="10"/>
    <n v="40"/>
    <n v="8.85"/>
    <s v="C0190"/>
    <x v="39"/>
    <x v="1"/>
    <x v="4"/>
    <n v="400"/>
    <n v="88.5"/>
    <n v="311.5"/>
    <n v="40"/>
    <n v="0"/>
    <n v="1"/>
  </r>
  <r>
    <s v="OR0872"/>
    <x v="300"/>
    <x v="4"/>
    <x v="4"/>
    <n v="9"/>
    <n v="12"/>
    <n v="2.5499999999999998"/>
    <s v="C0029"/>
    <x v="124"/>
    <x v="1"/>
    <x v="3"/>
    <n v="108"/>
    <n v="22.95"/>
    <n v="85.05"/>
    <n v="12"/>
    <n v="0"/>
    <n v="1"/>
  </r>
  <r>
    <s v="OR0873"/>
    <x v="300"/>
    <x v="3"/>
    <x v="3"/>
    <n v="4"/>
    <n v="15"/>
    <n v="5.0199999999999996"/>
    <s v="C0092"/>
    <x v="102"/>
    <x v="1"/>
    <x v="1"/>
    <n v="60"/>
    <n v="20.079999999999998"/>
    <n v="39.92"/>
    <n v="15"/>
    <n v="0"/>
    <n v="1"/>
  </r>
  <r>
    <s v="OR0874"/>
    <x v="300"/>
    <x v="3"/>
    <x v="3"/>
    <n v="1"/>
    <n v="15"/>
    <n v="5.27"/>
    <s v="C0080"/>
    <x v="16"/>
    <x v="1"/>
    <x v="1"/>
    <n v="15"/>
    <n v="5.27"/>
    <n v="9.73"/>
    <n v="15"/>
    <n v="0"/>
    <n v="1"/>
  </r>
  <r>
    <s v="OR0875"/>
    <x v="300"/>
    <x v="3"/>
    <x v="3"/>
    <n v="8"/>
    <n v="15"/>
    <n v="3.79"/>
    <s v="C0188"/>
    <x v="30"/>
    <x v="1"/>
    <x v="4"/>
    <n v="120"/>
    <n v="30.32"/>
    <n v="89.68"/>
    <n v="15"/>
    <n v="0"/>
    <n v="1"/>
  </r>
  <r>
    <s v="OR0876"/>
    <x v="301"/>
    <x v="0"/>
    <x v="0"/>
    <n v="8"/>
    <n v="10"/>
    <n v="2.94"/>
    <s v="C0196"/>
    <x v="42"/>
    <x v="1"/>
    <x v="3"/>
    <n v="80"/>
    <n v="23.52"/>
    <n v="56.480000000000004"/>
    <n v="10"/>
    <n v="0"/>
    <n v="1"/>
  </r>
  <r>
    <s v="OR0877"/>
    <x v="301"/>
    <x v="1"/>
    <x v="1"/>
    <n v="10"/>
    <n v="25"/>
    <n v="6.9"/>
    <s v="C0171"/>
    <x v="59"/>
    <x v="0"/>
    <x v="8"/>
    <n v="250"/>
    <n v="69"/>
    <n v="181"/>
    <n v="25"/>
    <n v="0"/>
    <n v="0"/>
  </r>
  <r>
    <s v="OR0878"/>
    <x v="302"/>
    <x v="2"/>
    <x v="2"/>
    <n v="9"/>
    <n v="40"/>
    <n v="14.51"/>
    <s v="C0182"/>
    <x v="57"/>
    <x v="1"/>
    <x v="2"/>
    <n v="360"/>
    <n v="130.59"/>
    <n v="229.41"/>
    <n v="40"/>
    <n v="0"/>
    <n v="1"/>
  </r>
  <r>
    <s v="OR0879"/>
    <x v="302"/>
    <x v="3"/>
    <x v="3"/>
    <n v="9"/>
    <n v="15"/>
    <n v="4.51"/>
    <s v="C0057"/>
    <x v="54"/>
    <x v="3"/>
    <x v="6"/>
    <n v="135"/>
    <n v="40.589999999999996"/>
    <n v="94.41"/>
    <n v="15"/>
    <n v="0"/>
    <n v="0"/>
  </r>
  <r>
    <s v="OR0880"/>
    <x v="302"/>
    <x v="2"/>
    <x v="2"/>
    <n v="8"/>
    <n v="40"/>
    <n v="14.12"/>
    <s v="C0188"/>
    <x v="30"/>
    <x v="1"/>
    <x v="6"/>
    <n v="320"/>
    <n v="112.96"/>
    <n v="207.04000000000002"/>
    <n v="40"/>
    <n v="0"/>
    <n v="1"/>
  </r>
  <r>
    <s v="OR0881"/>
    <x v="302"/>
    <x v="2"/>
    <x v="2"/>
    <n v="1"/>
    <n v="40"/>
    <n v="9.23"/>
    <s v="C0036"/>
    <x v="93"/>
    <x v="0"/>
    <x v="0"/>
    <n v="40"/>
    <n v="9.23"/>
    <n v="30.77"/>
    <n v="40"/>
    <n v="0"/>
    <n v="0"/>
  </r>
  <r>
    <s v="OR0882"/>
    <x v="303"/>
    <x v="4"/>
    <x v="4"/>
    <n v="3"/>
    <n v="12"/>
    <n v="3.16"/>
    <s v="C0017"/>
    <x v="17"/>
    <x v="1"/>
    <x v="9"/>
    <n v="36"/>
    <n v="9.48"/>
    <n v="26.52"/>
    <n v="12"/>
    <n v="0"/>
    <n v="1"/>
  </r>
  <r>
    <s v="OR0883"/>
    <x v="303"/>
    <x v="1"/>
    <x v="1"/>
    <n v="8"/>
    <n v="25"/>
    <n v="9.1199999999999992"/>
    <s v="C0119"/>
    <x v="21"/>
    <x v="1"/>
    <x v="2"/>
    <n v="200"/>
    <n v="72.959999999999994"/>
    <n v="127.04"/>
    <n v="25"/>
    <n v="0"/>
    <n v="1"/>
  </r>
  <r>
    <s v="OR0884"/>
    <x v="304"/>
    <x v="2"/>
    <x v="2"/>
    <n v="6"/>
    <n v="40"/>
    <n v="13.56"/>
    <s v="C0011"/>
    <x v="50"/>
    <x v="1"/>
    <x v="5"/>
    <n v="240"/>
    <n v="81.36"/>
    <n v="158.63999999999999"/>
    <n v="40"/>
    <n v="0"/>
    <n v="1"/>
  </r>
  <r>
    <s v="OR0885"/>
    <x v="305"/>
    <x v="2"/>
    <x v="2"/>
    <n v="6"/>
    <n v="40"/>
    <n v="9.3699999999999992"/>
    <s v="C0089"/>
    <x v="115"/>
    <x v="1"/>
    <x v="4"/>
    <n v="240"/>
    <n v="56.22"/>
    <n v="183.78"/>
    <n v="40"/>
    <n v="0"/>
    <n v="1"/>
  </r>
  <r>
    <s v="OR0886"/>
    <x v="305"/>
    <x v="1"/>
    <x v="1"/>
    <n v="4"/>
    <n v="25"/>
    <n v="7.64"/>
    <s v="C0131"/>
    <x v="69"/>
    <x v="2"/>
    <x v="5"/>
    <n v="100"/>
    <n v="30.56"/>
    <n v="69.44"/>
    <n v="25"/>
    <n v="1"/>
    <n v="0"/>
  </r>
  <r>
    <s v="OR0887"/>
    <x v="306"/>
    <x v="1"/>
    <x v="1"/>
    <n v="9"/>
    <n v="25"/>
    <n v="6.72"/>
    <s v="C0139"/>
    <x v="47"/>
    <x v="1"/>
    <x v="9"/>
    <n v="225"/>
    <n v="60.48"/>
    <n v="164.52"/>
    <n v="25"/>
    <n v="0"/>
    <n v="1"/>
  </r>
  <r>
    <s v="OR0888"/>
    <x v="306"/>
    <x v="4"/>
    <x v="4"/>
    <n v="6"/>
    <n v="12"/>
    <n v="4.53"/>
    <s v="C0045"/>
    <x v="51"/>
    <x v="1"/>
    <x v="5"/>
    <n v="72"/>
    <n v="27.18"/>
    <n v="44.82"/>
    <n v="12"/>
    <n v="0"/>
    <n v="1"/>
  </r>
  <r>
    <s v="OR0889"/>
    <x v="306"/>
    <x v="1"/>
    <x v="1"/>
    <n v="2"/>
    <n v="25"/>
    <n v="8.14"/>
    <s v="C0184"/>
    <x v="11"/>
    <x v="0"/>
    <x v="9"/>
    <n v="50"/>
    <n v="16.28"/>
    <n v="33.72"/>
    <n v="25"/>
    <n v="0"/>
    <n v="0"/>
  </r>
  <r>
    <s v="OR0890"/>
    <x v="307"/>
    <x v="3"/>
    <x v="3"/>
    <n v="2"/>
    <n v="15"/>
    <n v="5.3"/>
    <s v="C0066"/>
    <x v="41"/>
    <x v="1"/>
    <x v="7"/>
    <n v="30"/>
    <n v="10.6"/>
    <n v="19.399999999999999"/>
    <n v="15"/>
    <n v="0"/>
    <n v="1"/>
  </r>
  <r>
    <s v="OR0891"/>
    <x v="307"/>
    <x v="4"/>
    <x v="4"/>
    <n v="10"/>
    <n v="12"/>
    <n v="2.4500000000000002"/>
    <s v="C0024"/>
    <x v="104"/>
    <x v="1"/>
    <x v="8"/>
    <n v="120"/>
    <n v="24.5"/>
    <n v="95.5"/>
    <n v="12"/>
    <n v="0"/>
    <n v="1"/>
  </r>
  <r>
    <s v="OR0892"/>
    <x v="307"/>
    <x v="2"/>
    <x v="2"/>
    <n v="1"/>
    <n v="40"/>
    <n v="8.51"/>
    <s v="C0077"/>
    <x v="39"/>
    <x v="3"/>
    <x v="2"/>
    <n v="40"/>
    <n v="8.51"/>
    <n v="31.490000000000002"/>
    <n v="40"/>
    <n v="0"/>
    <n v="0"/>
  </r>
  <r>
    <s v="OR0893"/>
    <x v="307"/>
    <x v="1"/>
    <x v="1"/>
    <n v="3"/>
    <n v="25"/>
    <n v="5.0999999999999996"/>
    <s v="C0191"/>
    <x v="17"/>
    <x v="0"/>
    <x v="1"/>
    <n v="75"/>
    <n v="15.299999999999999"/>
    <n v="59.7"/>
    <n v="25"/>
    <n v="0"/>
    <n v="0"/>
  </r>
  <r>
    <s v="OR0894"/>
    <x v="307"/>
    <x v="0"/>
    <x v="0"/>
    <n v="9"/>
    <n v="10"/>
    <n v="2.68"/>
    <s v="C0160"/>
    <x v="19"/>
    <x v="3"/>
    <x v="1"/>
    <n v="90"/>
    <n v="24.12"/>
    <n v="65.88"/>
    <n v="10"/>
    <n v="0"/>
    <n v="0"/>
  </r>
  <r>
    <s v="OR0895"/>
    <x v="307"/>
    <x v="0"/>
    <x v="0"/>
    <n v="10"/>
    <n v="10"/>
    <n v="3.4"/>
    <s v="C0124"/>
    <x v="15"/>
    <x v="0"/>
    <x v="4"/>
    <n v="100"/>
    <n v="34"/>
    <n v="66"/>
    <n v="10"/>
    <n v="0"/>
    <n v="0"/>
  </r>
  <r>
    <s v="OR0896"/>
    <x v="308"/>
    <x v="0"/>
    <x v="0"/>
    <n v="1"/>
    <n v="10"/>
    <n v="3.72"/>
    <s v="C0022"/>
    <x v="32"/>
    <x v="0"/>
    <x v="2"/>
    <n v="10"/>
    <n v="3.72"/>
    <n v="6.2799999999999994"/>
    <n v="10"/>
    <n v="0"/>
    <n v="0"/>
  </r>
  <r>
    <s v="OR0897"/>
    <x v="309"/>
    <x v="1"/>
    <x v="1"/>
    <n v="10"/>
    <n v="25"/>
    <n v="9.86"/>
    <s v="C0001"/>
    <x v="92"/>
    <x v="3"/>
    <x v="8"/>
    <n v="250"/>
    <n v="98.6"/>
    <n v="151.4"/>
    <n v="25"/>
    <n v="0"/>
    <n v="0"/>
  </r>
  <r>
    <s v="OR0898"/>
    <x v="310"/>
    <x v="4"/>
    <x v="4"/>
    <n v="2"/>
    <n v="12"/>
    <n v="4.3899999999999997"/>
    <s v="C0162"/>
    <x v="4"/>
    <x v="1"/>
    <x v="8"/>
    <n v="24"/>
    <n v="8.7799999999999994"/>
    <n v="15.22"/>
    <n v="12"/>
    <n v="0"/>
    <n v="1"/>
  </r>
  <r>
    <s v="OR0899"/>
    <x v="311"/>
    <x v="3"/>
    <x v="3"/>
    <n v="1"/>
    <n v="15"/>
    <n v="3.55"/>
    <s v="C0196"/>
    <x v="42"/>
    <x v="1"/>
    <x v="2"/>
    <n v="15"/>
    <n v="3.55"/>
    <n v="11.45"/>
    <n v="15"/>
    <n v="0"/>
    <n v="1"/>
  </r>
  <r>
    <s v="OR0900"/>
    <x v="311"/>
    <x v="3"/>
    <x v="3"/>
    <n v="7"/>
    <n v="15"/>
    <n v="4.03"/>
    <s v="C0136"/>
    <x v="90"/>
    <x v="1"/>
    <x v="9"/>
    <n v="105"/>
    <n v="28.21"/>
    <n v="76.789999999999992"/>
    <n v="15"/>
    <n v="0"/>
    <n v="1"/>
  </r>
  <r>
    <s v="OR0901"/>
    <x v="312"/>
    <x v="1"/>
    <x v="1"/>
    <n v="1"/>
    <n v="25"/>
    <n v="9.8800000000000008"/>
    <s v="C0036"/>
    <x v="93"/>
    <x v="1"/>
    <x v="2"/>
    <n v="25"/>
    <n v="9.8800000000000008"/>
    <n v="15.12"/>
    <n v="25"/>
    <n v="0"/>
    <n v="1"/>
  </r>
  <r>
    <s v="OR0902"/>
    <x v="312"/>
    <x v="1"/>
    <x v="1"/>
    <n v="8"/>
    <n v="25"/>
    <n v="6.58"/>
    <s v="C0014"/>
    <x v="18"/>
    <x v="1"/>
    <x v="8"/>
    <n v="200"/>
    <n v="52.64"/>
    <n v="147.36000000000001"/>
    <n v="25"/>
    <n v="0"/>
    <n v="1"/>
  </r>
  <r>
    <s v="OR0903"/>
    <x v="312"/>
    <x v="1"/>
    <x v="1"/>
    <n v="8"/>
    <n v="25"/>
    <n v="6.56"/>
    <s v="C0011"/>
    <x v="50"/>
    <x v="0"/>
    <x v="1"/>
    <n v="200"/>
    <n v="52.48"/>
    <n v="147.52000000000001"/>
    <n v="25"/>
    <n v="0"/>
    <n v="0"/>
  </r>
  <r>
    <s v="OR0904"/>
    <x v="313"/>
    <x v="0"/>
    <x v="0"/>
    <n v="9"/>
    <n v="10"/>
    <n v="2.66"/>
    <s v="C0154"/>
    <x v="81"/>
    <x v="0"/>
    <x v="2"/>
    <n v="90"/>
    <n v="23.94"/>
    <n v="66.06"/>
    <n v="10"/>
    <n v="0"/>
    <n v="0"/>
  </r>
  <r>
    <s v="OR0905"/>
    <x v="314"/>
    <x v="2"/>
    <x v="2"/>
    <n v="1"/>
    <n v="40"/>
    <n v="10.130000000000001"/>
    <s v="C0180"/>
    <x v="83"/>
    <x v="1"/>
    <x v="4"/>
    <n v="40"/>
    <n v="10.130000000000001"/>
    <n v="29.869999999999997"/>
    <n v="40"/>
    <n v="0"/>
    <n v="1"/>
  </r>
  <r>
    <s v="OR0906"/>
    <x v="314"/>
    <x v="3"/>
    <x v="3"/>
    <n v="2"/>
    <n v="15"/>
    <n v="3.3"/>
    <s v="C0044"/>
    <x v="78"/>
    <x v="0"/>
    <x v="5"/>
    <n v="30"/>
    <n v="6.6"/>
    <n v="23.4"/>
    <n v="15"/>
    <n v="0"/>
    <n v="0"/>
  </r>
  <r>
    <s v="OR0907"/>
    <x v="314"/>
    <x v="3"/>
    <x v="3"/>
    <n v="6"/>
    <n v="15"/>
    <n v="5.45"/>
    <s v="C0161"/>
    <x v="18"/>
    <x v="0"/>
    <x v="3"/>
    <n v="90"/>
    <n v="32.700000000000003"/>
    <n v="57.3"/>
    <n v="15"/>
    <n v="0"/>
    <n v="0"/>
  </r>
  <r>
    <s v="OR0908"/>
    <x v="314"/>
    <x v="2"/>
    <x v="2"/>
    <n v="2"/>
    <n v="40"/>
    <n v="12.19"/>
    <s v="C0198"/>
    <x v="109"/>
    <x v="1"/>
    <x v="8"/>
    <n v="80"/>
    <n v="24.38"/>
    <n v="55.620000000000005"/>
    <n v="40"/>
    <n v="0"/>
    <n v="1"/>
  </r>
  <r>
    <s v="OR0909"/>
    <x v="314"/>
    <x v="1"/>
    <x v="1"/>
    <n v="2"/>
    <n v="25"/>
    <n v="6.17"/>
    <s v="C0149"/>
    <x v="10"/>
    <x v="1"/>
    <x v="6"/>
    <n v="50"/>
    <n v="12.34"/>
    <n v="37.659999999999997"/>
    <n v="25"/>
    <n v="0"/>
    <n v="1"/>
  </r>
  <r>
    <s v="OR0910"/>
    <x v="314"/>
    <x v="1"/>
    <x v="1"/>
    <n v="9"/>
    <n v="25"/>
    <n v="6.35"/>
    <s v="C0172"/>
    <x v="103"/>
    <x v="2"/>
    <x v="9"/>
    <n v="225"/>
    <n v="57.15"/>
    <n v="167.85"/>
    <n v="25"/>
    <n v="1"/>
    <n v="0"/>
  </r>
  <r>
    <s v="OR0911"/>
    <x v="315"/>
    <x v="3"/>
    <x v="3"/>
    <n v="2"/>
    <n v="15"/>
    <n v="4.1500000000000004"/>
    <s v="C0109"/>
    <x v="74"/>
    <x v="0"/>
    <x v="3"/>
    <n v="30"/>
    <n v="8.3000000000000007"/>
    <n v="21.7"/>
    <n v="15"/>
    <n v="0"/>
    <n v="0"/>
  </r>
  <r>
    <s v="OR0912"/>
    <x v="315"/>
    <x v="1"/>
    <x v="1"/>
    <n v="3"/>
    <n v="25"/>
    <n v="9.27"/>
    <s v="C0001"/>
    <x v="92"/>
    <x v="2"/>
    <x v="2"/>
    <n v="75"/>
    <n v="27.81"/>
    <n v="47.19"/>
    <n v="25"/>
    <n v="1"/>
    <n v="0"/>
  </r>
  <r>
    <s v="OR0913"/>
    <x v="315"/>
    <x v="4"/>
    <x v="4"/>
    <n v="4"/>
    <n v="12"/>
    <n v="4.3899999999999997"/>
    <s v="C0004"/>
    <x v="94"/>
    <x v="1"/>
    <x v="7"/>
    <n v="48"/>
    <n v="17.559999999999999"/>
    <n v="30.44"/>
    <n v="12"/>
    <n v="0"/>
    <n v="1"/>
  </r>
  <r>
    <s v="OR0914"/>
    <x v="315"/>
    <x v="1"/>
    <x v="1"/>
    <n v="10"/>
    <n v="25"/>
    <n v="9.83"/>
    <s v="C0175"/>
    <x v="79"/>
    <x v="0"/>
    <x v="2"/>
    <n v="250"/>
    <n v="98.3"/>
    <n v="151.69999999999999"/>
    <n v="25"/>
    <n v="0"/>
    <n v="0"/>
  </r>
  <r>
    <s v="OR0915"/>
    <x v="315"/>
    <x v="4"/>
    <x v="4"/>
    <n v="2"/>
    <n v="12"/>
    <n v="3.46"/>
    <s v="C0139"/>
    <x v="47"/>
    <x v="0"/>
    <x v="4"/>
    <n v="24"/>
    <n v="6.92"/>
    <n v="17.079999999999998"/>
    <n v="12"/>
    <n v="0"/>
    <n v="0"/>
  </r>
  <r>
    <s v="OR0916"/>
    <x v="316"/>
    <x v="1"/>
    <x v="1"/>
    <n v="2"/>
    <n v="25"/>
    <n v="7.66"/>
    <s v="C0176"/>
    <x v="9"/>
    <x v="1"/>
    <x v="2"/>
    <n v="50"/>
    <n v="15.32"/>
    <n v="34.68"/>
    <n v="25"/>
    <n v="0"/>
    <n v="1"/>
  </r>
  <r>
    <s v="OR0917"/>
    <x v="317"/>
    <x v="0"/>
    <x v="0"/>
    <n v="10"/>
    <n v="10"/>
    <n v="2.0299999999999998"/>
    <s v="C0025"/>
    <x v="58"/>
    <x v="0"/>
    <x v="8"/>
    <n v="100"/>
    <n v="20.299999999999997"/>
    <n v="79.7"/>
    <n v="10"/>
    <n v="0"/>
    <n v="0"/>
  </r>
  <r>
    <s v="OR0918"/>
    <x v="317"/>
    <x v="0"/>
    <x v="0"/>
    <n v="10"/>
    <n v="10"/>
    <n v="3.83"/>
    <s v="C0068"/>
    <x v="96"/>
    <x v="2"/>
    <x v="2"/>
    <n v="100"/>
    <n v="38.299999999999997"/>
    <n v="61.7"/>
    <n v="10"/>
    <n v="1"/>
    <n v="0"/>
  </r>
  <r>
    <s v="OR0919"/>
    <x v="317"/>
    <x v="1"/>
    <x v="1"/>
    <n v="2"/>
    <n v="25"/>
    <n v="7.63"/>
    <s v="C0156"/>
    <x v="18"/>
    <x v="3"/>
    <x v="8"/>
    <n v="50"/>
    <n v="15.26"/>
    <n v="34.74"/>
    <n v="25"/>
    <n v="0"/>
    <n v="0"/>
  </r>
  <r>
    <s v="OR0920"/>
    <x v="317"/>
    <x v="3"/>
    <x v="3"/>
    <n v="4"/>
    <n v="15"/>
    <n v="4.93"/>
    <s v="C0167"/>
    <x v="23"/>
    <x v="1"/>
    <x v="7"/>
    <n v="60"/>
    <n v="19.72"/>
    <n v="40.28"/>
    <n v="15"/>
    <n v="0"/>
    <n v="1"/>
  </r>
  <r>
    <s v="OR0921"/>
    <x v="318"/>
    <x v="1"/>
    <x v="1"/>
    <n v="8"/>
    <n v="25"/>
    <n v="7.07"/>
    <s v="C0163"/>
    <x v="95"/>
    <x v="1"/>
    <x v="3"/>
    <n v="200"/>
    <n v="56.56"/>
    <n v="143.44"/>
    <n v="25"/>
    <n v="0"/>
    <n v="1"/>
  </r>
  <r>
    <s v="OR0922"/>
    <x v="318"/>
    <x v="4"/>
    <x v="4"/>
    <n v="9"/>
    <n v="12"/>
    <n v="2.78"/>
    <s v="C0119"/>
    <x v="21"/>
    <x v="0"/>
    <x v="4"/>
    <n v="108"/>
    <n v="25.02"/>
    <n v="82.98"/>
    <n v="12"/>
    <n v="0"/>
    <n v="0"/>
  </r>
  <r>
    <s v="OR0923"/>
    <x v="318"/>
    <x v="2"/>
    <x v="2"/>
    <n v="3"/>
    <n v="40"/>
    <n v="15.33"/>
    <s v="C0155"/>
    <x v="89"/>
    <x v="1"/>
    <x v="0"/>
    <n v="120"/>
    <n v="45.99"/>
    <n v="74.009999999999991"/>
    <n v="40"/>
    <n v="0"/>
    <n v="1"/>
  </r>
  <r>
    <s v="OR0924"/>
    <x v="319"/>
    <x v="4"/>
    <x v="4"/>
    <n v="1"/>
    <n v="12"/>
    <n v="4.46"/>
    <s v="C0114"/>
    <x v="5"/>
    <x v="0"/>
    <x v="4"/>
    <n v="12"/>
    <n v="4.46"/>
    <n v="7.54"/>
    <n v="12"/>
    <n v="0"/>
    <n v="0"/>
  </r>
  <r>
    <s v="OR0925"/>
    <x v="320"/>
    <x v="3"/>
    <x v="3"/>
    <n v="10"/>
    <n v="15"/>
    <n v="3.12"/>
    <s v="C0019"/>
    <x v="118"/>
    <x v="1"/>
    <x v="2"/>
    <n v="150"/>
    <n v="31.200000000000003"/>
    <n v="118.8"/>
    <n v="15"/>
    <n v="0"/>
    <n v="1"/>
  </r>
  <r>
    <s v="OR0926"/>
    <x v="320"/>
    <x v="1"/>
    <x v="1"/>
    <n v="5"/>
    <n v="25"/>
    <n v="5.22"/>
    <s v="C0007"/>
    <x v="65"/>
    <x v="3"/>
    <x v="8"/>
    <n v="125"/>
    <n v="26.099999999999998"/>
    <n v="98.9"/>
    <n v="25"/>
    <n v="0"/>
    <n v="0"/>
  </r>
  <r>
    <s v="OR0927"/>
    <x v="321"/>
    <x v="1"/>
    <x v="1"/>
    <n v="2"/>
    <n v="25"/>
    <n v="7.12"/>
    <s v="C0107"/>
    <x v="56"/>
    <x v="3"/>
    <x v="1"/>
    <n v="50"/>
    <n v="14.24"/>
    <n v="35.76"/>
    <n v="25"/>
    <n v="0"/>
    <n v="0"/>
  </r>
  <r>
    <s v="OR0928"/>
    <x v="322"/>
    <x v="4"/>
    <x v="4"/>
    <n v="4"/>
    <n v="12"/>
    <n v="4.01"/>
    <s v="C0029"/>
    <x v="124"/>
    <x v="1"/>
    <x v="8"/>
    <n v="48"/>
    <n v="16.04"/>
    <n v="31.96"/>
    <n v="12"/>
    <n v="0"/>
    <n v="1"/>
  </r>
  <r>
    <s v="OR0929"/>
    <x v="322"/>
    <x v="2"/>
    <x v="2"/>
    <n v="8"/>
    <n v="40"/>
    <n v="8.52"/>
    <s v="C0182"/>
    <x v="57"/>
    <x v="1"/>
    <x v="0"/>
    <n v="320"/>
    <n v="68.16"/>
    <n v="251.84"/>
    <n v="40"/>
    <n v="0"/>
    <n v="1"/>
  </r>
  <r>
    <s v="OR0930"/>
    <x v="322"/>
    <x v="1"/>
    <x v="1"/>
    <n v="10"/>
    <n v="25"/>
    <n v="6.39"/>
    <s v="C0142"/>
    <x v="102"/>
    <x v="0"/>
    <x v="6"/>
    <n v="250"/>
    <n v="63.9"/>
    <n v="186.1"/>
    <n v="25"/>
    <n v="0"/>
    <n v="0"/>
  </r>
  <r>
    <s v="OR0931"/>
    <x v="322"/>
    <x v="1"/>
    <x v="1"/>
    <n v="6"/>
    <n v="25"/>
    <n v="7.8"/>
    <s v="C0197"/>
    <x v="68"/>
    <x v="0"/>
    <x v="1"/>
    <n v="150"/>
    <n v="46.8"/>
    <n v="103.2"/>
    <n v="25"/>
    <n v="0"/>
    <n v="0"/>
  </r>
  <r>
    <s v="OR0932"/>
    <x v="322"/>
    <x v="2"/>
    <x v="2"/>
    <n v="4"/>
    <n v="40"/>
    <n v="8.2899999999999991"/>
    <s v="C0106"/>
    <x v="7"/>
    <x v="0"/>
    <x v="4"/>
    <n v="160"/>
    <n v="33.159999999999997"/>
    <n v="126.84"/>
    <n v="40"/>
    <n v="0"/>
    <n v="0"/>
  </r>
  <r>
    <s v="OR0933"/>
    <x v="323"/>
    <x v="0"/>
    <x v="0"/>
    <n v="10"/>
    <n v="10"/>
    <n v="3.14"/>
    <s v="C0121"/>
    <x v="44"/>
    <x v="1"/>
    <x v="7"/>
    <n v="100"/>
    <n v="31.400000000000002"/>
    <n v="68.599999999999994"/>
    <n v="10"/>
    <n v="0"/>
    <n v="1"/>
  </r>
  <r>
    <s v="OR0934"/>
    <x v="323"/>
    <x v="1"/>
    <x v="1"/>
    <n v="3"/>
    <n v="25"/>
    <n v="8.4700000000000006"/>
    <s v="C0079"/>
    <x v="100"/>
    <x v="0"/>
    <x v="4"/>
    <n v="75"/>
    <n v="25.410000000000004"/>
    <n v="49.589999999999996"/>
    <n v="25"/>
    <n v="0"/>
    <n v="0"/>
  </r>
  <r>
    <s v="OR0935"/>
    <x v="323"/>
    <x v="2"/>
    <x v="2"/>
    <n v="9"/>
    <n v="40"/>
    <n v="14.84"/>
    <s v="C0190"/>
    <x v="39"/>
    <x v="1"/>
    <x v="0"/>
    <n v="360"/>
    <n v="133.56"/>
    <n v="226.44"/>
    <n v="40"/>
    <n v="0"/>
    <n v="1"/>
  </r>
  <r>
    <s v="OR0936"/>
    <x v="324"/>
    <x v="0"/>
    <x v="0"/>
    <n v="6"/>
    <n v="10"/>
    <n v="3.49"/>
    <s v="C0057"/>
    <x v="54"/>
    <x v="1"/>
    <x v="7"/>
    <n v="60"/>
    <n v="20.94"/>
    <n v="39.06"/>
    <n v="10"/>
    <n v="0"/>
    <n v="1"/>
  </r>
  <r>
    <s v="OR0937"/>
    <x v="324"/>
    <x v="3"/>
    <x v="3"/>
    <n v="2"/>
    <n v="15"/>
    <n v="5.61"/>
    <s v="C0033"/>
    <x v="25"/>
    <x v="1"/>
    <x v="0"/>
    <n v="30"/>
    <n v="11.22"/>
    <n v="18.78"/>
    <n v="15"/>
    <n v="0"/>
    <n v="1"/>
  </r>
  <r>
    <s v="OR0938"/>
    <x v="324"/>
    <x v="1"/>
    <x v="1"/>
    <n v="7"/>
    <n v="25"/>
    <n v="7.45"/>
    <s v="C0052"/>
    <x v="6"/>
    <x v="1"/>
    <x v="1"/>
    <n v="175"/>
    <n v="52.15"/>
    <n v="122.85"/>
    <n v="25"/>
    <n v="0"/>
    <n v="1"/>
  </r>
  <r>
    <s v="OR0939"/>
    <x v="325"/>
    <x v="2"/>
    <x v="2"/>
    <n v="3"/>
    <n v="40"/>
    <n v="13.88"/>
    <s v="C0143"/>
    <x v="89"/>
    <x v="1"/>
    <x v="8"/>
    <n v="120"/>
    <n v="41.64"/>
    <n v="78.36"/>
    <n v="40"/>
    <n v="0"/>
    <n v="1"/>
  </r>
  <r>
    <s v="OR0940"/>
    <x v="325"/>
    <x v="2"/>
    <x v="2"/>
    <n v="10"/>
    <n v="40"/>
    <n v="10.5"/>
    <s v="C0152"/>
    <x v="101"/>
    <x v="1"/>
    <x v="6"/>
    <n v="400"/>
    <n v="105"/>
    <n v="295"/>
    <n v="40"/>
    <n v="0"/>
    <n v="1"/>
  </r>
  <r>
    <s v="OR0941"/>
    <x v="326"/>
    <x v="3"/>
    <x v="3"/>
    <n v="3"/>
    <n v="15"/>
    <n v="3.32"/>
    <s v="C0065"/>
    <x v="48"/>
    <x v="1"/>
    <x v="3"/>
    <n v="45"/>
    <n v="9.9599999999999991"/>
    <n v="35.04"/>
    <n v="15"/>
    <n v="0"/>
    <n v="1"/>
  </r>
  <r>
    <s v="OR0942"/>
    <x v="326"/>
    <x v="2"/>
    <x v="2"/>
    <n v="10"/>
    <n v="40"/>
    <n v="11.45"/>
    <s v="C0196"/>
    <x v="42"/>
    <x v="3"/>
    <x v="6"/>
    <n v="400"/>
    <n v="114.5"/>
    <n v="285.5"/>
    <n v="40"/>
    <n v="0"/>
    <n v="0"/>
  </r>
  <r>
    <s v="OR0943"/>
    <x v="327"/>
    <x v="1"/>
    <x v="1"/>
    <n v="10"/>
    <n v="25"/>
    <n v="9.69"/>
    <s v="C0169"/>
    <x v="56"/>
    <x v="1"/>
    <x v="3"/>
    <n v="250"/>
    <n v="96.899999999999991"/>
    <n v="153.10000000000002"/>
    <n v="25"/>
    <n v="0"/>
    <n v="1"/>
  </r>
  <r>
    <s v="OR0944"/>
    <x v="327"/>
    <x v="4"/>
    <x v="4"/>
    <n v="9"/>
    <n v="12"/>
    <n v="3.65"/>
    <s v="C0148"/>
    <x v="48"/>
    <x v="3"/>
    <x v="0"/>
    <n v="108"/>
    <n v="32.85"/>
    <n v="75.150000000000006"/>
    <n v="12"/>
    <n v="0"/>
    <n v="0"/>
  </r>
  <r>
    <s v="OR0945"/>
    <x v="327"/>
    <x v="1"/>
    <x v="1"/>
    <n v="5"/>
    <n v="25"/>
    <n v="8.9600000000000009"/>
    <s v="C0079"/>
    <x v="100"/>
    <x v="1"/>
    <x v="4"/>
    <n v="125"/>
    <n v="44.800000000000004"/>
    <n v="80.199999999999989"/>
    <n v="25"/>
    <n v="0"/>
    <n v="1"/>
  </r>
  <r>
    <s v="OR0946"/>
    <x v="327"/>
    <x v="1"/>
    <x v="1"/>
    <n v="4"/>
    <n v="25"/>
    <n v="9.9499999999999993"/>
    <s v="C0030"/>
    <x v="34"/>
    <x v="1"/>
    <x v="4"/>
    <n v="100"/>
    <n v="39.799999999999997"/>
    <n v="60.2"/>
    <n v="25"/>
    <n v="0"/>
    <n v="1"/>
  </r>
  <r>
    <s v="OR0947"/>
    <x v="327"/>
    <x v="4"/>
    <x v="4"/>
    <n v="3"/>
    <n v="12"/>
    <n v="4.3899999999999997"/>
    <s v="C0007"/>
    <x v="65"/>
    <x v="0"/>
    <x v="4"/>
    <n v="36"/>
    <n v="13.169999999999998"/>
    <n v="22.830000000000002"/>
    <n v="12"/>
    <n v="0"/>
    <n v="0"/>
  </r>
  <r>
    <s v="OR0948"/>
    <x v="328"/>
    <x v="1"/>
    <x v="1"/>
    <n v="5"/>
    <n v="25"/>
    <n v="9.1199999999999992"/>
    <s v="C0102"/>
    <x v="85"/>
    <x v="1"/>
    <x v="9"/>
    <n v="125"/>
    <n v="45.599999999999994"/>
    <n v="79.400000000000006"/>
    <n v="25"/>
    <n v="0"/>
    <n v="1"/>
  </r>
  <r>
    <s v="OR0949"/>
    <x v="328"/>
    <x v="0"/>
    <x v="0"/>
    <n v="5"/>
    <n v="10"/>
    <n v="2.04"/>
    <s v="C0109"/>
    <x v="74"/>
    <x v="1"/>
    <x v="0"/>
    <n v="50"/>
    <n v="10.199999999999999"/>
    <n v="39.799999999999997"/>
    <n v="10"/>
    <n v="0"/>
    <n v="1"/>
  </r>
  <r>
    <s v="OR0950"/>
    <x v="329"/>
    <x v="3"/>
    <x v="3"/>
    <n v="5"/>
    <n v="15"/>
    <n v="5.67"/>
    <s v="C0199"/>
    <x v="20"/>
    <x v="1"/>
    <x v="1"/>
    <n v="75"/>
    <n v="28.35"/>
    <n v="46.65"/>
    <n v="15"/>
    <n v="0"/>
    <n v="1"/>
  </r>
  <r>
    <s v="OR0951"/>
    <x v="329"/>
    <x v="3"/>
    <x v="3"/>
    <n v="1"/>
    <n v="15"/>
    <n v="5.36"/>
    <s v="C0098"/>
    <x v="98"/>
    <x v="2"/>
    <x v="5"/>
    <n v="15"/>
    <n v="5.36"/>
    <n v="9.64"/>
    <n v="15"/>
    <n v="1"/>
    <n v="0"/>
  </r>
  <r>
    <s v="OR0952"/>
    <x v="330"/>
    <x v="3"/>
    <x v="3"/>
    <n v="5"/>
    <n v="15"/>
    <n v="3.45"/>
    <s v="C0019"/>
    <x v="118"/>
    <x v="1"/>
    <x v="5"/>
    <n v="75"/>
    <n v="17.25"/>
    <n v="57.75"/>
    <n v="15"/>
    <n v="0"/>
    <n v="1"/>
  </r>
  <r>
    <s v="OR0953"/>
    <x v="331"/>
    <x v="4"/>
    <x v="4"/>
    <n v="9"/>
    <n v="12"/>
    <n v="3.54"/>
    <s v="C0086"/>
    <x v="35"/>
    <x v="1"/>
    <x v="7"/>
    <n v="108"/>
    <n v="31.86"/>
    <n v="76.14"/>
    <n v="12"/>
    <n v="0"/>
    <n v="1"/>
  </r>
  <r>
    <s v="OR0954"/>
    <x v="331"/>
    <x v="4"/>
    <x v="4"/>
    <n v="5"/>
    <n v="12"/>
    <n v="4.01"/>
    <s v="C0049"/>
    <x v="74"/>
    <x v="1"/>
    <x v="5"/>
    <n v="60"/>
    <n v="20.049999999999997"/>
    <n v="39.950000000000003"/>
    <n v="12"/>
    <n v="0"/>
    <n v="1"/>
  </r>
  <r>
    <s v="OR0955"/>
    <x v="331"/>
    <x v="2"/>
    <x v="2"/>
    <n v="10"/>
    <n v="40"/>
    <n v="15.7"/>
    <s v="C0003"/>
    <x v="86"/>
    <x v="0"/>
    <x v="4"/>
    <n v="400"/>
    <n v="157"/>
    <n v="243"/>
    <n v="40"/>
    <n v="0"/>
    <n v="0"/>
  </r>
  <r>
    <s v="OR0956"/>
    <x v="331"/>
    <x v="2"/>
    <x v="2"/>
    <n v="3"/>
    <n v="40"/>
    <n v="12.54"/>
    <s v="C0005"/>
    <x v="99"/>
    <x v="1"/>
    <x v="4"/>
    <n v="120"/>
    <n v="37.619999999999997"/>
    <n v="82.38"/>
    <n v="40"/>
    <n v="0"/>
    <n v="1"/>
  </r>
  <r>
    <s v="OR0957"/>
    <x v="331"/>
    <x v="1"/>
    <x v="1"/>
    <n v="5"/>
    <n v="25"/>
    <n v="8.98"/>
    <s v="C0112"/>
    <x v="70"/>
    <x v="3"/>
    <x v="0"/>
    <n v="125"/>
    <n v="44.900000000000006"/>
    <n v="80.099999999999994"/>
    <n v="25"/>
    <n v="0"/>
    <n v="0"/>
  </r>
  <r>
    <s v="OR0958"/>
    <x v="332"/>
    <x v="2"/>
    <x v="2"/>
    <n v="7"/>
    <n v="40"/>
    <n v="14.44"/>
    <s v="C0195"/>
    <x v="56"/>
    <x v="1"/>
    <x v="1"/>
    <n v="280"/>
    <n v="101.08"/>
    <n v="178.92000000000002"/>
    <n v="40"/>
    <n v="0"/>
    <n v="1"/>
  </r>
  <r>
    <s v="OR0959"/>
    <x v="332"/>
    <x v="2"/>
    <x v="2"/>
    <n v="8"/>
    <n v="40"/>
    <n v="9.3699999999999992"/>
    <s v="C0197"/>
    <x v="68"/>
    <x v="1"/>
    <x v="1"/>
    <n v="320"/>
    <n v="74.959999999999994"/>
    <n v="245.04000000000002"/>
    <n v="40"/>
    <n v="0"/>
    <n v="1"/>
  </r>
  <r>
    <s v="OR0960"/>
    <x v="332"/>
    <x v="4"/>
    <x v="4"/>
    <n v="8"/>
    <n v="12"/>
    <n v="2.73"/>
    <s v="C0155"/>
    <x v="89"/>
    <x v="0"/>
    <x v="0"/>
    <n v="96"/>
    <n v="21.84"/>
    <n v="74.16"/>
    <n v="12"/>
    <n v="0"/>
    <n v="0"/>
  </r>
  <r>
    <s v="OR0961"/>
    <x v="333"/>
    <x v="3"/>
    <x v="3"/>
    <n v="5"/>
    <n v="15"/>
    <n v="5.13"/>
    <s v="C0020"/>
    <x v="111"/>
    <x v="1"/>
    <x v="5"/>
    <n v="75"/>
    <n v="25.65"/>
    <n v="49.35"/>
    <n v="15"/>
    <n v="0"/>
    <n v="1"/>
  </r>
  <r>
    <s v="OR0962"/>
    <x v="333"/>
    <x v="0"/>
    <x v="0"/>
    <n v="3"/>
    <n v="10"/>
    <n v="2.86"/>
    <s v="C0048"/>
    <x v="87"/>
    <x v="1"/>
    <x v="2"/>
    <n v="30"/>
    <n v="8.58"/>
    <n v="21.42"/>
    <n v="10"/>
    <n v="0"/>
    <n v="1"/>
  </r>
  <r>
    <s v="OR0963"/>
    <x v="333"/>
    <x v="3"/>
    <x v="3"/>
    <n v="10"/>
    <n v="15"/>
    <n v="5.18"/>
    <s v="C0034"/>
    <x v="40"/>
    <x v="1"/>
    <x v="0"/>
    <n v="150"/>
    <n v="51.8"/>
    <n v="98.2"/>
    <n v="15"/>
    <n v="0"/>
    <n v="1"/>
  </r>
  <r>
    <s v="OR0964"/>
    <x v="333"/>
    <x v="1"/>
    <x v="1"/>
    <n v="7"/>
    <n v="25"/>
    <n v="9.41"/>
    <s v="C0035"/>
    <x v="16"/>
    <x v="1"/>
    <x v="0"/>
    <n v="175"/>
    <n v="65.87"/>
    <n v="109.13"/>
    <n v="25"/>
    <n v="0"/>
    <n v="1"/>
  </r>
  <r>
    <s v="OR0965"/>
    <x v="334"/>
    <x v="2"/>
    <x v="2"/>
    <n v="3"/>
    <n v="40"/>
    <n v="12.72"/>
    <s v="C0147"/>
    <x v="30"/>
    <x v="0"/>
    <x v="2"/>
    <n v="120"/>
    <n v="38.160000000000004"/>
    <n v="81.84"/>
    <n v="40"/>
    <n v="0"/>
    <n v="0"/>
  </r>
  <r>
    <s v="OR0966"/>
    <x v="334"/>
    <x v="1"/>
    <x v="1"/>
    <n v="2"/>
    <n v="25"/>
    <n v="7.31"/>
    <s v="C0187"/>
    <x v="48"/>
    <x v="0"/>
    <x v="8"/>
    <n v="50"/>
    <n v="14.62"/>
    <n v="35.380000000000003"/>
    <n v="25"/>
    <n v="0"/>
    <n v="0"/>
  </r>
  <r>
    <s v="OR0967"/>
    <x v="334"/>
    <x v="0"/>
    <x v="0"/>
    <n v="2"/>
    <n v="10"/>
    <n v="3.87"/>
    <s v="C0127"/>
    <x v="22"/>
    <x v="1"/>
    <x v="0"/>
    <n v="20"/>
    <n v="7.74"/>
    <n v="12.26"/>
    <n v="10"/>
    <n v="0"/>
    <n v="1"/>
  </r>
  <r>
    <s v="OR0968"/>
    <x v="334"/>
    <x v="1"/>
    <x v="1"/>
    <n v="3"/>
    <n v="25"/>
    <n v="8.4600000000000009"/>
    <s v="C0105"/>
    <x v="45"/>
    <x v="1"/>
    <x v="3"/>
    <n v="75"/>
    <n v="25.380000000000003"/>
    <n v="49.62"/>
    <n v="25"/>
    <n v="0"/>
    <n v="1"/>
  </r>
  <r>
    <s v="OR0969"/>
    <x v="335"/>
    <x v="3"/>
    <x v="3"/>
    <n v="8"/>
    <n v="15"/>
    <n v="4.0199999999999996"/>
    <s v="C0091"/>
    <x v="72"/>
    <x v="1"/>
    <x v="0"/>
    <n v="120"/>
    <n v="32.159999999999997"/>
    <n v="87.84"/>
    <n v="15"/>
    <n v="0"/>
    <n v="1"/>
  </r>
  <r>
    <s v="OR0970"/>
    <x v="335"/>
    <x v="2"/>
    <x v="2"/>
    <n v="6"/>
    <n v="40"/>
    <n v="8.58"/>
    <s v="C0123"/>
    <x v="123"/>
    <x v="0"/>
    <x v="2"/>
    <n v="240"/>
    <n v="51.480000000000004"/>
    <n v="188.51999999999998"/>
    <n v="40"/>
    <n v="0"/>
    <n v="0"/>
  </r>
  <r>
    <s v="OR0971"/>
    <x v="335"/>
    <x v="4"/>
    <x v="4"/>
    <n v="10"/>
    <n v="12"/>
    <n v="2.78"/>
    <s v="C0185"/>
    <x v="55"/>
    <x v="1"/>
    <x v="7"/>
    <n v="120"/>
    <n v="27.799999999999997"/>
    <n v="92.2"/>
    <n v="12"/>
    <n v="0"/>
    <n v="1"/>
  </r>
  <r>
    <s v="OR0972"/>
    <x v="336"/>
    <x v="2"/>
    <x v="2"/>
    <n v="5"/>
    <n v="40"/>
    <n v="14.51"/>
    <s v="C0143"/>
    <x v="89"/>
    <x v="1"/>
    <x v="0"/>
    <n v="200"/>
    <n v="72.55"/>
    <n v="127.45"/>
    <n v="40"/>
    <n v="0"/>
    <n v="1"/>
  </r>
  <r>
    <s v="OR0973"/>
    <x v="336"/>
    <x v="0"/>
    <x v="0"/>
    <n v="9"/>
    <n v="10"/>
    <n v="3.78"/>
    <s v="C0092"/>
    <x v="102"/>
    <x v="2"/>
    <x v="1"/>
    <n v="90"/>
    <n v="34.019999999999996"/>
    <n v="55.980000000000004"/>
    <n v="10"/>
    <n v="1"/>
    <n v="0"/>
  </r>
  <r>
    <s v="OR0974"/>
    <x v="336"/>
    <x v="1"/>
    <x v="1"/>
    <n v="2"/>
    <n v="25"/>
    <n v="9.3000000000000007"/>
    <s v="C0144"/>
    <x v="80"/>
    <x v="3"/>
    <x v="1"/>
    <n v="50"/>
    <n v="18.600000000000001"/>
    <n v="31.4"/>
    <n v="25"/>
    <n v="0"/>
    <n v="0"/>
  </r>
  <r>
    <s v="OR0975"/>
    <x v="337"/>
    <x v="3"/>
    <x v="3"/>
    <n v="9"/>
    <n v="15"/>
    <n v="4.68"/>
    <s v="C0183"/>
    <x v="1"/>
    <x v="3"/>
    <x v="3"/>
    <n v="135"/>
    <n v="42.12"/>
    <n v="92.88"/>
    <n v="15"/>
    <n v="0"/>
    <n v="0"/>
  </r>
  <r>
    <s v="OR0976"/>
    <x v="337"/>
    <x v="2"/>
    <x v="2"/>
    <n v="8"/>
    <n v="40"/>
    <n v="15.62"/>
    <s v="C0085"/>
    <x v="29"/>
    <x v="1"/>
    <x v="4"/>
    <n v="320"/>
    <n v="124.96"/>
    <n v="195.04000000000002"/>
    <n v="40"/>
    <n v="0"/>
    <n v="1"/>
  </r>
  <r>
    <s v="OR0977"/>
    <x v="337"/>
    <x v="0"/>
    <x v="0"/>
    <n v="5"/>
    <n v="10"/>
    <n v="3.28"/>
    <s v="C0150"/>
    <x v="76"/>
    <x v="1"/>
    <x v="3"/>
    <n v="50"/>
    <n v="16.399999999999999"/>
    <n v="33.6"/>
    <n v="10"/>
    <n v="0"/>
    <n v="1"/>
  </r>
  <r>
    <s v="OR0978"/>
    <x v="337"/>
    <x v="0"/>
    <x v="0"/>
    <n v="3"/>
    <n v="10"/>
    <n v="3.25"/>
    <s v="C0043"/>
    <x v="31"/>
    <x v="1"/>
    <x v="5"/>
    <n v="30"/>
    <n v="9.75"/>
    <n v="20.25"/>
    <n v="10"/>
    <n v="0"/>
    <n v="1"/>
  </r>
  <r>
    <s v="OR0979"/>
    <x v="338"/>
    <x v="3"/>
    <x v="3"/>
    <n v="3"/>
    <n v="15"/>
    <n v="3.77"/>
    <s v="C0187"/>
    <x v="48"/>
    <x v="1"/>
    <x v="2"/>
    <n v="45"/>
    <n v="11.31"/>
    <n v="33.69"/>
    <n v="15"/>
    <n v="0"/>
    <n v="1"/>
  </r>
  <r>
    <s v="OR0980"/>
    <x v="338"/>
    <x v="2"/>
    <x v="2"/>
    <n v="1"/>
    <n v="40"/>
    <n v="14.45"/>
    <s v="C0028"/>
    <x v="125"/>
    <x v="0"/>
    <x v="5"/>
    <n v="40"/>
    <n v="14.45"/>
    <n v="25.55"/>
    <n v="40"/>
    <n v="0"/>
    <n v="0"/>
  </r>
  <r>
    <s v="OR0981"/>
    <x v="338"/>
    <x v="4"/>
    <x v="4"/>
    <n v="8"/>
    <n v="12"/>
    <n v="2.61"/>
    <s v="C0086"/>
    <x v="35"/>
    <x v="1"/>
    <x v="4"/>
    <n v="96"/>
    <n v="20.88"/>
    <n v="75.12"/>
    <n v="12"/>
    <n v="0"/>
    <n v="1"/>
  </r>
  <r>
    <s v="OR0982"/>
    <x v="338"/>
    <x v="3"/>
    <x v="3"/>
    <n v="4"/>
    <n v="15"/>
    <n v="4.01"/>
    <s v="C0085"/>
    <x v="29"/>
    <x v="3"/>
    <x v="1"/>
    <n v="60"/>
    <n v="16.04"/>
    <n v="43.96"/>
    <n v="15"/>
    <n v="0"/>
    <n v="0"/>
  </r>
  <r>
    <s v="OR0983"/>
    <x v="338"/>
    <x v="0"/>
    <x v="0"/>
    <n v="10"/>
    <n v="10"/>
    <n v="2.96"/>
    <s v="C0132"/>
    <x v="97"/>
    <x v="0"/>
    <x v="4"/>
    <n v="100"/>
    <n v="29.6"/>
    <n v="70.400000000000006"/>
    <n v="10"/>
    <n v="0"/>
    <n v="0"/>
  </r>
  <r>
    <s v="OR0984"/>
    <x v="338"/>
    <x v="1"/>
    <x v="1"/>
    <n v="2"/>
    <n v="25"/>
    <n v="9.57"/>
    <s v="C0199"/>
    <x v="20"/>
    <x v="0"/>
    <x v="7"/>
    <n v="50"/>
    <n v="19.14"/>
    <n v="30.86"/>
    <n v="25"/>
    <n v="0"/>
    <n v="0"/>
  </r>
  <r>
    <s v="OR0985"/>
    <x v="339"/>
    <x v="3"/>
    <x v="3"/>
    <n v="10"/>
    <n v="15"/>
    <n v="3.45"/>
    <s v="C0091"/>
    <x v="72"/>
    <x v="1"/>
    <x v="2"/>
    <n v="150"/>
    <n v="34.5"/>
    <n v="115.5"/>
    <n v="15"/>
    <n v="0"/>
    <n v="1"/>
  </r>
  <r>
    <s v="OR0986"/>
    <x v="340"/>
    <x v="3"/>
    <x v="3"/>
    <n v="1"/>
    <n v="15"/>
    <n v="3.86"/>
    <s v="C0174"/>
    <x v="0"/>
    <x v="1"/>
    <x v="6"/>
    <n v="15"/>
    <n v="3.86"/>
    <n v="11.14"/>
    <n v="15"/>
    <n v="0"/>
    <n v="1"/>
  </r>
  <r>
    <s v="OR0987"/>
    <x v="340"/>
    <x v="1"/>
    <x v="1"/>
    <n v="8"/>
    <n v="25"/>
    <n v="8.4499999999999993"/>
    <s v="C0098"/>
    <x v="98"/>
    <x v="1"/>
    <x v="9"/>
    <n v="200"/>
    <n v="67.599999999999994"/>
    <n v="132.4"/>
    <n v="25"/>
    <n v="0"/>
    <n v="1"/>
  </r>
  <r>
    <s v="OR0988"/>
    <x v="340"/>
    <x v="3"/>
    <x v="3"/>
    <n v="1"/>
    <n v="15"/>
    <n v="5.61"/>
    <s v="C0122"/>
    <x v="1"/>
    <x v="1"/>
    <x v="7"/>
    <n v="15"/>
    <n v="5.61"/>
    <n v="9.39"/>
    <n v="15"/>
    <n v="0"/>
    <n v="1"/>
  </r>
  <r>
    <s v="OR0989"/>
    <x v="340"/>
    <x v="4"/>
    <x v="4"/>
    <n v="7"/>
    <n v="12"/>
    <n v="3.23"/>
    <s v="C0127"/>
    <x v="22"/>
    <x v="1"/>
    <x v="5"/>
    <n v="84"/>
    <n v="22.61"/>
    <n v="61.39"/>
    <n v="12"/>
    <n v="0"/>
    <n v="1"/>
  </r>
  <r>
    <s v="OR0990"/>
    <x v="341"/>
    <x v="2"/>
    <x v="2"/>
    <n v="8"/>
    <n v="40"/>
    <n v="12.11"/>
    <s v="C0186"/>
    <x v="98"/>
    <x v="1"/>
    <x v="8"/>
    <n v="320"/>
    <n v="96.88"/>
    <n v="223.12"/>
    <n v="40"/>
    <n v="0"/>
    <n v="1"/>
  </r>
  <r>
    <s v="OR0991"/>
    <x v="341"/>
    <x v="1"/>
    <x v="1"/>
    <n v="10"/>
    <n v="25"/>
    <n v="5.58"/>
    <s v="C0115"/>
    <x v="114"/>
    <x v="1"/>
    <x v="1"/>
    <n v="250"/>
    <n v="55.8"/>
    <n v="194.2"/>
    <n v="25"/>
    <n v="0"/>
    <n v="1"/>
  </r>
  <r>
    <s v="OR0992"/>
    <x v="341"/>
    <x v="2"/>
    <x v="2"/>
    <n v="7"/>
    <n v="40"/>
    <n v="8.07"/>
    <s v="C0114"/>
    <x v="5"/>
    <x v="1"/>
    <x v="5"/>
    <n v="280"/>
    <n v="56.49"/>
    <n v="223.51"/>
    <n v="40"/>
    <n v="0"/>
    <n v="1"/>
  </r>
  <r>
    <s v="OR0993"/>
    <x v="342"/>
    <x v="1"/>
    <x v="1"/>
    <n v="1"/>
    <n v="25"/>
    <n v="7.33"/>
    <s v="C0118"/>
    <x v="105"/>
    <x v="0"/>
    <x v="2"/>
    <n v="25"/>
    <n v="7.33"/>
    <n v="17.670000000000002"/>
    <n v="25"/>
    <n v="0"/>
    <n v="0"/>
  </r>
  <r>
    <s v="OR0994"/>
    <x v="343"/>
    <x v="4"/>
    <x v="4"/>
    <n v="5"/>
    <n v="12"/>
    <n v="4.26"/>
    <s v="C0111"/>
    <x v="49"/>
    <x v="1"/>
    <x v="0"/>
    <n v="60"/>
    <n v="21.299999999999997"/>
    <n v="38.700000000000003"/>
    <n v="12"/>
    <n v="0"/>
    <n v="1"/>
  </r>
  <r>
    <s v="OR0995"/>
    <x v="343"/>
    <x v="3"/>
    <x v="3"/>
    <n v="8"/>
    <n v="15"/>
    <n v="3.68"/>
    <s v="C0115"/>
    <x v="114"/>
    <x v="1"/>
    <x v="0"/>
    <n v="120"/>
    <n v="29.44"/>
    <n v="90.56"/>
    <n v="15"/>
    <n v="0"/>
    <n v="1"/>
  </r>
  <r>
    <s v="OR0996"/>
    <x v="344"/>
    <x v="3"/>
    <x v="3"/>
    <n v="1"/>
    <n v="15"/>
    <n v="3.83"/>
    <s v="C0125"/>
    <x v="83"/>
    <x v="2"/>
    <x v="3"/>
    <n v="15"/>
    <n v="3.83"/>
    <n v="11.17"/>
    <n v="15"/>
    <n v="1"/>
    <n v="0"/>
  </r>
  <r>
    <s v="OR0997"/>
    <x v="344"/>
    <x v="3"/>
    <x v="3"/>
    <n v="3"/>
    <n v="15"/>
    <n v="3.05"/>
    <s v="C0184"/>
    <x v="11"/>
    <x v="1"/>
    <x v="5"/>
    <n v="45"/>
    <n v="9.1499999999999986"/>
    <n v="35.85"/>
    <n v="15"/>
    <n v="0"/>
    <n v="1"/>
  </r>
  <r>
    <s v="OR0998"/>
    <x v="345"/>
    <x v="0"/>
    <x v="0"/>
    <n v="1"/>
    <n v="10"/>
    <n v="3.56"/>
    <s v="C0155"/>
    <x v="89"/>
    <x v="0"/>
    <x v="3"/>
    <n v="10"/>
    <n v="3.56"/>
    <n v="6.4399999999999995"/>
    <n v="10"/>
    <n v="0"/>
    <n v="0"/>
  </r>
  <r>
    <s v="OR0999"/>
    <x v="346"/>
    <x v="2"/>
    <x v="2"/>
    <n v="3"/>
    <n v="40"/>
    <n v="13.05"/>
    <s v="C0171"/>
    <x v="59"/>
    <x v="1"/>
    <x v="7"/>
    <n v="120"/>
    <n v="39.150000000000006"/>
    <n v="80.849999999999994"/>
    <n v="40"/>
    <n v="0"/>
    <n v="1"/>
  </r>
  <r>
    <s v="OR1000"/>
    <x v="346"/>
    <x v="3"/>
    <x v="3"/>
    <n v="6"/>
    <n v="15"/>
    <n v="5.15"/>
    <s v="C0117"/>
    <x v="122"/>
    <x v="1"/>
    <x v="5"/>
    <n v="90"/>
    <n v="30.900000000000002"/>
    <n v="59.099999999999994"/>
    <n v="15"/>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23EBC4-0B7E-4091-A1F0-941B6548AA82}"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77:D189" firstHeaderRow="0" firstDataRow="1" firstDataCol="1"/>
  <pivotFields count="21">
    <pivotField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dataField="1"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Sum of Total Profit" fld="13" baseField="0" baseItem="0"/>
    <dataField name="Profit MOM(%)" fld="13" showDataAs="percentDiff" baseField="20" baseItem="1" numFmtId="10"/>
  </dataFields>
  <formats count="4">
    <format>
      <pivotArea outline="0" fieldPosition="0">
        <references count="1">
          <reference field="4294967294" count="1" selected="0">
            <x v="0"/>
          </reference>
        </references>
      </pivotArea>
    </format>
    <format>
      <pivotArea outline="0" fieldPosition="0">
        <references count="1">
          <reference field="4294967294" count="1">
            <x v="1"/>
          </reference>
        </references>
      </pivotArea>
    </format>
    <format>
      <pivotArea outline="0" fieldPosition="0">
        <references count="1">
          <reference field="4294967294" count="1" selected="0">
            <x v="1"/>
          </reference>
        </references>
      </pivotArea>
    </format>
    <format>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801FE-1137-42DB-8309-889C58E7E30F}"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35:D140" firstHeaderRow="0" firstDataRow="1" firstDataCol="1"/>
  <pivotFields count="21">
    <pivotField dataField="1"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compact="0" showAll="0"/>
    <pivotField dataField="1"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Fields count="1">
    <field x="-2"/>
  </colFields>
  <colItems count="2">
    <i>
      <x/>
    </i>
    <i i="1">
      <x v="1"/>
    </i>
  </colItems>
  <dataFields count="2">
    <dataField name="Count of Order ID" fld="0" subtotal="count" baseField="0" baseItem="0"/>
    <dataField name="Sum of Delivery Flag"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C1514A-B58C-4806-A76D-5738DA5224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F5" firstHeaderRow="0" firstDataRow="1" firstDataCol="0"/>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Total Revenue" fld="11" baseField="0" baseItem="0" numFmtId="173"/>
    <dataField name="Sum of Total Profit" fld="13" baseField="0" baseItem="0" numFmtId="169"/>
    <dataField name="Sum of Profit Margin" fld="17" baseField="0" baseItem="0" numFmtId="164"/>
    <dataField name="Count of Order ID" fld="0" subtotal="count" baseField="0" baseItem="0"/>
    <dataField name="Average of Total Revenue2" fld="11" subtotal="average" baseField="0" baseItem="1" numFmtId="169"/>
  </dataFields>
  <formats count="8">
    <format>
      <pivotArea collapsedLevelsAreSubtotals="1" fieldPosition="0">
        <references count="1">
          <reference field="4294967294" count="1">
            <x v="2"/>
          </reference>
        </references>
      </pivotArea>
    </format>
    <format>
      <pivotArea collapsedLevelsAreSubtotals="1" fieldPosition="0">
        <references count="1">
          <reference field="4294967294" count="1">
            <x v="1"/>
          </reference>
        </references>
      </pivotArea>
    </format>
    <format>
      <pivotArea collapsedLevelsAreSubtotals="1" fieldPosition="0">
        <references count="1">
          <reference field="4294967294" count="1">
            <x v="0"/>
          </reference>
        </references>
      </pivotArea>
    </format>
    <format>
      <pivotArea collapsedLevelsAreSubtotals="1" fieldPosition="0">
        <references count="1">
          <reference field="4294967294" count="1">
            <x v="4"/>
          </reference>
        </references>
      </pivotArea>
    </format>
    <format dxfId="123">
      <pivotArea outline="0" collapsedLevelsAreSubtotals="1" fieldPosition="0">
        <references count="1">
          <reference field="4294967294" count="1" selected="0">
            <x v="1"/>
          </reference>
        </references>
      </pivotArea>
    </format>
    <format dxfId="122">
      <pivotArea outline="0" collapsedLevelsAreSubtotals="1" fieldPosition="0">
        <references count="1">
          <reference field="4294967294" count="1" selected="0">
            <x v="2"/>
          </reference>
        </references>
      </pivotArea>
    </format>
    <format dxfId="121">
      <pivotArea outline="0" collapsedLevelsAreSubtotals="1" fieldPosition="0">
        <references count="1">
          <reference field="4294967294" count="1" selected="0">
            <x v="4"/>
          </reference>
        </references>
      </pivotArea>
    </format>
    <format dxfId="12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190A5-B7A3-465C-83AA-FC5678554E44}"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G91:H96" firstHeaderRow="1" firstDataRow="1" firstDataCol="1"/>
  <pivotFields count="21">
    <pivotField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Items count="1">
    <i/>
  </colItems>
  <dataFields count="1">
    <dataField name="Average of Total Revenue" fld="11" subtotal="average" baseField="3" baseItem="0"/>
  </dataFields>
  <formats count="1">
    <format>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E6A32-2E17-4C5E-897A-AC23E2887BF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F16:G20" firstHeaderRow="1" firstDataRow="1"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v="1"/>
    </i>
    <i>
      <x v="3"/>
    </i>
    <i>
      <x/>
    </i>
  </rowItems>
  <colItems count="1">
    <i/>
  </colItems>
  <dataFields count="1">
    <dataField name="Count of Order ID" fld="0" subtotal="count" baseField="0" baseItem="0"/>
  </dataFields>
  <chartFormats count="2">
    <chartFormat chart="12"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D80E3A-E509-4C65-9B90-99989B72FA8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81:L86" firstHeaderRow="0" firstDataRow="1"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Fields count="1">
    <field x="-2"/>
  </colFields>
  <colItems count="3">
    <i>
      <x/>
    </i>
    <i i="1">
      <x v="1"/>
    </i>
    <i i="2">
      <x v="2"/>
    </i>
  </colItems>
  <dataFields count="3">
    <dataField name="Count of Order ID" fld="0" subtotal="count" baseField="0" baseItem="0"/>
    <dataField name="Sum of Total Profit" fld="13" baseField="0" baseItem="0"/>
    <dataField name="Average of Total Revenue" fld="11" subtotal="average" baseField="3" baseItem="2"/>
  </dataFields>
  <formats count="1">
    <format>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40682-85D1-44C3-B2B2-9687BBB40508}"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F159:H171" firstHeaderRow="0" firstDataRow="1" firstDataCol="1"/>
  <pivotFields count="21">
    <pivotField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dataField="1"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Average of Total Revenue" fld="11" subtotal="average" baseField="20" baseItem="4"/>
    <dataField name="AOV MOM(%)" fld="11" subtotal="average" showDataAs="percentDiff" baseField="20" baseItem="1" numFmtId="10"/>
  </dataFields>
  <formats count="3">
    <format>
      <pivotArea outline="0" collapsedLevelsAreSubtotals="1" fieldPosition="0"/>
    </format>
    <format>
      <pivotArea outline="0" fieldPosition="0">
        <references count="1">
          <reference field="4294967294" count="1">
            <x v="1"/>
          </reference>
        </references>
      </pivotArea>
    </format>
    <format>
      <pivotArea fieldPosition="0">
        <references count="2">
          <reference field="4294967294" count="1" selected="0">
            <x v="1"/>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4337D7-2B09-4192-BFFD-2291B276D70E}"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32">
  <location ref="B91:D96" firstHeaderRow="0" firstDataRow="1" firstDataCol="1"/>
  <pivotFields count="21">
    <pivotField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compact="0"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compact="0" showAll="0">
      <items count="6">
        <item h="1" x="1"/>
        <item h="1" x="0"/>
        <item x="4"/>
        <item h="1" x="3"/>
        <item h="1"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dataField="1"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2"/>
  </rowFields>
  <rowItems count="5">
    <i>
      <x/>
    </i>
    <i>
      <x v="1"/>
    </i>
    <i>
      <x v="3"/>
    </i>
    <i>
      <x v="2"/>
    </i>
    <i>
      <x v="4"/>
    </i>
  </rowItems>
  <colFields count="1">
    <field x="-2"/>
  </colFields>
  <colItems count="2">
    <i>
      <x/>
    </i>
    <i i="1">
      <x v="1"/>
    </i>
  </colItems>
  <dataFields count="2">
    <dataField name="Profit" fld="13" baseField="0" baseItem="0"/>
    <dataField name="Cummulative Profit" fld="13" baseField="2" baseItem="0" numFmtId="10">
      <extLst>
        <ext xmlns:x14="http://schemas.microsoft.com/office/spreadsheetml/2009/9/main" uri="{E15A36E0-9728-4e99-A89B-3F7291B0FE68}">
          <x14:dataField pivotShowAs="percentOfRunningTotal"/>
        </ext>
      </extLst>
    </dataField>
  </dataFields>
  <formats count="2">
    <format>
      <pivotArea outline="0" collapsedLevelsAreSubtotals="1" fieldPosition="0"/>
    </format>
    <format>
      <pivotArea outline="0" fieldPosition="0">
        <references count="1">
          <reference field="4294967294" count="1">
            <x v="1"/>
          </reference>
        </references>
      </pivotArea>
    </format>
  </formats>
  <chartFormats count="7">
    <chartFormat chart="8" format="8"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29" format="14" series="1">
      <pivotArea type="data" outline="0" fieldPosition="0">
        <references count="1">
          <reference field="4294967294" count="1" selected="0">
            <x v="0"/>
          </reference>
        </references>
      </pivotArea>
    </chartFormat>
    <chartFormat chart="29" format="15" series="1">
      <pivotArea type="data" outline="0" fieldPosition="0">
        <references count="1">
          <reference field="4294967294" count="1" selected="0">
            <x v="1"/>
          </reference>
        </references>
      </pivotArea>
    </chartFormat>
    <chartFormat chart="31" format="18" series="1">
      <pivotArea type="data" outline="0" fieldPosition="0">
        <references count="1">
          <reference field="4294967294" count="1" selected="0">
            <x v="0"/>
          </reference>
        </references>
      </pivotArea>
    </chartFormat>
    <chartFormat chart="31" format="19" series="1">
      <pivotArea type="data" outline="0" fieldPosition="0">
        <references count="1">
          <reference field="4294967294" count="1" selected="0">
            <x v="1"/>
          </reference>
        </references>
      </pivotArea>
    </chartFormat>
    <chartFormat chart="31" format="2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009FC8-F637-462D-ACFB-1CCAECD9C54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26:J38" firstHeaderRow="1" firstDataRow="3"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0">
    <i>
      <x/>
    </i>
    <i>
      <x v="1"/>
    </i>
    <i>
      <x v="2"/>
    </i>
    <i>
      <x v="3"/>
    </i>
    <i>
      <x v="4"/>
    </i>
    <i>
      <x v="5"/>
    </i>
    <i>
      <x v="6"/>
    </i>
    <i>
      <x v="7"/>
    </i>
    <i>
      <x v="8"/>
    </i>
    <i>
      <x v="9"/>
    </i>
  </rowItems>
  <colFields count="2">
    <field x="-2"/>
    <field x="9"/>
  </colFields>
  <colItems count="8">
    <i>
      <x/>
      <x/>
    </i>
    <i r="1">
      <x v="1"/>
    </i>
    <i r="1">
      <x v="2"/>
    </i>
    <i r="1">
      <x v="3"/>
    </i>
    <i i="1">
      <x v="1"/>
      <x/>
    </i>
    <i r="1" i="1">
      <x v="1"/>
    </i>
    <i r="1" i="1">
      <x v="2"/>
    </i>
    <i r="1" i="1">
      <x v="3"/>
    </i>
  </colItems>
  <dataFields count="2">
    <dataField name="Count of Order ID" fld="0" subtotal="count" baseField="0" baseItem="0"/>
    <dataField name="Count of Order ID2" fld="0" subtotal="count" showDataAs="percentOfTotal" baseField="0" baseItem="0" numFmtId="9"/>
  </dataFields>
  <formats count="2">
    <format>
      <pivotArea outline="0" collapsedLevelsAreSubtotals="1" fieldPosition="0">
        <references count="1">
          <reference field="4294967294" count="1" selected="0">
            <x v="1"/>
          </reference>
        </references>
      </pivotArea>
    </format>
    <format>
      <pivotArea outline="0" collapsedLevelsAreSubtotals="1" fieldPosition="0">
        <references count="2">
          <reference field="4294967294" count="1" selected="0">
            <x v="1"/>
          </reference>
          <reference field="9" count="0" selected="0" defaultSubtotal="1" sumSubtotal="1" countASubtotal="1" avgSubtotal="1" maxSubtotal="1" minSubtotal="1" productSubtotal="1" countSubtotal="1" stdDevSubtotal="1" stdDevPSubtotal="1" varSubtotal="1" varP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35DBB7-DDA0-4535-AAB7-7E879A179DC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L27:P38" firstHeaderRow="1" firstDataRow="2"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0">
    <i>
      <x/>
    </i>
    <i>
      <x v="1"/>
    </i>
    <i>
      <x v="2"/>
    </i>
    <i>
      <x v="3"/>
    </i>
    <i>
      <x v="4"/>
    </i>
    <i>
      <x v="5"/>
    </i>
    <i>
      <x v="6"/>
    </i>
    <i>
      <x v="7"/>
    </i>
    <i>
      <x v="8"/>
    </i>
    <i>
      <x v="9"/>
    </i>
  </rowItems>
  <colFields count="1">
    <field x="9"/>
  </colFields>
  <colItems count="4">
    <i>
      <x/>
    </i>
    <i>
      <x v="1"/>
    </i>
    <i>
      <x v="2"/>
    </i>
    <i>
      <x v="3"/>
    </i>
  </colItems>
  <dataFields count="1">
    <dataField name="Count of Order ID" fld="0" subtotal="count" baseField="0" baseItem="0"/>
  </dataFields>
  <chartFormats count="12">
    <chartFormat chart="8" format="24" series="1">
      <pivotArea type="data" outline="0" fieldPosition="0">
        <references count="2">
          <reference field="4294967294" count="1" selected="0">
            <x v="0"/>
          </reference>
          <reference field="9" count="1" selected="0">
            <x v="0"/>
          </reference>
        </references>
      </pivotArea>
    </chartFormat>
    <chartFormat chart="8" format="25" series="1">
      <pivotArea type="data" outline="0" fieldPosition="0">
        <references count="2">
          <reference field="4294967294" count="1" selected="0">
            <x v="0"/>
          </reference>
          <reference field="9" count="1" selected="0">
            <x v="1"/>
          </reference>
        </references>
      </pivotArea>
    </chartFormat>
    <chartFormat chart="8" format="26" series="1">
      <pivotArea type="data" outline="0" fieldPosition="0">
        <references count="2">
          <reference field="4294967294" count="1" selected="0">
            <x v="0"/>
          </reference>
          <reference field="9" count="1" selected="0">
            <x v="2"/>
          </reference>
        </references>
      </pivotArea>
    </chartFormat>
    <chartFormat chart="8" format="27" series="1">
      <pivotArea type="data" outline="0" fieldPosition="0">
        <references count="2">
          <reference field="4294967294" count="1" selected="0">
            <x v="0"/>
          </reference>
          <reference field="9" count="1" selected="0">
            <x v="3"/>
          </reference>
        </references>
      </pivotArea>
    </chartFormat>
    <chartFormat chart="14" format="32" series="1">
      <pivotArea type="data" outline="0" fieldPosition="0">
        <references count="2">
          <reference field="4294967294" count="1" selected="0">
            <x v="0"/>
          </reference>
          <reference field="9" count="1" selected="0">
            <x v="0"/>
          </reference>
        </references>
      </pivotArea>
    </chartFormat>
    <chartFormat chart="14" format="33" series="1">
      <pivotArea type="data" outline="0" fieldPosition="0">
        <references count="2">
          <reference field="4294967294" count="1" selected="0">
            <x v="0"/>
          </reference>
          <reference field="9" count="1" selected="0">
            <x v="1"/>
          </reference>
        </references>
      </pivotArea>
    </chartFormat>
    <chartFormat chart="14" format="34" series="1">
      <pivotArea type="data" outline="0" fieldPosition="0">
        <references count="2">
          <reference field="4294967294" count="1" selected="0">
            <x v="0"/>
          </reference>
          <reference field="9" count="1" selected="0">
            <x v="2"/>
          </reference>
        </references>
      </pivotArea>
    </chartFormat>
    <chartFormat chart="14" format="35" series="1">
      <pivotArea type="data" outline="0" fieldPosition="0">
        <references count="2">
          <reference field="4294967294" count="1" selected="0">
            <x v="0"/>
          </reference>
          <reference field="9" count="1" selected="0">
            <x v="3"/>
          </reference>
        </references>
      </pivotArea>
    </chartFormat>
    <chartFormat chart="17" format="40" series="1">
      <pivotArea type="data" outline="0" fieldPosition="0">
        <references count="2">
          <reference field="4294967294" count="1" selected="0">
            <x v="0"/>
          </reference>
          <reference field="9" count="1" selected="0">
            <x v="0"/>
          </reference>
        </references>
      </pivotArea>
    </chartFormat>
    <chartFormat chart="17" format="41" series="1">
      <pivotArea type="data" outline="0" fieldPosition="0">
        <references count="2">
          <reference field="4294967294" count="1" selected="0">
            <x v="0"/>
          </reference>
          <reference field="9" count="1" selected="0">
            <x v="1"/>
          </reference>
        </references>
      </pivotArea>
    </chartFormat>
    <chartFormat chart="17" format="42" series="1">
      <pivotArea type="data" outline="0" fieldPosition="0">
        <references count="2">
          <reference field="4294967294" count="1" selected="0">
            <x v="0"/>
          </reference>
          <reference field="9" count="1" selected="0">
            <x v="2"/>
          </reference>
        </references>
      </pivotArea>
    </chartFormat>
    <chartFormat chart="17" format="43"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70DC36-8128-4539-8568-FBAC541C5DD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59:D171" firstHeaderRow="0" firstDataRow="1" firstDataCol="1"/>
  <pivotFields count="21">
    <pivotField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dataField="1"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name="Months" axis="axisRow" compact="0" showAll="0" defaultSubtotal="0">
      <items count="14">
        <item x="0"/>
        <item x="1"/>
        <item x="2"/>
        <item x="3"/>
        <item x="4"/>
        <item x="5"/>
        <item x="6"/>
        <item x="7"/>
        <item x="8"/>
        <item x="9"/>
        <item x="10"/>
        <item x="11"/>
        <item x="12"/>
        <item x="13"/>
      </items>
    </pivotField>
  </pivotFields>
  <rowFields count="1">
    <field x="20"/>
  </rowFields>
  <rowItems count="12">
    <i>
      <x v="1"/>
    </i>
    <i>
      <x v="2"/>
    </i>
    <i>
      <x v="3"/>
    </i>
    <i>
      <x v="4"/>
    </i>
    <i>
      <x v="5"/>
    </i>
    <i>
      <x v="6"/>
    </i>
    <i>
      <x v="7"/>
    </i>
    <i>
      <x v="8"/>
    </i>
    <i>
      <x v="9"/>
    </i>
    <i>
      <x v="10"/>
    </i>
    <i>
      <x v="11"/>
    </i>
    <i>
      <x v="12"/>
    </i>
  </rowItems>
  <colFields count="1">
    <field x="-2"/>
  </colFields>
  <colItems count="2">
    <i>
      <x/>
    </i>
    <i i="1">
      <x v="1"/>
    </i>
  </colItems>
  <dataFields count="2">
    <dataField name="Sum of Total Revenue" fld="11" baseField="0" baseItem="0"/>
    <dataField name="Revenue MOM(%)" fld="11" showDataAs="percentDiff" baseField="20" baseItem="1" numFmtId="10"/>
  </dataFields>
  <formats count="2">
    <format>
      <pivotArea outline="0" fieldPosition="0">
        <references count="1">
          <reference field="4294967294" count="1" selected="0">
            <x v="0"/>
          </reference>
        </references>
      </pivotArea>
    </format>
    <format>
      <pivotArea fieldPosition="0">
        <references count="2">
          <reference field="4294967294" count="1" selected="0">
            <x v="1"/>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8EAD21-3D2D-42CC-AB6D-5A2D619D74E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J68:N74" firstHeaderRow="1" firstDataRow="2"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items count="6">
        <item x="0"/>
        <item x="4"/>
        <item x="1"/>
        <item x="3"/>
        <item x="2"/>
        <item t="default"/>
      </items>
    </pivotField>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1">
    <field x="9"/>
  </colFields>
  <colItems count="4">
    <i>
      <x/>
    </i>
    <i>
      <x v="1"/>
    </i>
    <i>
      <x v="2"/>
    </i>
    <i>
      <x v="3"/>
    </i>
  </colItems>
  <dataFields count="1">
    <dataField name="Count of Order ID" fld="0" subtotal="count" baseField="0" baseItem="0"/>
  </dataFields>
  <chartFormats count="8">
    <chartFormat chart="4" format="8" series="1">
      <pivotArea type="data" outline="0" fieldPosition="0">
        <references count="2">
          <reference field="4294967294" count="1" selected="0">
            <x v="0"/>
          </reference>
          <reference field="9" count="1" selected="0">
            <x v="0"/>
          </reference>
        </references>
      </pivotArea>
    </chartFormat>
    <chartFormat chart="4" format="9" series="1">
      <pivotArea type="data" outline="0" fieldPosition="0">
        <references count="2">
          <reference field="4294967294" count="1" selected="0">
            <x v="0"/>
          </reference>
          <reference field="9" count="1" selected="0">
            <x v="1"/>
          </reference>
        </references>
      </pivotArea>
    </chartFormat>
    <chartFormat chart="4" format="10" series="1">
      <pivotArea type="data" outline="0" fieldPosition="0">
        <references count="2">
          <reference field="4294967294" count="1" selected="0">
            <x v="0"/>
          </reference>
          <reference field="9" count="1" selected="0">
            <x v="2"/>
          </reference>
        </references>
      </pivotArea>
    </chartFormat>
    <chartFormat chart="4" format="11" series="1">
      <pivotArea type="data" outline="0" fieldPosition="0">
        <references count="2">
          <reference field="4294967294" count="1" selected="0">
            <x v="0"/>
          </reference>
          <reference field="9" count="1" selected="0">
            <x v="3"/>
          </reference>
        </references>
      </pivotArea>
    </chartFormat>
    <chartFormat chart="18" format="32" series="1">
      <pivotArea type="data" outline="0" fieldPosition="0">
        <references count="2">
          <reference field="4294967294" count="1" selected="0">
            <x v="0"/>
          </reference>
          <reference field="9" count="1" selected="0">
            <x v="0"/>
          </reference>
        </references>
      </pivotArea>
    </chartFormat>
    <chartFormat chart="18" format="33" series="1">
      <pivotArea type="data" outline="0" fieldPosition="0">
        <references count="2">
          <reference field="4294967294" count="1" selected="0">
            <x v="0"/>
          </reference>
          <reference field="9" count="1" selected="0">
            <x v="1"/>
          </reference>
        </references>
      </pivotArea>
    </chartFormat>
    <chartFormat chart="18" format="34" series="1">
      <pivotArea type="data" outline="0" fieldPosition="0">
        <references count="2">
          <reference field="4294967294" count="1" selected="0">
            <x v="0"/>
          </reference>
          <reference field="9" count="1" selected="0">
            <x v="2"/>
          </reference>
        </references>
      </pivotArea>
    </chartFormat>
    <chartFormat chart="18" format="35"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C30B387-29BF-4517-897D-84DC5977D3C3}"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B105:C117" firstHeaderRow="1" firstDataRow="1" firstDataCol="1"/>
  <pivotFields count="21">
    <pivotField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2">
    <i>
      <x v="1"/>
    </i>
    <i>
      <x v="2"/>
    </i>
    <i>
      <x v="3"/>
    </i>
    <i>
      <x v="4"/>
    </i>
    <i>
      <x v="5"/>
    </i>
    <i>
      <x v="6"/>
    </i>
    <i>
      <x v="7"/>
    </i>
    <i>
      <x v="8"/>
    </i>
    <i>
      <x v="9"/>
    </i>
    <i>
      <x v="10"/>
    </i>
    <i>
      <x v="11"/>
    </i>
    <i>
      <x v="12"/>
    </i>
  </rowItems>
  <colItems count="1">
    <i/>
  </colItems>
  <dataFields count="1">
    <dataField name="Sum of Total Revenue" fld="11" baseField="0" baseItem="0"/>
  </dataFields>
  <formats count="1">
    <format>
      <pivotArea outline="0" collapsedLevelsAreSubtotals="1" fieldPosition="0"/>
    </format>
  </formats>
  <chartFormats count="12">
    <chartFormat chart="4"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0" count="1" selected="0">
            <x v="12"/>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20" count="1" selected="0">
            <x v="12"/>
          </reference>
        </references>
      </pivotArea>
    </chartFormat>
    <chartFormat chart="20" format="14">
      <pivotArea type="data" outline="0" fieldPosition="0">
        <references count="2">
          <reference field="4294967294" count="1" selected="0">
            <x v="0"/>
          </reference>
          <reference field="20" count="1" selected="0">
            <x v="11"/>
          </reference>
        </references>
      </pivotArea>
    </chartFormat>
    <chartFormat chart="20" format="15">
      <pivotArea type="data" outline="0" fieldPosition="0">
        <references count="2">
          <reference field="4294967294" count="1" selected="0">
            <x v="0"/>
          </reference>
          <reference field="20" count="1" selected="0">
            <x v="1"/>
          </reference>
        </references>
      </pivotArea>
    </chartFormat>
    <chartFormat chart="20" format="16">
      <pivotArea type="data" outline="0" fieldPosition="0">
        <references count="2">
          <reference field="4294967294" count="1" selected="0">
            <x v="0"/>
          </reference>
          <reference field="20" count="1" selected="0">
            <x v="4"/>
          </reference>
        </references>
      </pivotArea>
    </chartFormat>
    <chartFormat chart="20" format="17">
      <pivotArea type="data" outline="0" fieldPosition="0">
        <references count="2">
          <reference field="4294967294" count="1" selected="0">
            <x v="0"/>
          </reference>
          <reference field="20" count="1" selected="0">
            <x v="5"/>
          </reference>
        </references>
      </pivotArea>
    </chartFormat>
    <chartFormat chart="20" format="18">
      <pivotArea type="data" outline="0" fieldPosition="0">
        <references count="2">
          <reference field="4294967294" count="1" selected="0">
            <x v="0"/>
          </reference>
          <reference field="20" count="1" selected="0">
            <x v="10"/>
          </reference>
        </references>
      </pivotArea>
    </chartFormat>
    <chartFormat chart="20" format="19">
      <pivotArea type="data" outline="0" fieldPosition="0">
        <references count="2">
          <reference field="4294967294" count="1" selected="0">
            <x v="0"/>
          </reference>
          <reference field="20" count="1" selected="0">
            <x v="9"/>
          </reference>
        </references>
      </pivotArea>
    </chartFormat>
    <chartFormat chart="20" format="20">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B7982C-5CAA-4280-A5E1-0F21C974206B}"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86:D296" firstHeaderRow="0" firstDataRow="1"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pivotField showAll="0"/>
    <pivotField showAll="0"/>
    <pivotField showAll="0"/>
    <pivotField showAll="0"/>
    <pivotField showAll="0"/>
    <pivotField showAll="0"/>
    <pivotField axis="axisRow"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10">
    <i>
      <x/>
    </i>
    <i>
      <x v="1"/>
    </i>
    <i>
      <x v="2"/>
    </i>
    <i>
      <x v="3"/>
    </i>
    <i>
      <x v="4"/>
    </i>
    <i>
      <x v="5"/>
    </i>
    <i>
      <x v="6"/>
    </i>
    <i>
      <x v="7"/>
    </i>
    <i>
      <x v="8"/>
    </i>
    <i>
      <x v="9"/>
    </i>
  </rowItems>
  <colFields count="1">
    <field x="-2"/>
  </colFields>
  <colItems count="2">
    <i>
      <x/>
    </i>
    <i i="1">
      <x v="1"/>
    </i>
  </colItems>
  <dataFields count="2">
    <dataField name="Count of Order ID" fld="0" subtotal="count" baseField="0" baseItem="0"/>
    <dataField name="Count of Order ID2" fld="0" subtotal="count" showDataAs="percentOfTotal" baseField="0" baseItem="0"/>
  </dataFields>
  <formats count="1">
    <format>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F66778-A4D3-4D07-B42B-BE8DFF8E7E09}"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B57:R64" firstHeaderRow="1" firstDataRow="3"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axis="axisRow" showAll="0">
      <items count="6">
        <item x="0"/>
        <item x="4"/>
        <item x="1"/>
        <item x="3"/>
        <item x="2"/>
        <item t="default"/>
      </items>
    </pivotField>
    <pivotField showAll="0">
      <items count="6">
        <item x="1"/>
        <item x="0"/>
        <item x="4"/>
        <item x="3"/>
        <item x="2"/>
        <item t="default"/>
      </items>
    </pivotField>
    <pivotField showAll="0"/>
    <pivotField showAll="0"/>
    <pivotField showAll="0"/>
    <pivotField showAll="0"/>
    <pivotField showAll="0"/>
    <pivotField axis="axisCol" showAll="0">
      <items count="5">
        <item x="1"/>
        <item x="3"/>
        <item x="2"/>
        <item x="0"/>
        <item t="default"/>
      </items>
    </pivotField>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x v="4"/>
    </i>
  </rowItems>
  <colFields count="2">
    <field x="-2"/>
    <field x="9"/>
  </colFields>
  <colItems count="16">
    <i>
      <x/>
      <x/>
    </i>
    <i r="1">
      <x v="1"/>
    </i>
    <i r="1">
      <x v="2"/>
    </i>
    <i r="1">
      <x v="3"/>
    </i>
    <i i="1">
      <x v="1"/>
      <x/>
    </i>
    <i r="1" i="1">
      <x v="1"/>
    </i>
    <i r="1" i="1">
      <x v="2"/>
    </i>
    <i r="1" i="1">
      <x v="3"/>
    </i>
    <i i="2">
      <x v="2"/>
      <x/>
    </i>
    <i r="1" i="2">
      <x v="1"/>
    </i>
    <i r="1" i="2">
      <x v="2"/>
    </i>
    <i r="1" i="2">
      <x v="3"/>
    </i>
    <i i="3">
      <x v="3"/>
      <x/>
    </i>
    <i r="1" i="3">
      <x v="1"/>
    </i>
    <i r="1" i="3">
      <x v="2"/>
    </i>
    <i r="1" i="3">
      <x v="3"/>
    </i>
  </colItems>
  <dataFields count="4">
    <dataField name="Count of Order ID" fld="0" subtotal="count" baseField="0" baseItem="0"/>
    <dataField name="Count of Order ID2" fld="0" subtotal="count" showDataAs="percentOfTotal" baseField="0" baseItem="0" numFmtId="9"/>
    <dataField name="Average of Total Revenue" fld="11" subtotal="average" showDataAs="percentOfTotal" baseField="2" baseItem="2" numFmtId="10"/>
    <dataField name="Sum of Total Profit" fld="13" showDataAs="percentOfTotal" baseField="0" baseItem="0" numFmtId="10"/>
  </dataFields>
  <formats count="6">
    <format>
      <pivotArea outline="0" collapsedLevelsAreSubtotals="1" fieldPosition="0">
        <references count="1">
          <reference field="4294967294" count="1" selected="0">
            <x v="1"/>
          </reference>
        </references>
      </pivotArea>
    </format>
    <format>
      <pivotArea outline="0" collapsedLevelsAreSubtotals="1" fieldPosition="0">
        <references count="2">
          <reference field="4294967294" count="1" selected="0">
            <x v="1"/>
          </reference>
          <reference field="9" count="0" selected="0" defaultSubtotal="1" sumSubtotal="1" countASubtotal="1" avgSubtotal="1" maxSubtotal="1" minSubtotal="1" productSubtotal="1" countSubtotal="1" stdDevSubtotal="1" stdDevPSubtotal="1" varSubtotal="1" varPSubtotal="1"/>
        </references>
      </pivotArea>
    </format>
    <format>
      <pivotArea outline="0" fieldPosition="0">
        <references count="1">
          <reference field="4294967294" count="1">
            <x v="2"/>
          </reference>
        </references>
      </pivotArea>
    </format>
    <format>
      <pivotArea outline="0" collapsedLevelsAreSubtotals="1" fieldPosition="0">
        <references count="2">
          <reference field="4294967294" count="1" selected="0">
            <x v="2"/>
          </reference>
          <reference field="9" count="0" selected="0" defaultSubtotal="1" sumSubtotal="1" countASubtotal="1" avgSubtotal="1" maxSubtotal="1" minSubtotal="1" productSubtotal="1" countSubtotal="1" stdDevSubtotal="1" stdDevPSubtotal="1" varSubtotal="1" varPSubtotal="1"/>
        </references>
      </pivotArea>
    </format>
    <format>
      <pivotArea outline="0" fieldPosition="0">
        <references count="1">
          <reference field="4294967294" count="1">
            <x v="3"/>
          </reference>
        </references>
      </pivotArea>
    </format>
    <format>
      <pivotArea outline="0" collapsedLevelsAreSubtotals="1" fieldPosition="0">
        <references count="2">
          <reference field="4294967294" count="1" selected="0">
            <x v="3"/>
          </reference>
          <reference field="9" count="0" selected="0" defaultSubtotal="1" sumSubtotal="1" countASubtotal="1" avgSubtotal="1" maxSubtotal="1" minSubtotal="1" productSubtotal="1" countSubtotal="1" stdDevSubtotal="1" stdDevPSubtotal="1" varSubtotal="1" varPSubtotal="1"/>
        </references>
      </pivotArea>
    </format>
  </formats>
  <chartFormats count="8">
    <chartFormat chart="24" format="20" series="1">
      <pivotArea type="data" outline="0" fieldPosition="0">
        <references count="2">
          <reference field="4294967294" count="1" selected="0">
            <x v="0"/>
          </reference>
          <reference field="9" count="1" selected="0">
            <x v="0"/>
          </reference>
        </references>
      </pivotArea>
    </chartFormat>
    <chartFormat chart="24" format="21" series="1">
      <pivotArea type="data" outline="0" fieldPosition="0">
        <references count="2">
          <reference field="4294967294" count="1" selected="0">
            <x v="0"/>
          </reference>
          <reference field="9" count="1" selected="0">
            <x v="1"/>
          </reference>
        </references>
      </pivotArea>
    </chartFormat>
    <chartFormat chart="24" format="22" series="1">
      <pivotArea type="data" outline="0" fieldPosition="0">
        <references count="2">
          <reference field="4294967294" count="1" selected="0">
            <x v="0"/>
          </reference>
          <reference field="9" count="1" selected="0">
            <x v="2"/>
          </reference>
        </references>
      </pivotArea>
    </chartFormat>
    <chartFormat chart="24" format="23" series="1">
      <pivotArea type="data" outline="0" fieldPosition="0">
        <references count="2">
          <reference field="4294967294" count="1" selected="0">
            <x v="0"/>
          </reference>
          <reference field="9" count="1" selected="0">
            <x v="3"/>
          </reference>
        </references>
      </pivotArea>
    </chartFormat>
    <chartFormat chart="24" format="24" series="1">
      <pivotArea type="data" outline="0" fieldPosition="0">
        <references count="2">
          <reference field="4294967294" count="1" selected="0">
            <x v="1"/>
          </reference>
          <reference field="9" count="1" selected="0">
            <x v="0"/>
          </reference>
        </references>
      </pivotArea>
    </chartFormat>
    <chartFormat chart="24" format="25" series="1">
      <pivotArea type="data" outline="0" fieldPosition="0">
        <references count="2">
          <reference field="4294967294" count="1" selected="0">
            <x v="1"/>
          </reference>
          <reference field="9" count="1" selected="0">
            <x v="1"/>
          </reference>
        </references>
      </pivotArea>
    </chartFormat>
    <chartFormat chart="24" format="26" series="1">
      <pivotArea type="data" outline="0" fieldPosition="0">
        <references count="2">
          <reference field="4294967294" count="1" selected="0">
            <x v="1"/>
          </reference>
          <reference field="9" count="1" selected="0">
            <x v="2"/>
          </reference>
        </references>
      </pivotArea>
    </chartFormat>
    <chartFormat chart="24" format="27" series="1">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EF64EC0-19C5-4629-AEBD-B3C32A0DD0A5}"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44:C149" firstHeaderRow="1" firstDataRow="1" firstDataCol="1" rowPageCount="1" colPageCount="1"/>
  <pivotFields count="21">
    <pivotField dataField="1"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axis="axisPage" compact="0" showAll="0">
      <items count="5">
        <item x="1"/>
        <item x="3"/>
        <item x="2"/>
        <item x="0"/>
        <item t="default"/>
      </items>
    </pivotField>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compact="0" showAll="0"/>
    <pivotField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Items count="1">
    <i/>
  </colItems>
  <pageFields count="1">
    <pageField fld="9" item="2" hier="-1"/>
  </pageField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51D68D6-C302-4E9A-9CE1-89EFDC152AE5}" name="PivotTable20"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B196:O203" firstHeaderRow="1" firstDataRow="2" firstDataCol="1"/>
  <pivotFields count="21">
    <pivotField compact="0" subtotalTop="0" showAll="0"/>
    <pivotField compact="0" subtotalTop="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ubtotalTop="0" showAll="0"/>
    <pivotField axis="axisRow" compact="0" subtotalTop="0" showAll="0" sortType="ascending">
      <items count="6">
        <item x="1"/>
        <item x="0"/>
        <item x="4"/>
        <item x="3"/>
        <item x="2"/>
        <item t="default"/>
      </items>
      <autoSortScope>
        <pivotArea dataOnly="0" outline="0" fieldPosition="0">
          <references count="1">
            <reference field="4294967294" count="1" selected="0">
              <x v="0"/>
            </reference>
          </references>
        </pivotArea>
      </autoSortScope>
    </pivotField>
    <pivotField compact="0" subtotalTop="0" showAll="0"/>
    <pivotField compact="0" subtotalTop="0" showAll="0"/>
    <pivotField compact="0" subtotalTop="0" showAll="0"/>
    <pivotField compact="0" subtotalTop="0" showAll="0"/>
    <pivotField compact="0" subtotalTop="0" showAll="0"/>
    <pivotField compact="0" subtotalTop="0" showAll="0"/>
    <pivotField compact="0" subtotalTop="0" showAll="0">
      <items count="11">
        <item x="9"/>
        <item x="3"/>
        <item x="8"/>
        <item x="6"/>
        <item x="0"/>
        <item x="2"/>
        <item x="1"/>
        <item x="4"/>
        <item x="7"/>
        <item x="5"/>
        <item t="default"/>
      </items>
    </pivotField>
    <pivotField dataField="1" compact="0" subtotalTop="0" showAll="0"/>
    <pivotField compact="0" subtotalTop="0" showAll="0"/>
    <pivotField compact="0" subtotalTop="0" showAll="0"/>
    <pivotField compact="0" subtotalTop="0" showAll="0"/>
    <pivotField compact="0" subtotalTop="0" showAll="0"/>
    <pivotField compact="0" subtotalTop="0" showAll="0"/>
    <pivotField compact="0" subtotalTop="0" dragToRow="0" dragToCol="0" dragToPage="0" showAll="0" defaultSubtotal="0"/>
    <pivotField compact="0" subtotalTop="0" dragToRow="0" dragToCol="0" dragToPage="0" showAll="0" defaultSubtotal="0"/>
    <pivotField compact="0" subtotalTop="0" showAll="0"/>
    <pivotField name="Months" axis="axisCol" compact="0" subtotalTop="0" showAll="0">
      <items count="15">
        <item x="0"/>
        <item x="1"/>
        <item x="2"/>
        <item x="3"/>
        <item x="4"/>
        <item x="5"/>
        <item x="6"/>
        <item x="7"/>
        <item x="8"/>
        <item x="9"/>
        <item x="10"/>
        <item x="11"/>
        <item x="12"/>
        <item x="13"/>
        <item t="default"/>
      </items>
    </pivotField>
  </pivotFields>
  <rowFields count="1">
    <field x="3"/>
  </rowFields>
  <rowItems count="6">
    <i>
      <x v="1"/>
    </i>
    <i>
      <x v="2"/>
    </i>
    <i>
      <x v="3"/>
    </i>
    <i>
      <x/>
    </i>
    <i>
      <x v="4"/>
    </i>
    <i t="grand">
      <x/>
    </i>
  </rowItems>
  <colFields count="1">
    <field x="20"/>
  </colFields>
  <colItems count="13">
    <i>
      <x v="1"/>
    </i>
    <i>
      <x v="2"/>
    </i>
    <i>
      <x v="3"/>
    </i>
    <i>
      <x v="4"/>
    </i>
    <i>
      <x v="5"/>
    </i>
    <i>
      <x v="6"/>
    </i>
    <i>
      <x v="7"/>
    </i>
    <i>
      <x v="8"/>
    </i>
    <i>
      <x v="9"/>
    </i>
    <i>
      <x v="10"/>
    </i>
    <i>
      <x v="11"/>
    </i>
    <i>
      <x v="12"/>
    </i>
    <i t="grand">
      <x/>
    </i>
  </colItems>
  <dataFields count="1">
    <dataField name="Revenue MOM(%)" fld="11" showDataAs="percentDiff" baseField="20" baseItem="1" numFmtId="10"/>
  </dataFields>
  <formats count="1">
    <format>
      <pivotArea fieldPosition="0">
        <references count="2">
          <reference field="4294967294" count="1" selected="0">
            <x v="0"/>
          </reference>
          <reference field="20" count="11">
            <x v="2"/>
            <x v="3"/>
            <x v="4"/>
            <x v="5"/>
            <x v="6"/>
            <x v="7"/>
            <x v="8"/>
            <x v="9"/>
            <x v="10"/>
            <x v="11"/>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1F4A4E4-035E-43BB-BD94-97F89CCCA39F}"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B123:D128" firstHeaderRow="0" firstDataRow="1" firstDataCol="1"/>
  <pivotFields count="21">
    <pivotField dataField="1" compact="0" showAll="0"/>
    <pivotField compact="0"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compact="0" showAll="0"/>
    <pivotField axis="axisRow" compact="0" showAll="0">
      <items count="6">
        <item x="1"/>
        <item x="0"/>
        <item x="4"/>
        <item x="3"/>
        <item x="2"/>
        <item t="default"/>
      </items>
    </pivotField>
    <pivotField compact="0" showAll="0"/>
    <pivotField compact="0" showAll="0"/>
    <pivotField compact="0" showAll="0"/>
    <pivotField compact="0" showAll="0"/>
    <pivotField compact="0" showAll="0"/>
    <pivotField compact="0" showAll="0"/>
    <pivotField compact="0" showAll="0">
      <items count="11">
        <item x="9"/>
        <item x="3"/>
        <item x="8"/>
        <item x="6"/>
        <item x="0"/>
        <item x="2"/>
        <item x="1"/>
        <item x="4"/>
        <item x="7"/>
        <item x="5"/>
        <item t="default"/>
      </items>
    </pivotField>
    <pivotField compact="0" showAll="0"/>
    <pivotField compact="0" showAll="0"/>
    <pivotField compact="0" showAll="0"/>
    <pivotField compact="0" showAll="0"/>
    <pivotField dataField="1" compact="0" showAll="0"/>
    <pivotField compact="0" showAll="0"/>
    <pivotField compact="0" dragToRow="0" dragToCol="0" dragToPage="0" showAll="0" defaultSubtotal="0"/>
    <pivotField compact="0" dragToRow="0" dragToCol="0" dragToPage="0" showAll="0" defaultSubtotal="0"/>
    <pivotField compact="0" showAll="0" defaultSubtotal="0"/>
    <pivotField compact="0" showAll="0" defaultSubtotal="0">
      <items count="14">
        <item x="0"/>
        <item x="1"/>
        <item x="2"/>
        <item x="3"/>
        <item x="4"/>
        <item x="5"/>
        <item x="6"/>
        <item x="7"/>
        <item x="8"/>
        <item x="9"/>
        <item x="10"/>
        <item x="11"/>
        <item x="12"/>
        <item x="13"/>
      </items>
    </pivotField>
  </pivotFields>
  <rowFields count="1">
    <field x="3"/>
  </rowFields>
  <rowItems count="5">
    <i>
      <x/>
    </i>
    <i>
      <x v="1"/>
    </i>
    <i>
      <x v="2"/>
    </i>
    <i>
      <x v="3"/>
    </i>
    <i>
      <x v="4"/>
    </i>
  </rowItems>
  <colFields count="1">
    <field x="-2"/>
  </colFields>
  <colItems count="2">
    <i>
      <x/>
    </i>
    <i i="1">
      <x v="1"/>
    </i>
  </colItems>
  <dataFields count="2">
    <dataField name="Count of Order ID" fld="0" subtotal="count" baseField="0" baseItem="0"/>
    <dataField name="Sum of Return Flag"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B623A33-7105-44D8-9F15-EC3AF0355D2B}"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G105:H115" firstHeaderRow="1" firstDataRow="1" firstDataCol="1"/>
  <pivotFields count="21">
    <pivotField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axis="axisRow" showAll="0" measureFilter="1" sortType="ascending">
      <items count="127">
        <item x="23"/>
        <item x="1"/>
        <item x="94"/>
        <item x="44"/>
        <item x="118"/>
        <item x="112"/>
        <item x="79"/>
        <item x="95"/>
        <item x="72"/>
        <item x="47"/>
        <item x="74"/>
        <item x="97"/>
        <item x="119"/>
        <item x="84"/>
        <item x="65"/>
        <item x="64"/>
        <item x="114"/>
        <item x="14"/>
        <item x="7"/>
        <item x="57"/>
        <item x="48"/>
        <item x="67"/>
        <item x="34"/>
        <item x="18"/>
        <item x="66"/>
        <item x="5"/>
        <item x="87"/>
        <item x="45"/>
        <item x="99"/>
        <item x="109"/>
        <item x="69"/>
        <item x="106"/>
        <item x="70"/>
        <item x="77"/>
        <item x="49"/>
        <item x="120"/>
        <item x="24"/>
        <item x="101"/>
        <item x="82"/>
        <item x="28"/>
        <item x="29"/>
        <item x="4"/>
        <item x="40"/>
        <item x="53"/>
        <item x="108"/>
        <item x="88"/>
        <item x="16"/>
        <item x="54"/>
        <item x="12"/>
        <item x="38"/>
        <item x="8"/>
        <item x="102"/>
        <item x="73"/>
        <item x="124"/>
        <item x="15"/>
        <item x="61"/>
        <item x="55"/>
        <item x="98"/>
        <item x="58"/>
        <item x="11"/>
        <item x="36"/>
        <item x="93"/>
        <item x="37"/>
        <item x="104"/>
        <item x="71"/>
        <item x="41"/>
        <item x="111"/>
        <item x="89"/>
        <item x="32"/>
        <item x="50"/>
        <item x="85"/>
        <item x="115"/>
        <item x="3"/>
        <item x="81"/>
        <item x="80"/>
        <item x="107"/>
        <item x="17"/>
        <item x="51"/>
        <item x="96"/>
        <item x="122"/>
        <item x="105"/>
        <item x="103"/>
        <item x="31"/>
        <item x="52"/>
        <item x="83"/>
        <item x="19"/>
        <item x="125"/>
        <item x="91"/>
        <item x="90"/>
        <item x="30"/>
        <item x="56"/>
        <item x="0"/>
        <item x="116"/>
        <item x="33"/>
        <item x="21"/>
        <item x="39"/>
        <item x="62"/>
        <item x="59"/>
        <item x="6"/>
        <item x="2"/>
        <item x="110"/>
        <item x="42"/>
        <item x="25"/>
        <item x="60"/>
        <item x="63"/>
        <item x="22"/>
        <item x="76"/>
        <item x="92"/>
        <item x="68"/>
        <item x="35"/>
        <item x="113"/>
        <item x="9"/>
        <item x="75"/>
        <item x="123"/>
        <item x="26"/>
        <item x="27"/>
        <item x="121"/>
        <item x="13"/>
        <item x="20"/>
        <item x="100"/>
        <item x="43"/>
        <item x="78"/>
        <item x="86"/>
        <item x="117"/>
        <item x="46"/>
        <item x="10"/>
        <item t="default"/>
      </items>
      <autoSortScope>
        <pivotArea dataOnly="0" outline="0" fieldPosition="0">
          <references count="1">
            <reference field="4294967294" count="1" selected="0">
              <x v="0"/>
            </reference>
          </references>
        </pivotArea>
      </autoSortScope>
    </pivotField>
    <pivotField showAll="0"/>
    <pivotField showAll="0">
      <items count="11">
        <item x="9"/>
        <item x="3"/>
        <item x="8"/>
        <item x="6"/>
        <item x="0"/>
        <item x="2"/>
        <item x="1"/>
        <item x="4"/>
        <item x="7"/>
        <item x="5"/>
        <item t="default"/>
      </items>
    </pivotField>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64"/>
    </i>
    <i>
      <x v="98"/>
    </i>
    <i>
      <x v="23"/>
    </i>
    <i>
      <x v="108"/>
    </i>
    <i>
      <x v="114"/>
    </i>
    <i>
      <x v="89"/>
    </i>
    <i>
      <x v="20"/>
    </i>
    <i>
      <x v="10"/>
    </i>
    <i>
      <x v="109"/>
    </i>
    <i>
      <x v="46"/>
    </i>
  </rowItems>
  <colItems count="1">
    <i/>
  </colItems>
  <dataFields count="1">
    <dataField name="Sum of Total Revenue" fld="11" baseField="0" baseItem="0"/>
  </dataFields>
  <formats count="1">
    <format>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8" count="1" selected="0">
            <x v="46"/>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364C873-BE57-4083-B8ED-7F952F4D1AF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81:G86" firstHeaderRow="0" firstDataRow="1"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axis="axisRow" showAll="0">
      <items count="6">
        <item x="1"/>
        <item x="0"/>
        <item x="4"/>
        <item x="3"/>
        <item x="2"/>
        <item t="default"/>
      </items>
    </pivotField>
    <pivotField showAll="0"/>
    <pivotField showAll="0"/>
    <pivotField showAll="0"/>
    <pivotField showAll="0"/>
    <pivotField showAll="0"/>
    <pivotField showAll="0"/>
    <pivotField showAll="0">
      <items count="11">
        <item x="9"/>
        <item x="3"/>
        <item x="8"/>
        <item x="6"/>
        <item x="0"/>
        <item x="2"/>
        <item x="1"/>
        <item x="4"/>
        <item x="7"/>
        <item x="5"/>
        <item t="default"/>
      </items>
    </pivotField>
    <pivotField dataField="1" showAll="0"/>
    <pivotField showAll="0"/>
    <pivotField dataField="1" showAll="0"/>
    <pivotField showAll="0"/>
    <pivotField showAll="0"/>
    <pivotField showAll="0"/>
    <pivotField dataField="1"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x v="4"/>
    </i>
  </rowItems>
  <colFields count="1">
    <field x="-2"/>
  </colFields>
  <colItems count="5">
    <i>
      <x/>
    </i>
    <i i="1">
      <x v="1"/>
    </i>
    <i i="2">
      <x v="2"/>
    </i>
    <i i="3">
      <x v="3"/>
    </i>
    <i i="4">
      <x v="4"/>
    </i>
  </colItems>
  <dataFields count="5">
    <dataField name="Count of Order ID" fld="0" subtotal="count" showDataAs="percentOfTotal" baseField="0" baseItem="0"/>
    <dataField name="Sum of Total Profit" fld="13" baseField="0" baseItem="0"/>
    <dataField name="Sum of Total Profit2" fld="13" showDataAs="percentOfTotal" baseField="0" baseItem="0"/>
    <dataField name="Sum of Profit Margin" fld="17" baseField="0" baseItem="0"/>
    <dataField name="Average of Total Revenue" fld="11" subtotal="average" baseField="3" baseItem="2"/>
  </dataFields>
  <formats count="6">
    <format>
      <pivotArea outline="0" collapsedLevelsAreSubtotals="1" fieldPosition="0"/>
    </format>
    <format>
      <pivotArea outline="0" fieldPosition="0">
        <references count="1">
          <reference field="4294967294" count="1">
            <x v="2"/>
          </reference>
        </references>
      </pivotArea>
    </format>
    <format>
      <pivotArea outline="0" collapsedLevelsAreSubtotals="1" fieldPosition="0">
        <references count="1">
          <reference field="4294967294" count="1" selected="0">
            <x v="2"/>
          </reference>
        </references>
      </pivotArea>
    </format>
    <format>
      <pivotArea outline="0" collapsedLevelsAreSubtotals="1" fieldPosition="0">
        <references count="1">
          <reference field="4294967294" count="1" selected="0">
            <x v="3"/>
          </reference>
        </references>
      </pivotArea>
    </format>
    <format>
      <pivotArea outline="0" fieldPosition="0">
        <references count="1">
          <reference field="4294967294" count="1">
            <x v="0"/>
          </reference>
        </references>
      </pivotArea>
    </format>
    <format>
      <pivotArea outline="0" collapsedLevelsAreSubtotals="1" fieldPosition="0">
        <references count="1">
          <reference field="4294967294" count="1" selected="0">
            <x v="0"/>
          </reference>
        </references>
      </pivotArea>
    </format>
  </formats>
  <conditionalFormats count="1">
    <conditionalFormat type="all" priority="10">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6509414-6EF6-4155-BEAF-FF53E00CD5D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B16:D20" firstHeaderRow="0" firstDataRow="1" firstDataCol="1"/>
  <pivotFields count="21">
    <pivotField dataField="1" showAll="0"/>
    <pivotField showAll="0">
      <items count="3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showAll="0"/>
    <pivotField showAll="0">
      <items count="6">
        <item x="1"/>
        <item x="0"/>
        <item x="4"/>
        <item x="3"/>
        <item x="2"/>
        <item t="default"/>
      </items>
    </pivotField>
    <pivotField showAll="0"/>
    <pivotField showAll="0"/>
    <pivotField showAll="0"/>
    <pivotField showAll="0"/>
    <pivotField showAll="0"/>
    <pivotField axis="axisRow" showAll="0" sortType="a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1">
        <item x="9"/>
        <item x="3"/>
        <item x="8"/>
        <item x="6"/>
        <item x="0"/>
        <item x="2"/>
        <item x="1"/>
        <item x="4"/>
        <item x="7"/>
        <item x="5"/>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v="2"/>
    </i>
    <i>
      <x v="1"/>
    </i>
    <i>
      <x v="3"/>
    </i>
    <i>
      <x/>
    </i>
  </rowItems>
  <colFields count="1">
    <field x="-2"/>
  </colFields>
  <colItems count="2">
    <i>
      <x/>
    </i>
    <i i="1">
      <x v="1"/>
    </i>
  </colItems>
  <dataFields count="2">
    <dataField name="Count of Order ID" fld="0" subtotal="count" baseField="0" baseItem="0"/>
    <dataField name="Count of Order ID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E5D8D2C-9E9C-4985-B12D-4F035D2A1727}" sourceName="Months (Order Date)">
  <pivotTables>
    <pivotTable tabId="2" name="PivotTable1"/>
    <pivotTable tabId="2" name="PivotTable10"/>
    <pivotTable tabId="2" name="PivotTable15"/>
    <pivotTable tabId="2" name="PivotTable17"/>
    <pivotTable tabId="2" name="PivotTable3"/>
    <pivotTable tabId="2" name="PivotTable4"/>
    <pivotTable tabId="2" name="PivotTable5"/>
    <pivotTable tabId="2" name="PivotTable6"/>
    <pivotTable tabId="2" name="PivotTable7"/>
    <pivotTable tabId="2" name="PivotTable8"/>
    <pivotTable tabId="2" name="PivotTable9"/>
    <pivotTable tabId="2" name="PivotTable2"/>
    <pivotTable tabId="2" name="PivotTable12"/>
    <pivotTable tabId="2" name="PivotTable14"/>
    <pivotTable tabId="2" name="PivotTable16"/>
    <pivotTable tabId="2" name="PivotTable18"/>
    <pivotTable tabId="2" name="PivotTable19"/>
    <pivotTable tabId="2" name="PivotTable22"/>
  </pivotTables>
  <data>
    <tabular pivotCacheId="1339451499">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415C568-2489-4167-B144-4AEBD7E6A4B9}" sourceName="State">
  <pivotTables>
    <pivotTable tabId="2" name="PivotTable1"/>
    <pivotTable tabId="2" name="PivotTable10"/>
    <pivotTable tabId="2" name="PivotTable11"/>
    <pivotTable tabId="2" name="PivotTable12"/>
    <pivotTable tabId="2" name="PivotTable14"/>
    <pivotTable tabId="2" name="PivotTable15"/>
    <pivotTable tabId="2" name="PivotTable16"/>
    <pivotTable tabId="2" name="PivotTable17"/>
    <pivotTable tabId="2" name="PivotTable2"/>
    <pivotTable tabId="2" name="PivotTable3"/>
    <pivotTable tabId="2" name="PivotTable6"/>
    <pivotTable tabId="2" name="PivotTable7"/>
    <pivotTable tabId="2" name="PivotTable8"/>
    <pivotTable tabId="2" name="PivotTable9"/>
    <pivotTable tabId="2" name="PivotTable5"/>
    <pivotTable tabId="2" name="PivotTable13"/>
    <pivotTable tabId="2" name="PivotTable18"/>
    <pivotTable tabId="2" name="PivotTable19"/>
    <pivotTable tabId="2" name="PivotTable20"/>
  </pivotTables>
  <data>
    <tabular pivotCacheId="1339451499">
      <items count="10">
        <i x="9" s="1"/>
        <i x="3" s="1"/>
        <i x="8" s="1"/>
        <i x="6" s="1"/>
        <i x="0" s="1"/>
        <i x="2" s="1"/>
        <i x="1" s="1"/>
        <i x="4"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596C32D-EACF-4E08-B3D3-9BAC81085848}" sourceName="Product Category">
  <pivotTables>
    <pivotTable tabId="2" name="PivotTable2"/>
    <pivotTable tabId="2" name="PivotTable1"/>
    <pivotTable tabId="2" name="PivotTable16"/>
    <pivotTable tabId="2" name="PivotTable17"/>
    <pivotTable tabId="2" name="PivotTable3"/>
    <pivotTable tabId="2" name="PivotTable4"/>
    <pivotTable tabId="2" name="PivotTable5"/>
    <pivotTable tabId="2" name="PivotTable11"/>
    <pivotTable tabId="2" name="PivotTable8"/>
    <pivotTable tabId="2" name="PivotTable7"/>
    <pivotTable tabId="2" name="PivotTable9"/>
    <pivotTable tabId="2" name="PivotTable6"/>
    <pivotTable tabId="2" name="PivotTable12"/>
    <pivotTable tabId="2" name="PivotTable14"/>
    <pivotTable tabId="2" name="PivotTable13"/>
    <pivotTable tabId="2" name="PivotTable18"/>
    <pivotTable tabId="2" name="PivotTable19"/>
    <pivotTable tabId="2" name="PivotTable20"/>
  </pivotTables>
  <data>
    <tabular pivotCacheId="1339451499">
      <items count="5">
        <i x="1" s="1"/>
        <i x="0"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FB03B19-4454-4ACE-BC23-52C8E235AD8B}" cache="Slicer_Months__Order_Date" caption="Month" columnCount="3" style="SlicerStyleLight3" rowHeight="249238"/>
  <slicer name="State" xr10:uid="{CA2AEBA4-13D1-4794-A5AE-071D4111A000}" cache="Slicer_State" caption="State" columnCount="2" style="SlicerStyleLight3" rowHeight="249238"/>
  <slicer name="Product Category" xr10:uid="{32C16AB8-F0DD-41DB-AE9E-FB419AA46074}" cache="Slicer_Product_Category" caption="Product Category" style="SlicerStyleLight3"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1" xr10:uid="{83070EE3-BB16-40D0-9D32-06D5C63D2C64}" cache="Slicer_Months__Order_Date" caption="Month" columnCount="2" style="SlicerStyleOther1" rowHeight="249238"/>
  <slicer name="State 1" xr10:uid="{62E0545A-F1A5-4CDB-AF29-FA86BA0632CE}" cache="Slicer_State" caption="State" startItem="4" columnCount="2" style="SlicerStyleOther1" rowHeight="249238"/>
  <slicer name="Product Category 1" xr10:uid="{C22384E1-0E11-4AC7-81D2-73F657803E40}" cache="Slicer_Product_Category" caption="Product Category" style="SlicerStyleOther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0538E-0EDE-46E6-9201-6294528DA649}" name="Greenleaf" displayName="Greenleaf" ref="A1:Q1001" totalsRowShown="0">
  <autoFilter ref="A1:Q1001" xr:uid="{B400538E-0EDE-46E6-9201-6294528DA649}"/>
  <tableColumns count="17">
    <tableColumn id="1" xr3:uid="{531E30B1-17A4-4673-B45E-EDAA0FAA6ECA}" name="Order ID"/>
    <tableColumn id="2" xr3:uid="{01A19E78-E818-4645-BE93-F43426B7EE2F}" name="Order Date"/>
    <tableColumn id="3" xr3:uid="{DC7C6027-B37A-4457-A6EE-76E065B394A4}" name="Product Name"/>
    <tableColumn id="4" xr3:uid="{3B8C0B3C-9BEB-4D1C-9B22-7D24D6340C27}" name="Product Category"/>
    <tableColumn id="5" xr3:uid="{02B510D6-A585-4059-A8DB-AF06EEB686D7}" name="Quantity Sold"/>
    <tableColumn id="6" xr3:uid="{B1ACD0A5-223E-489A-ADD6-CB0C8C1B2852}" name="Unit Price"/>
    <tableColumn id="7" xr3:uid="{4DB3E5B4-510C-40FB-ADD8-6724BF967210}" name="Unit Cost"/>
    <tableColumn id="8" xr3:uid="{50326E4F-19CF-47C9-8636-D03855573C72}" name="Customer ID"/>
    <tableColumn id="9" xr3:uid="{BFC5CD7C-6F30-4418-AE4D-1AF4B80F86FD}" name="Customer Name"/>
    <tableColumn id="10" xr3:uid="{6C2204C4-79BF-48ED-A2AC-0492F1414FC8}" name="Shipment Status"/>
    <tableColumn id="11" xr3:uid="{6490654E-08E4-4CA2-9DE0-594A3A497689}" name="State"/>
    <tableColumn id="12" xr3:uid="{4C5FC671-E1DA-4518-A6EC-B96F72783F0C}" name="Total Revenue">
      <calculatedColumnFormula>E2*F2</calculatedColumnFormula>
    </tableColumn>
    <tableColumn id="13" xr3:uid="{F5B012C2-CB14-436B-B4AD-13CF4BC1BB24}" name="Total Cost">
      <calculatedColumnFormula>E2*G2</calculatedColumnFormula>
    </tableColumn>
    <tableColumn id="14" xr3:uid="{B16BB36D-640E-4534-900C-C27A961D8A2B}" name="Total Profit">
      <calculatedColumnFormula>L2-M2</calculatedColumnFormula>
    </tableColumn>
    <tableColumn id="16" xr3:uid="{88F5988B-9901-43EE-BBBD-2098F9BE0392}" name="IsImputation">
      <calculatedColumnFormula array="1">_xlfn.LET(_xlpm.cat, Greenleaf[[#This Row],[Product Category]], _xlpm.prices, _xlfn._xlws.FILTER(Greenleaf[Unit Price], (Greenleaf[Product Category]=_xlpm.cat)*(Greenleaf[Unit Price]&lt;&gt;"")), IFERROR(MEDIAN(_xlpm.prices), ""))</calculatedColumnFormula>
    </tableColumn>
    <tableColumn id="21" xr3:uid="{7869779A-50AA-433C-9765-343B9615C932}" name="Return Flag">
      <calculatedColumnFormula>IF(Greenleaf[[#This Row],[Shipment Status]]="Returned",1,0)</calculatedColumnFormula>
    </tableColumn>
    <tableColumn id="23" xr3:uid="{2E825189-927D-447D-8F5A-DFCDC4C8BA0A}" name="Delivery Flag">
      <calculatedColumnFormula>IF(Greenleaf[[#This Row],[Shipment Status]]="Delivered",1,0)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AEECC-270D-411D-A3F1-06EB0C13FE3D}">
  <dimension ref="A1:K1001"/>
  <sheetViews>
    <sheetView workbookViewId="0">
      <selection activeCell="F12" sqref="F12"/>
    </sheetView>
  </sheetViews>
  <sheetFormatPr defaultRowHeight="14.25" x14ac:dyDescent="0.45"/>
  <cols>
    <col min="1" max="1" width="8" bestFit="1" customWidth="1"/>
    <col min="2" max="2" width="10.19921875" bestFit="1" customWidth="1"/>
    <col min="3" max="3" width="28.796875" bestFit="1" customWidth="1"/>
    <col min="4" max="4" width="15.46484375" bestFit="1" customWidth="1"/>
    <col min="5" max="5" width="12.19921875" bestFit="1" customWidth="1"/>
    <col min="6" max="6" width="13.46484375" bestFit="1" customWidth="1"/>
    <col min="7" max="7" width="13.06640625" bestFit="1" customWidth="1"/>
    <col min="8" max="8" width="11.265625" bestFit="1" customWidth="1"/>
    <col min="9" max="9" width="17.796875" bestFit="1" customWidth="1"/>
    <col min="10" max="10" width="14.59765625" bestFit="1" customWidth="1"/>
    <col min="11" max="11" width="13.06640625" bestFit="1" customWidth="1"/>
  </cols>
  <sheetData>
    <row r="1" spans="1:11" x14ac:dyDescent="0.45">
      <c r="A1" t="s">
        <v>0</v>
      </c>
      <c r="B1" t="s">
        <v>1</v>
      </c>
      <c r="C1" t="s">
        <v>2</v>
      </c>
      <c r="D1" t="s">
        <v>3</v>
      </c>
      <c r="E1" t="s">
        <v>4</v>
      </c>
      <c r="F1" t="s">
        <v>5</v>
      </c>
      <c r="G1" t="s">
        <v>6</v>
      </c>
      <c r="H1" t="s">
        <v>7</v>
      </c>
      <c r="I1" t="s">
        <v>8</v>
      </c>
      <c r="J1" t="s">
        <v>9</v>
      </c>
      <c r="K1" t="s">
        <v>10</v>
      </c>
    </row>
    <row r="2" spans="1:11" x14ac:dyDescent="0.45">
      <c r="A2" t="s">
        <v>15</v>
      </c>
      <c r="B2">
        <v>45292</v>
      </c>
      <c r="C2" t="s">
        <v>1428</v>
      </c>
      <c r="D2" t="s">
        <v>17</v>
      </c>
      <c r="E2">
        <v>10</v>
      </c>
      <c r="F2">
        <v>10</v>
      </c>
      <c r="G2">
        <v>3.42</v>
      </c>
      <c r="H2" t="s">
        <v>18</v>
      </c>
      <c r="I2" t="s">
        <v>1429</v>
      </c>
      <c r="J2" t="s">
        <v>20</v>
      </c>
      <c r="K2" t="s">
        <v>21</v>
      </c>
    </row>
    <row r="3" spans="1:11" x14ac:dyDescent="0.45">
      <c r="A3" t="s">
        <v>22</v>
      </c>
      <c r="B3">
        <v>45292</v>
      </c>
      <c r="C3" t="s">
        <v>1430</v>
      </c>
      <c r="D3" t="s">
        <v>24</v>
      </c>
      <c r="E3">
        <v>6</v>
      </c>
      <c r="F3">
        <v>25</v>
      </c>
      <c r="G3">
        <v>5.08</v>
      </c>
      <c r="H3" t="s">
        <v>25</v>
      </c>
      <c r="I3" t="s">
        <v>1431</v>
      </c>
      <c r="J3" t="s">
        <v>27</v>
      </c>
      <c r="K3" t="s">
        <v>28</v>
      </c>
    </row>
    <row r="4" spans="1:11" x14ac:dyDescent="0.45">
      <c r="A4" t="s">
        <v>29</v>
      </c>
      <c r="B4">
        <v>45293</v>
      </c>
      <c r="C4" t="s">
        <v>1432</v>
      </c>
      <c r="D4" t="s">
        <v>31</v>
      </c>
      <c r="E4">
        <v>7</v>
      </c>
      <c r="F4">
        <v>40</v>
      </c>
      <c r="G4">
        <v>12.35</v>
      </c>
      <c r="H4" t="s">
        <v>32</v>
      </c>
      <c r="I4" t="s">
        <v>1433</v>
      </c>
      <c r="J4" t="s">
        <v>20</v>
      </c>
      <c r="K4" t="s">
        <v>34</v>
      </c>
    </row>
    <row r="5" spans="1:11" x14ac:dyDescent="0.45">
      <c r="A5" t="s">
        <v>35</v>
      </c>
      <c r="B5">
        <v>45293</v>
      </c>
      <c r="C5" t="s">
        <v>1434</v>
      </c>
      <c r="D5" t="s">
        <v>17</v>
      </c>
      <c r="E5">
        <v>5</v>
      </c>
      <c r="F5">
        <v>10</v>
      </c>
      <c r="G5">
        <v>3.55</v>
      </c>
      <c r="H5" t="s">
        <v>36</v>
      </c>
      <c r="I5" t="s">
        <v>1435</v>
      </c>
      <c r="J5" t="s">
        <v>27</v>
      </c>
      <c r="K5" t="s">
        <v>38</v>
      </c>
    </row>
    <row r="6" spans="1:11" x14ac:dyDescent="0.45">
      <c r="A6" t="s">
        <v>39</v>
      </c>
      <c r="B6">
        <v>45293</v>
      </c>
      <c r="C6" t="s">
        <v>1436</v>
      </c>
      <c r="D6" t="s">
        <v>17</v>
      </c>
      <c r="E6">
        <v>2</v>
      </c>
      <c r="F6">
        <v>10</v>
      </c>
      <c r="G6">
        <v>3.27</v>
      </c>
      <c r="H6" t="s">
        <v>40</v>
      </c>
      <c r="I6" t="s">
        <v>1437</v>
      </c>
      <c r="J6" t="s">
        <v>42</v>
      </c>
      <c r="K6" t="s">
        <v>43</v>
      </c>
    </row>
    <row r="7" spans="1:11" x14ac:dyDescent="0.45">
      <c r="A7" t="s">
        <v>44</v>
      </c>
      <c r="B7">
        <v>45293</v>
      </c>
      <c r="C7" t="s">
        <v>1438</v>
      </c>
      <c r="D7" t="s">
        <v>31</v>
      </c>
      <c r="E7">
        <v>8</v>
      </c>
      <c r="F7">
        <v>40</v>
      </c>
      <c r="G7">
        <v>14.7</v>
      </c>
      <c r="H7" t="s">
        <v>45</v>
      </c>
      <c r="I7" t="s">
        <v>1439</v>
      </c>
      <c r="J7" t="s">
        <v>47</v>
      </c>
      <c r="K7" t="s">
        <v>34</v>
      </c>
    </row>
    <row r="8" spans="1:11" x14ac:dyDescent="0.45">
      <c r="A8" t="s">
        <v>48</v>
      </c>
      <c r="B8">
        <v>45293</v>
      </c>
      <c r="C8" t="s">
        <v>1440</v>
      </c>
      <c r="D8" t="s">
        <v>50</v>
      </c>
      <c r="E8">
        <v>10</v>
      </c>
      <c r="F8">
        <v>15</v>
      </c>
      <c r="G8">
        <v>5.5</v>
      </c>
      <c r="H8" t="s">
        <v>51</v>
      </c>
      <c r="I8" t="s">
        <v>1441</v>
      </c>
      <c r="J8" t="s">
        <v>27</v>
      </c>
      <c r="K8" t="s">
        <v>34</v>
      </c>
    </row>
    <row r="9" spans="1:11" x14ac:dyDescent="0.45">
      <c r="A9" t="s">
        <v>53</v>
      </c>
      <c r="B9">
        <v>45293</v>
      </c>
      <c r="C9" t="s">
        <v>1442</v>
      </c>
      <c r="D9" t="s">
        <v>31</v>
      </c>
      <c r="E9">
        <v>6</v>
      </c>
      <c r="F9">
        <v>40</v>
      </c>
      <c r="G9">
        <v>8.8000000000000007</v>
      </c>
      <c r="H9" t="s">
        <v>54</v>
      </c>
      <c r="I9" t="s">
        <v>1443</v>
      </c>
      <c r="J9" t="s">
        <v>27</v>
      </c>
      <c r="K9" t="s">
        <v>56</v>
      </c>
    </row>
    <row r="10" spans="1:11" x14ac:dyDescent="0.45">
      <c r="A10" t="s">
        <v>57</v>
      </c>
      <c r="B10">
        <v>45293</v>
      </c>
      <c r="C10" t="s">
        <v>1444</v>
      </c>
      <c r="D10" t="s">
        <v>24</v>
      </c>
      <c r="E10">
        <v>1</v>
      </c>
      <c r="F10">
        <v>25</v>
      </c>
      <c r="G10">
        <v>9.01</v>
      </c>
      <c r="H10" t="s">
        <v>58</v>
      </c>
      <c r="I10" t="s">
        <v>1445</v>
      </c>
      <c r="J10" t="s">
        <v>27</v>
      </c>
      <c r="K10" t="s">
        <v>59</v>
      </c>
    </row>
    <row r="11" spans="1:11" x14ac:dyDescent="0.45">
      <c r="A11" t="s">
        <v>60</v>
      </c>
      <c r="B11">
        <v>45294</v>
      </c>
      <c r="C11" t="s">
        <v>1446</v>
      </c>
      <c r="D11" t="s">
        <v>17</v>
      </c>
      <c r="E11">
        <v>2</v>
      </c>
      <c r="F11">
        <v>10</v>
      </c>
      <c r="G11">
        <v>2.89</v>
      </c>
      <c r="H11" t="s">
        <v>61</v>
      </c>
      <c r="I11" t="s">
        <v>1447</v>
      </c>
      <c r="J11" t="s">
        <v>27</v>
      </c>
      <c r="K11" t="s">
        <v>28</v>
      </c>
    </row>
    <row r="12" spans="1:11" x14ac:dyDescent="0.45">
      <c r="A12" t="s">
        <v>63</v>
      </c>
      <c r="B12">
        <v>45294</v>
      </c>
      <c r="C12" t="s">
        <v>1448</v>
      </c>
      <c r="D12" t="s">
        <v>31</v>
      </c>
      <c r="E12">
        <v>8</v>
      </c>
      <c r="F12">
        <v>40</v>
      </c>
      <c r="G12">
        <v>9.99</v>
      </c>
      <c r="H12" t="s">
        <v>64</v>
      </c>
      <c r="I12" t="s">
        <v>1449</v>
      </c>
      <c r="J12" t="s">
        <v>27</v>
      </c>
      <c r="K12" t="s">
        <v>43</v>
      </c>
    </row>
    <row r="13" spans="1:11" x14ac:dyDescent="0.45">
      <c r="A13" t="s">
        <v>65</v>
      </c>
      <c r="B13">
        <v>45294</v>
      </c>
      <c r="C13" t="s">
        <v>1450</v>
      </c>
      <c r="D13" t="s">
        <v>67</v>
      </c>
      <c r="E13">
        <v>3</v>
      </c>
      <c r="F13">
        <v>12</v>
      </c>
      <c r="G13">
        <v>2.88</v>
      </c>
      <c r="H13" t="s">
        <v>68</v>
      </c>
      <c r="I13" t="s">
        <v>1451</v>
      </c>
      <c r="J13" t="s">
        <v>27</v>
      </c>
      <c r="K13" t="s">
        <v>70</v>
      </c>
    </row>
    <row r="14" spans="1:11" x14ac:dyDescent="0.45">
      <c r="A14" t="s">
        <v>71</v>
      </c>
      <c r="B14">
        <v>45294</v>
      </c>
      <c r="C14" t="s">
        <v>1452</v>
      </c>
      <c r="D14" t="s">
        <v>17</v>
      </c>
      <c r="E14">
        <v>1</v>
      </c>
      <c r="F14">
        <v>10</v>
      </c>
      <c r="G14">
        <v>2.35</v>
      </c>
      <c r="H14" t="s">
        <v>72</v>
      </c>
      <c r="I14" t="s">
        <v>1453</v>
      </c>
      <c r="J14" t="s">
        <v>27</v>
      </c>
      <c r="K14" t="s">
        <v>74</v>
      </c>
    </row>
    <row r="15" spans="1:11" x14ac:dyDescent="0.45">
      <c r="A15" t="s">
        <v>75</v>
      </c>
      <c r="B15">
        <v>45295</v>
      </c>
      <c r="C15" t="s">
        <v>1454</v>
      </c>
      <c r="D15" t="s">
        <v>24</v>
      </c>
      <c r="E15">
        <v>1</v>
      </c>
      <c r="F15">
        <v>25</v>
      </c>
      <c r="G15">
        <v>8.85</v>
      </c>
      <c r="H15" t="s">
        <v>76</v>
      </c>
      <c r="I15" t="s">
        <v>1455</v>
      </c>
      <c r="J15" t="s">
        <v>27</v>
      </c>
      <c r="K15" t="s">
        <v>34</v>
      </c>
    </row>
    <row r="16" spans="1:11" x14ac:dyDescent="0.45">
      <c r="A16" t="s">
        <v>78</v>
      </c>
      <c r="B16">
        <v>45295</v>
      </c>
      <c r="C16" t="s">
        <v>1456</v>
      </c>
      <c r="D16" t="s">
        <v>31</v>
      </c>
      <c r="E16">
        <v>6</v>
      </c>
      <c r="F16">
        <v>40</v>
      </c>
      <c r="G16">
        <v>14.54</v>
      </c>
      <c r="H16" t="s">
        <v>79</v>
      </c>
      <c r="I16" t="s">
        <v>1457</v>
      </c>
      <c r="J16" t="s">
        <v>47</v>
      </c>
      <c r="K16" t="s">
        <v>28</v>
      </c>
    </row>
    <row r="17" spans="1:11" x14ac:dyDescent="0.45">
      <c r="A17" t="s">
        <v>81</v>
      </c>
      <c r="B17">
        <v>45295</v>
      </c>
      <c r="C17" t="s">
        <v>1458</v>
      </c>
      <c r="D17" t="s">
        <v>17</v>
      </c>
      <c r="E17">
        <v>10</v>
      </c>
      <c r="F17">
        <v>10</v>
      </c>
      <c r="G17">
        <v>2.36</v>
      </c>
      <c r="H17" t="s">
        <v>82</v>
      </c>
      <c r="I17" t="s">
        <v>1459</v>
      </c>
      <c r="J17" t="s">
        <v>20</v>
      </c>
      <c r="K17" t="s">
        <v>70</v>
      </c>
    </row>
    <row r="18" spans="1:11" x14ac:dyDescent="0.45">
      <c r="A18" t="s">
        <v>84</v>
      </c>
      <c r="B18">
        <v>45295</v>
      </c>
      <c r="C18" t="s">
        <v>1460</v>
      </c>
      <c r="D18" t="s">
        <v>17</v>
      </c>
      <c r="E18">
        <v>2</v>
      </c>
      <c r="F18">
        <v>10</v>
      </c>
      <c r="G18">
        <v>2.0699999999999998</v>
      </c>
      <c r="H18" t="s">
        <v>32</v>
      </c>
      <c r="I18" t="s">
        <v>1433</v>
      </c>
      <c r="J18" t="s">
        <v>27</v>
      </c>
      <c r="K18" t="s">
        <v>34</v>
      </c>
    </row>
    <row r="19" spans="1:11" x14ac:dyDescent="0.45">
      <c r="A19" t="s">
        <v>85</v>
      </c>
      <c r="B19">
        <v>45296</v>
      </c>
      <c r="C19" t="s">
        <v>1461</v>
      </c>
      <c r="D19" t="s">
        <v>24</v>
      </c>
      <c r="E19">
        <v>7</v>
      </c>
      <c r="F19">
        <v>25</v>
      </c>
      <c r="G19">
        <v>6.64</v>
      </c>
      <c r="H19" t="s">
        <v>86</v>
      </c>
      <c r="I19" t="s">
        <v>1462</v>
      </c>
      <c r="J19" t="s">
        <v>27</v>
      </c>
      <c r="K19" t="s">
        <v>28</v>
      </c>
    </row>
    <row r="20" spans="1:11" x14ac:dyDescent="0.45">
      <c r="A20" t="s">
        <v>88</v>
      </c>
      <c r="B20">
        <v>45296</v>
      </c>
      <c r="C20" t="s">
        <v>1463</v>
      </c>
      <c r="D20" t="s">
        <v>31</v>
      </c>
      <c r="E20">
        <v>5</v>
      </c>
      <c r="F20">
        <v>40</v>
      </c>
      <c r="G20">
        <v>15.48</v>
      </c>
      <c r="H20" t="s">
        <v>89</v>
      </c>
      <c r="I20" t="s">
        <v>1464</v>
      </c>
      <c r="J20" t="s">
        <v>27</v>
      </c>
      <c r="K20" t="s">
        <v>56</v>
      </c>
    </row>
    <row r="21" spans="1:11" x14ac:dyDescent="0.45">
      <c r="A21" t="s">
        <v>91</v>
      </c>
      <c r="B21">
        <v>45296</v>
      </c>
      <c r="C21" t="s">
        <v>1465</v>
      </c>
      <c r="D21" t="s">
        <v>17</v>
      </c>
      <c r="E21">
        <v>8</v>
      </c>
      <c r="F21">
        <v>10</v>
      </c>
      <c r="G21">
        <v>2.67</v>
      </c>
      <c r="H21" t="s">
        <v>92</v>
      </c>
      <c r="I21" t="s">
        <v>1466</v>
      </c>
      <c r="J21" t="s">
        <v>27</v>
      </c>
      <c r="K21" t="s">
        <v>70</v>
      </c>
    </row>
    <row r="22" spans="1:11" x14ac:dyDescent="0.45">
      <c r="A22" t="s">
        <v>94</v>
      </c>
      <c r="B22">
        <v>45296</v>
      </c>
      <c r="C22" t="s">
        <v>1467</v>
      </c>
      <c r="D22" t="s">
        <v>67</v>
      </c>
      <c r="E22">
        <v>3</v>
      </c>
      <c r="F22">
        <v>12</v>
      </c>
      <c r="G22">
        <v>3.23</v>
      </c>
      <c r="H22" t="s">
        <v>25</v>
      </c>
      <c r="I22" t="s">
        <v>1431</v>
      </c>
      <c r="J22" t="s">
        <v>27</v>
      </c>
      <c r="K22" t="s">
        <v>59</v>
      </c>
    </row>
    <row r="23" spans="1:11" x14ac:dyDescent="0.45">
      <c r="A23" t="s">
        <v>95</v>
      </c>
      <c r="B23">
        <v>45297</v>
      </c>
      <c r="C23" t="s">
        <v>1468</v>
      </c>
      <c r="D23" t="s">
        <v>31</v>
      </c>
      <c r="E23">
        <v>3</v>
      </c>
      <c r="F23">
        <v>40</v>
      </c>
      <c r="G23">
        <v>11.81</v>
      </c>
      <c r="H23" t="s">
        <v>96</v>
      </c>
      <c r="I23" t="s">
        <v>1469</v>
      </c>
      <c r="J23" t="s">
        <v>47</v>
      </c>
      <c r="K23" t="s">
        <v>43</v>
      </c>
    </row>
    <row r="24" spans="1:11" x14ac:dyDescent="0.45">
      <c r="A24" t="s">
        <v>98</v>
      </c>
      <c r="B24">
        <v>45297</v>
      </c>
      <c r="C24" t="s">
        <v>1470</v>
      </c>
      <c r="D24" t="s">
        <v>31</v>
      </c>
      <c r="E24">
        <v>6</v>
      </c>
      <c r="F24">
        <v>40</v>
      </c>
      <c r="G24">
        <v>12.11</v>
      </c>
      <c r="H24" t="s">
        <v>99</v>
      </c>
      <c r="I24" t="s">
        <v>1471</v>
      </c>
      <c r="J24" t="s">
        <v>27</v>
      </c>
      <c r="K24" t="s">
        <v>43</v>
      </c>
    </row>
    <row r="25" spans="1:11" x14ac:dyDescent="0.45">
      <c r="A25" t="s">
        <v>101</v>
      </c>
      <c r="B25">
        <v>45297</v>
      </c>
      <c r="C25" t="s">
        <v>1472</v>
      </c>
      <c r="D25" t="s">
        <v>24</v>
      </c>
      <c r="E25">
        <v>7</v>
      </c>
      <c r="F25">
        <v>25</v>
      </c>
      <c r="G25">
        <v>8.4499999999999993</v>
      </c>
      <c r="H25" t="s">
        <v>102</v>
      </c>
      <c r="I25" t="s">
        <v>1473</v>
      </c>
      <c r="J25" t="s">
        <v>27</v>
      </c>
      <c r="K25" t="s">
        <v>56</v>
      </c>
    </row>
    <row r="26" spans="1:11" x14ac:dyDescent="0.45">
      <c r="A26" t="s">
        <v>103</v>
      </c>
      <c r="B26">
        <v>45297</v>
      </c>
      <c r="C26" t="s">
        <v>1474</v>
      </c>
      <c r="D26" t="s">
        <v>17</v>
      </c>
      <c r="E26">
        <v>8</v>
      </c>
      <c r="G26">
        <v>3.8</v>
      </c>
      <c r="H26" t="s">
        <v>104</v>
      </c>
      <c r="I26" t="s">
        <v>1475</v>
      </c>
      <c r="J26" t="s">
        <v>42</v>
      </c>
      <c r="K26" t="s">
        <v>70</v>
      </c>
    </row>
    <row r="27" spans="1:11" x14ac:dyDescent="0.45">
      <c r="A27" t="s">
        <v>106</v>
      </c>
      <c r="B27">
        <v>45297</v>
      </c>
      <c r="C27" t="s">
        <v>1476</v>
      </c>
      <c r="D27" t="s">
        <v>50</v>
      </c>
      <c r="E27">
        <v>7</v>
      </c>
      <c r="F27">
        <v>15</v>
      </c>
      <c r="G27">
        <v>3.13</v>
      </c>
      <c r="H27" t="s">
        <v>51</v>
      </c>
      <c r="I27" t="s">
        <v>1441</v>
      </c>
      <c r="J27" t="s">
        <v>20</v>
      </c>
      <c r="K27" t="s">
        <v>28</v>
      </c>
    </row>
    <row r="28" spans="1:11" x14ac:dyDescent="0.45">
      <c r="A28" t="s">
        <v>107</v>
      </c>
      <c r="B28">
        <v>45297</v>
      </c>
      <c r="C28" t="s">
        <v>1477</v>
      </c>
      <c r="D28" t="s">
        <v>17</v>
      </c>
      <c r="E28">
        <v>6</v>
      </c>
      <c r="F28">
        <v>10</v>
      </c>
      <c r="G28">
        <v>3.18</v>
      </c>
      <c r="H28" t="s">
        <v>108</v>
      </c>
      <c r="I28" t="s">
        <v>1478</v>
      </c>
      <c r="J28" t="s">
        <v>27</v>
      </c>
      <c r="K28" t="s">
        <v>21</v>
      </c>
    </row>
    <row r="29" spans="1:11" x14ac:dyDescent="0.45">
      <c r="A29" t="s">
        <v>110</v>
      </c>
      <c r="B29">
        <v>45298</v>
      </c>
      <c r="C29" t="s">
        <v>1479</v>
      </c>
      <c r="D29" t="s">
        <v>67</v>
      </c>
      <c r="E29">
        <v>9</v>
      </c>
      <c r="F29">
        <v>12</v>
      </c>
      <c r="G29">
        <v>3.94</v>
      </c>
      <c r="H29" t="s">
        <v>111</v>
      </c>
      <c r="I29" t="s">
        <v>1480</v>
      </c>
      <c r="J29" t="s">
        <v>27</v>
      </c>
      <c r="K29" t="s">
        <v>34</v>
      </c>
    </row>
    <row r="30" spans="1:11" x14ac:dyDescent="0.45">
      <c r="A30" t="s">
        <v>113</v>
      </c>
      <c r="B30">
        <v>45298</v>
      </c>
      <c r="C30" t="s">
        <v>1481</v>
      </c>
      <c r="D30" t="s">
        <v>31</v>
      </c>
      <c r="E30">
        <v>3</v>
      </c>
      <c r="F30">
        <v>40</v>
      </c>
      <c r="G30">
        <v>10.79</v>
      </c>
      <c r="H30" t="s">
        <v>114</v>
      </c>
      <c r="I30" t="s">
        <v>1482</v>
      </c>
      <c r="J30" t="s">
        <v>27</v>
      </c>
      <c r="K30" t="s">
        <v>28</v>
      </c>
    </row>
    <row r="31" spans="1:11" x14ac:dyDescent="0.45">
      <c r="A31" t="s">
        <v>116</v>
      </c>
      <c r="B31">
        <v>45298</v>
      </c>
      <c r="C31" t="s">
        <v>1483</v>
      </c>
      <c r="D31" t="s">
        <v>24</v>
      </c>
      <c r="E31">
        <v>4</v>
      </c>
      <c r="F31">
        <v>25</v>
      </c>
      <c r="G31">
        <v>8.43</v>
      </c>
      <c r="H31" t="s">
        <v>58</v>
      </c>
      <c r="I31" t="s">
        <v>1445</v>
      </c>
      <c r="J31" t="s">
        <v>20</v>
      </c>
      <c r="K31" t="s">
        <v>70</v>
      </c>
    </row>
    <row r="32" spans="1:11" x14ac:dyDescent="0.45">
      <c r="A32" t="s">
        <v>117</v>
      </c>
      <c r="B32">
        <v>45299</v>
      </c>
      <c r="C32" t="s">
        <v>1484</v>
      </c>
      <c r="D32" t="s">
        <v>50</v>
      </c>
      <c r="E32">
        <v>5</v>
      </c>
      <c r="F32">
        <v>15</v>
      </c>
      <c r="G32">
        <v>3.55</v>
      </c>
      <c r="H32" t="s">
        <v>118</v>
      </c>
      <c r="I32" t="s">
        <v>1485</v>
      </c>
      <c r="J32" t="s">
        <v>27</v>
      </c>
      <c r="K32" t="s">
        <v>38</v>
      </c>
    </row>
    <row r="33" spans="1:11" x14ac:dyDescent="0.45">
      <c r="A33" t="s">
        <v>120</v>
      </c>
      <c r="B33">
        <v>45299</v>
      </c>
      <c r="C33" t="s">
        <v>1486</v>
      </c>
      <c r="D33" t="s">
        <v>50</v>
      </c>
      <c r="E33">
        <v>6</v>
      </c>
      <c r="F33">
        <v>15</v>
      </c>
      <c r="G33">
        <v>4.04</v>
      </c>
      <c r="H33" t="s">
        <v>121</v>
      </c>
      <c r="I33" t="s">
        <v>1487</v>
      </c>
      <c r="J33" t="s">
        <v>27</v>
      </c>
      <c r="K33" t="s">
        <v>21</v>
      </c>
    </row>
    <row r="34" spans="1:11" x14ac:dyDescent="0.45">
      <c r="A34" t="s">
        <v>123</v>
      </c>
      <c r="B34">
        <v>45300</v>
      </c>
      <c r="C34" t="s">
        <v>1488</v>
      </c>
      <c r="D34" t="s">
        <v>17</v>
      </c>
      <c r="E34">
        <v>8</v>
      </c>
      <c r="F34">
        <v>10</v>
      </c>
      <c r="G34">
        <v>2.6</v>
      </c>
      <c r="H34" t="s">
        <v>124</v>
      </c>
      <c r="I34" t="s">
        <v>1489</v>
      </c>
      <c r="J34" t="s">
        <v>47</v>
      </c>
      <c r="K34" t="s">
        <v>70</v>
      </c>
    </row>
    <row r="35" spans="1:11" x14ac:dyDescent="0.45">
      <c r="A35" t="s">
        <v>126</v>
      </c>
      <c r="B35">
        <v>45300</v>
      </c>
      <c r="C35" t="s">
        <v>1490</v>
      </c>
      <c r="D35" t="s">
        <v>67</v>
      </c>
      <c r="E35">
        <v>10</v>
      </c>
      <c r="F35">
        <v>12</v>
      </c>
      <c r="G35">
        <v>2.74</v>
      </c>
      <c r="H35" t="s">
        <v>127</v>
      </c>
      <c r="I35" t="s">
        <v>1491</v>
      </c>
      <c r="J35" t="s">
        <v>27</v>
      </c>
      <c r="K35" t="s">
        <v>43</v>
      </c>
    </row>
    <row r="36" spans="1:11" x14ac:dyDescent="0.45">
      <c r="A36" t="s">
        <v>129</v>
      </c>
      <c r="B36">
        <v>45301</v>
      </c>
      <c r="C36" t="s">
        <v>1492</v>
      </c>
      <c r="D36" t="s">
        <v>24</v>
      </c>
      <c r="E36">
        <v>10</v>
      </c>
      <c r="F36">
        <v>25</v>
      </c>
      <c r="G36">
        <v>9.86</v>
      </c>
      <c r="H36" t="s">
        <v>82</v>
      </c>
      <c r="I36" t="s">
        <v>1459</v>
      </c>
      <c r="J36" t="s">
        <v>27</v>
      </c>
      <c r="K36" t="s">
        <v>43</v>
      </c>
    </row>
    <row r="37" spans="1:11" x14ac:dyDescent="0.45">
      <c r="A37" t="s">
        <v>130</v>
      </c>
      <c r="B37">
        <v>45301</v>
      </c>
      <c r="C37" t="s">
        <v>1493</v>
      </c>
      <c r="D37" t="s">
        <v>67</v>
      </c>
      <c r="E37">
        <v>9</v>
      </c>
      <c r="F37">
        <v>12</v>
      </c>
      <c r="G37">
        <v>3.33</v>
      </c>
      <c r="H37" t="s">
        <v>51</v>
      </c>
      <c r="I37" t="s">
        <v>1441</v>
      </c>
      <c r="J37" t="s">
        <v>27</v>
      </c>
      <c r="K37" t="s">
        <v>59</v>
      </c>
    </row>
    <row r="38" spans="1:11" x14ac:dyDescent="0.45">
      <c r="A38" t="s">
        <v>131</v>
      </c>
      <c r="B38">
        <v>45301</v>
      </c>
      <c r="C38" t="s">
        <v>1494</v>
      </c>
      <c r="D38" t="s">
        <v>50</v>
      </c>
      <c r="E38">
        <v>6</v>
      </c>
      <c r="F38">
        <v>15</v>
      </c>
      <c r="G38">
        <v>3.13</v>
      </c>
      <c r="H38" t="s">
        <v>132</v>
      </c>
      <c r="I38" t="s">
        <v>1495</v>
      </c>
      <c r="J38" t="s">
        <v>27</v>
      </c>
      <c r="K38" t="s">
        <v>134</v>
      </c>
    </row>
    <row r="39" spans="1:11" x14ac:dyDescent="0.45">
      <c r="A39" t="s">
        <v>135</v>
      </c>
      <c r="B39">
        <v>45302</v>
      </c>
      <c r="C39" t="s">
        <v>1496</v>
      </c>
      <c r="D39" t="s">
        <v>67</v>
      </c>
      <c r="E39">
        <v>4</v>
      </c>
      <c r="F39">
        <v>12</v>
      </c>
      <c r="G39">
        <v>4.74</v>
      </c>
      <c r="H39" t="s">
        <v>136</v>
      </c>
      <c r="I39" t="s">
        <v>1497</v>
      </c>
      <c r="J39" t="s">
        <v>47</v>
      </c>
      <c r="K39" t="s">
        <v>59</v>
      </c>
    </row>
    <row r="40" spans="1:11" x14ac:dyDescent="0.45">
      <c r="A40" t="s">
        <v>138</v>
      </c>
      <c r="B40">
        <v>45303</v>
      </c>
      <c r="C40" t="s">
        <v>1498</v>
      </c>
      <c r="D40" t="s">
        <v>67</v>
      </c>
      <c r="E40">
        <v>9</v>
      </c>
      <c r="F40">
        <v>12</v>
      </c>
      <c r="G40">
        <v>4.33</v>
      </c>
      <c r="H40" t="s">
        <v>139</v>
      </c>
      <c r="I40" t="s">
        <v>1499</v>
      </c>
      <c r="J40" t="s">
        <v>27</v>
      </c>
      <c r="K40" t="s">
        <v>56</v>
      </c>
    </row>
    <row r="41" spans="1:11" x14ac:dyDescent="0.45">
      <c r="A41" t="s">
        <v>141</v>
      </c>
      <c r="B41">
        <v>45303</v>
      </c>
      <c r="C41" t="s">
        <v>1500</v>
      </c>
      <c r="D41" t="s">
        <v>24</v>
      </c>
      <c r="E41">
        <v>3</v>
      </c>
      <c r="F41">
        <v>25</v>
      </c>
      <c r="G41">
        <v>8.17</v>
      </c>
      <c r="H41" t="s">
        <v>142</v>
      </c>
      <c r="I41" t="s">
        <v>1501</v>
      </c>
      <c r="J41" t="s">
        <v>20</v>
      </c>
      <c r="K41" t="s">
        <v>38</v>
      </c>
    </row>
    <row r="42" spans="1:11" x14ac:dyDescent="0.45">
      <c r="A42" t="s">
        <v>144</v>
      </c>
      <c r="B42">
        <v>45303</v>
      </c>
      <c r="C42" t="s">
        <v>1502</v>
      </c>
      <c r="D42" t="s">
        <v>24</v>
      </c>
      <c r="E42">
        <v>6</v>
      </c>
      <c r="F42">
        <v>25</v>
      </c>
      <c r="G42">
        <v>6.37</v>
      </c>
      <c r="H42" t="s">
        <v>145</v>
      </c>
      <c r="I42" t="s">
        <v>1503</v>
      </c>
      <c r="J42" t="s">
        <v>27</v>
      </c>
      <c r="K42" t="s">
        <v>56</v>
      </c>
    </row>
    <row r="43" spans="1:11" x14ac:dyDescent="0.45">
      <c r="A43" t="s">
        <v>147</v>
      </c>
      <c r="B43">
        <v>45304</v>
      </c>
      <c r="C43" t="s">
        <v>1504</v>
      </c>
      <c r="D43" t="s">
        <v>24</v>
      </c>
      <c r="E43">
        <v>7</v>
      </c>
      <c r="F43">
        <v>25</v>
      </c>
      <c r="G43">
        <v>6.03</v>
      </c>
      <c r="H43" t="s">
        <v>148</v>
      </c>
      <c r="I43" t="s">
        <v>1505</v>
      </c>
      <c r="J43" t="s">
        <v>27</v>
      </c>
      <c r="K43" t="s">
        <v>70</v>
      </c>
    </row>
    <row r="44" spans="1:11" x14ac:dyDescent="0.45">
      <c r="A44" t="s">
        <v>149</v>
      </c>
      <c r="B44">
        <v>45304</v>
      </c>
      <c r="C44" t="s">
        <v>1506</v>
      </c>
      <c r="D44" t="s">
        <v>31</v>
      </c>
      <c r="E44">
        <v>7</v>
      </c>
      <c r="F44">
        <v>40</v>
      </c>
      <c r="G44">
        <v>11.98</v>
      </c>
      <c r="H44" t="s">
        <v>150</v>
      </c>
      <c r="I44" t="s">
        <v>1507</v>
      </c>
      <c r="J44" t="s">
        <v>20</v>
      </c>
      <c r="K44" t="s">
        <v>56</v>
      </c>
    </row>
    <row r="45" spans="1:11" x14ac:dyDescent="0.45">
      <c r="A45" t="s">
        <v>152</v>
      </c>
      <c r="B45">
        <v>45304</v>
      </c>
      <c r="C45" t="s">
        <v>1508</v>
      </c>
      <c r="D45" t="s">
        <v>17</v>
      </c>
      <c r="E45">
        <v>2</v>
      </c>
      <c r="F45">
        <v>10</v>
      </c>
      <c r="G45">
        <v>2.46</v>
      </c>
      <c r="H45" t="s">
        <v>153</v>
      </c>
      <c r="I45" t="s">
        <v>1509</v>
      </c>
      <c r="J45" t="s">
        <v>27</v>
      </c>
      <c r="K45" t="s">
        <v>74</v>
      </c>
    </row>
    <row r="46" spans="1:11" x14ac:dyDescent="0.45">
      <c r="A46" t="s">
        <v>155</v>
      </c>
      <c r="B46">
        <v>45304</v>
      </c>
      <c r="C46" t="s">
        <v>1510</v>
      </c>
      <c r="D46" t="s">
        <v>67</v>
      </c>
      <c r="E46">
        <v>5</v>
      </c>
      <c r="F46">
        <v>12</v>
      </c>
      <c r="G46">
        <v>4.2</v>
      </c>
      <c r="H46" t="s">
        <v>156</v>
      </c>
      <c r="I46" t="s">
        <v>1511</v>
      </c>
      <c r="J46" t="s">
        <v>42</v>
      </c>
      <c r="K46" t="s">
        <v>74</v>
      </c>
    </row>
    <row r="47" spans="1:11" x14ac:dyDescent="0.45">
      <c r="A47" t="s">
        <v>157</v>
      </c>
      <c r="B47">
        <v>45305</v>
      </c>
      <c r="C47" t="s">
        <v>1512</v>
      </c>
      <c r="D47" t="s">
        <v>24</v>
      </c>
      <c r="E47">
        <v>5</v>
      </c>
      <c r="F47">
        <v>25</v>
      </c>
      <c r="G47">
        <v>6.32</v>
      </c>
      <c r="H47" t="s">
        <v>158</v>
      </c>
      <c r="I47" t="s">
        <v>1513</v>
      </c>
      <c r="J47" t="s">
        <v>27</v>
      </c>
      <c r="K47" t="s">
        <v>56</v>
      </c>
    </row>
    <row r="48" spans="1:11" x14ac:dyDescent="0.45">
      <c r="A48" t="s">
        <v>159</v>
      </c>
      <c r="B48">
        <v>45305</v>
      </c>
      <c r="C48" t="s">
        <v>1514</v>
      </c>
      <c r="D48" t="s">
        <v>17</v>
      </c>
      <c r="E48">
        <v>7</v>
      </c>
      <c r="F48">
        <v>10</v>
      </c>
      <c r="G48">
        <v>2.88</v>
      </c>
      <c r="H48" t="s">
        <v>160</v>
      </c>
      <c r="I48" t="s">
        <v>1515</v>
      </c>
      <c r="J48" t="s">
        <v>20</v>
      </c>
      <c r="K48" t="s">
        <v>28</v>
      </c>
    </row>
    <row r="49" spans="1:11" x14ac:dyDescent="0.45">
      <c r="A49" t="s">
        <v>162</v>
      </c>
      <c r="B49">
        <v>45305</v>
      </c>
      <c r="C49" t="s">
        <v>1516</v>
      </c>
      <c r="D49" t="s">
        <v>17</v>
      </c>
      <c r="E49">
        <v>3</v>
      </c>
      <c r="F49">
        <v>10</v>
      </c>
      <c r="G49">
        <v>3.54</v>
      </c>
      <c r="H49" t="s">
        <v>36</v>
      </c>
      <c r="I49" t="s">
        <v>1435</v>
      </c>
      <c r="J49" t="s">
        <v>20</v>
      </c>
      <c r="K49" t="s">
        <v>38</v>
      </c>
    </row>
    <row r="50" spans="1:11" x14ac:dyDescent="0.45">
      <c r="A50" t="s">
        <v>163</v>
      </c>
      <c r="B50">
        <v>45305</v>
      </c>
      <c r="C50" t="s">
        <v>1517</v>
      </c>
      <c r="D50" t="s">
        <v>31</v>
      </c>
      <c r="E50">
        <v>1</v>
      </c>
      <c r="F50">
        <v>40</v>
      </c>
      <c r="G50">
        <v>15.48</v>
      </c>
      <c r="H50" t="s">
        <v>164</v>
      </c>
      <c r="I50" t="s">
        <v>1518</v>
      </c>
      <c r="J50" t="s">
        <v>47</v>
      </c>
      <c r="K50" t="s">
        <v>28</v>
      </c>
    </row>
    <row r="51" spans="1:11" x14ac:dyDescent="0.45">
      <c r="A51" t="s">
        <v>165</v>
      </c>
      <c r="B51">
        <v>45305</v>
      </c>
      <c r="C51" t="s">
        <v>1519</v>
      </c>
      <c r="D51" t="s">
        <v>31</v>
      </c>
      <c r="E51">
        <v>5</v>
      </c>
      <c r="F51">
        <v>40</v>
      </c>
      <c r="G51">
        <v>13.2</v>
      </c>
      <c r="H51" t="s">
        <v>166</v>
      </c>
      <c r="I51" t="s">
        <v>1520</v>
      </c>
      <c r="J51" t="s">
        <v>27</v>
      </c>
      <c r="K51" t="s">
        <v>59</v>
      </c>
    </row>
    <row r="52" spans="1:11" x14ac:dyDescent="0.45">
      <c r="A52" t="s">
        <v>168</v>
      </c>
      <c r="B52">
        <v>45305</v>
      </c>
      <c r="C52" t="s">
        <v>1521</v>
      </c>
      <c r="D52" t="s">
        <v>24</v>
      </c>
      <c r="E52">
        <v>4</v>
      </c>
      <c r="F52">
        <v>25</v>
      </c>
      <c r="G52">
        <v>7.94</v>
      </c>
      <c r="H52" t="s">
        <v>169</v>
      </c>
      <c r="I52" t="s">
        <v>1522</v>
      </c>
      <c r="J52" t="s">
        <v>27</v>
      </c>
      <c r="K52" t="s">
        <v>21</v>
      </c>
    </row>
    <row r="53" spans="1:11" x14ac:dyDescent="0.45">
      <c r="A53" t="s">
        <v>170</v>
      </c>
      <c r="B53">
        <v>45305</v>
      </c>
      <c r="C53" t="s">
        <v>1523</v>
      </c>
      <c r="D53" t="s">
        <v>17</v>
      </c>
      <c r="E53">
        <v>6</v>
      </c>
      <c r="F53">
        <v>10</v>
      </c>
      <c r="G53">
        <v>2.73</v>
      </c>
      <c r="H53" t="s">
        <v>171</v>
      </c>
      <c r="I53" t="s">
        <v>1524</v>
      </c>
      <c r="J53" t="s">
        <v>27</v>
      </c>
      <c r="K53" t="s">
        <v>34</v>
      </c>
    </row>
    <row r="54" spans="1:11" x14ac:dyDescent="0.45">
      <c r="A54" t="s">
        <v>173</v>
      </c>
      <c r="B54">
        <v>45305</v>
      </c>
      <c r="C54" t="s">
        <v>1525</v>
      </c>
      <c r="D54" t="s">
        <v>31</v>
      </c>
      <c r="E54">
        <v>2</v>
      </c>
      <c r="F54">
        <v>40</v>
      </c>
      <c r="G54">
        <v>13.63</v>
      </c>
      <c r="H54" t="s">
        <v>174</v>
      </c>
      <c r="I54" t="s">
        <v>1526</v>
      </c>
      <c r="J54" t="s">
        <v>20</v>
      </c>
      <c r="K54" t="s">
        <v>21</v>
      </c>
    </row>
    <row r="55" spans="1:11" x14ac:dyDescent="0.45">
      <c r="A55" t="s">
        <v>175</v>
      </c>
      <c r="B55">
        <v>45305</v>
      </c>
      <c r="C55" t="s">
        <v>1527</v>
      </c>
      <c r="D55" t="s">
        <v>31</v>
      </c>
      <c r="E55">
        <v>1</v>
      </c>
      <c r="F55">
        <v>40</v>
      </c>
      <c r="G55">
        <v>11.98</v>
      </c>
      <c r="H55" t="s">
        <v>176</v>
      </c>
      <c r="I55" t="s">
        <v>1528</v>
      </c>
      <c r="J55" t="s">
        <v>27</v>
      </c>
      <c r="K55" t="s">
        <v>43</v>
      </c>
    </row>
    <row r="56" spans="1:11" x14ac:dyDescent="0.45">
      <c r="A56" t="s">
        <v>178</v>
      </c>
      <c r="B56">
        <v>45306</v>
      </c>
      <c r="C56" t="s">
        <v>1529</v>
      </c>
      <c r="D56" t="s">
        <v>24</v>
      </c>
      <c r="E56">
        <v>5</v>
      </c>
      <c r="G56">
        <v>6.78</v>
      </c>
      <c r="H56" t="s">
        <v>179</v>
      </c>
      <c r="I56" t="s">
        <v>1530</v>
      </c>
      <c r="J56" t="s">
        <v>42</v>
      </c>
      <c r="K56" t="s">
        <v>21</v>
      </c>
    </row>
    <row r="57" spans="1:11" x14ac:dyDescent="0.45">
      <c r="A57" t="s">
        <v>181</v>
      </c>
      <c r="B57">
        <v>45307</v>
      </c>
      <c r="C57" t="s">
        <v>1531</v>
      </c>
      <c r="D57" t="s">
        <v>50</v>
      </c>
      <c r="E57">
        <v>5</v>
      </c>
      <c r="G57">
        <v>5.35</v>
      </c>
      <c r="H57" t="s">
        <v>182</v>
      </c>
      <c r="I57" t="s">
        <v>1532</v>
      </c>
      <c r="J57" t="s">
        <v>27</v>
      </c>
      <c r="K57" t="s">
        <v>59</v>
      </c>
    </row>
    <row r="58" spans="1:11" x14ac:dyDescent="0.45">
      <c r="A58" t="s">
        <v>184</v>
      </c>
      <c r="B58">
        <v>45308</v>
      </c>
      <c r="C58" t="s">
        <v>1533</v>
      </c>
      <c r="D58" t="s">
        <v>17</v>
      </c>
      <c r="E58">
        <v>1</v>
      </c>
      <c r="F58">
        <v>10</v>
      </c>
      <c r="G58">
        <v>3.11</v>
      </c>
      <c r="H58" t="s">
        <v>185</v>
      </c>
      <c r="I58" t="s">
        <v>1534</v>
      </c>
      <c r="J58" t="s">
        <v>20</v>
      </c>
      <c r="K58" t="s">
        <v>59</v>
      </c>
    </row>
    <row r="59" spans="1:11" x14ac:dyDescent="0.45">
      <c r="A59" t="s">
        <v>187</v>
      </c>
      <c r="B59">
        <v>45308</v>
      </c>
      <c r="C59" t="s">
        <v>1535</v>
      </c>
      <c r="D59" t="s">
        <v>31</v>
      </c>
      <c r="E59">
        <v>7</v>
      </c>
      <c r="F59">
        <v>40</v>
      </c>
      <c r="G59">
        <v>9.3800000000000008</v>
      </c>
      <c r="H59" t="s">
        <v>188</v>
      </c>
      <c r="I59" t="s">
        <v>1536</v>
      </c>
      <c r="J59" t="s">
        <v>20</v>
      </c>
      <c r="K59" t="s">
        <v>70</v>
      </c>
    </row>
    <row r="60" spans="1:11" x14ac:dyDescent="0.45">
      <c r="A60" t="s">
        <v>190</v>
      </c>
      <c r="B60">
        <v>45309</v>
      </c>
      <c r="C60" t="s">
        <v>1537</v>
      </c>
      <c r="D60" t="s">
        <v>17</v>
      </c>
      <c r="E60">
        <v>1</v>
      </c>
      <c r="F60">
        <v>10</v>
      </c>
      <c r="G60">
        <v>3.75</v>
      </c>
      <c r="H60" t="s">
        <v>191</v>
      </c>
      <c r="I60" t="s">
        <v>1538</v>
      </c>
      <c r="J60" t="s">
        <v>42</v>
      </c>
      <c r="K60" t="s">
        <v>21</v>
      </c>
    </row>
    <row r="61" spans="1:11" x14ac:dyDescent="0.45">
      <c r="A61" t="s">
        <v>193</v>
      </c>
      <c r="B61">
        <v>45309</v>
      </c>
      <c r="C61" t="s">
        <v>1539</v>
      </c>
      <c r="D61" t="s">
        <v>24</v>
      </c>
      <c r="E61">
        <v>6</v>
      </c>
      <c r="F61">
        <v>25</v>
      </c>
      <c r="G61">
        <v>7.18</v>
      </c>
      <c r="H61" t="s">
        <v>194</v>
      </c>
      <c r="I61" t="s">
        <v>1540</v>
      </c>
      <c r="J61" t="s">
        <v>27</v>
      </c>
      <c r="K61" t="s">
        <v>59</v>
      </c>
    </row>
    <row r="62" spans="1:11" x14ac:dyDescent="0.45">
      <c r="A62" t="s">
        <v>196</v>
      </c>
      <c r="B62">
        <v>45309</v>
      </c>
      <c r="C62" t="s">
        <v>1541</v>
      </c>
      <c r="D62" t="s">
        <v>67</v>
      </c>
      <c r="E62">
        <v>3</v>
      </c>
      <c r="F62">
        <v>12</v>
      </c>
      <c r="G62">
        <v>4.53</v>
      </c>
      <c r="H62" t="s">
        <v>197</v>
      </c>
      <c r="I62" t="s">
        <v>1542</v>
      </c>
      <c r="J62" t="s">
        <v>27</v>
      </c>
      <c r="K62" t="s">
        <v>28</v>
      </c>
    </row>
    <row r="63" spans="1:11" x14ac:dyDescent="0.45">
      <c r="A63" t="s">
        <v>199</v>
      </c>
      <c r="B63">
        <v>45310</v>
      </c>
      <c r="C63" t="s">
        <v>1543</v>
      </c>
      <c r="D63" t="s">
        <v>17</v>
      </c>
      <c r="E63">
        <v>2</v>
      </c>
      <c r="F63">
        <v>10</v>
      </c>
      <c r="G63">
        <v>3.53</v>
      </c>
      <c r="H63" t="s">
        <v>200</v>
      </c>
      <c r="I63" t="s">
        <v>1544</v>
      </c>
      <c r="J63" t="s">
        <v>27</v>
      </c>
      <c r="K63" t="s">
        <v>134</v>
      </c>
    </row>
    <row r="64" spans="1:11" x14ac:dyDescent="0.45">
      <c r="A64" t="s">
        <v>202</v>
      </c>
      <c r="B64">
        <v>45310</v>
      </c>
      <c r="C64" t="s">
        <v>1545</v>
      </c>
      <c r="D64" t="s">
        <v>17</v>
      </c>
      <c r="E64">
        <v>6</v>
      </c>
      <c r="F64">
        <v>10</v>
      </c>
      <c r="G64">
        <v>2.13</v>
      </c>
      <c r="H64" t="s">
        <v>203</v>
      </c>
      <c r="I64" t="s">
        <v>1546</v>
      </c>
      <c r="J64" t="s">
        <v>27</v>
      </c>
      <c r="K64" t="s">
        <v>43</v>
      </c>
    </row>
    <row r="65" spans="1:11" x14ac:dyDescent="0.45">
      <c r="A65" t="s">
        <v>205</v>
      </c>
      <c r="B65">
        <v>45310</v>
      </c>
      <c r="C65" t="s">
        <v>1547</v>
      </c>
      <c r="D65" t="s">
        <v>50</v>
      </c>
      <c r="E65">
        <v>3</v>
      </c>
      <c r="F65">
        <v>15</v>
      </c>
      <c r="G65">
        <v>3.45</v>
      </c>
      <c r="H65" t="s">
        <v>206</v>
      </c>
      <c r="I65" t="s">
        <v>1548</v>
      </c>
      <c r="J65" t="s">
        <v>27</v>
      </c>
      <c r="K65" t="s">
        <v>134</v>
      </c>
    </row>
    <row r="66" spans="1:11" x14ac:dyDescent="0.45">
      <c r="A66" t="s">
        <v>208</v>
      </c>
      <c r="B66">
        <v>45311</v>
      </c>
      <c r="C66" t="s">
        <v>1549</v>
      </c>
      <c r="D66" t="s">
        <v>50</v>
      </c>
      <c r="E66">
        <v>10</v>
      </c>
      <c r="F66">
        <v>15</v>
      </c>
      <c r="G66">
        <v>4.71</v>
      </c>
      <c r="H66" t="s">
        <v>209</v>
      </c>
      <c r="I66" t="s">
        <v>1550</v>
      </c>
      <c r="J66" t="s">
        <v>27</v>
      </c>
      <c r="K66" t="s">
        <v>21</v>
      </c>
    </row>
    <row r="67" spans="1:11" x14ac:dyDescent="0.45">
      <c r="A67" t="s">
        <v>211</v>
      </c>
      <c r="B67">
        <v>45311</v>
      </c>
      <c r="C67" t="s">
        <v>1551</v>
      </c>
      <c r="D67" t="s">
        <v>24</v>
      </c>
      <c r="E67">
        <v>3</v>
      </c>
      <c r="F67">
        <v>25</v>
      </c>
      <c r="G67">
        <v>5.42</v>
      </c>
      <c r="H67" t="s">
        <v>99</v>
      </c>
      <c r="I67" t="s">
        <v>1471</v>
      </c>
      <c r="J67" t="s">
        <v>27</v>
      </c>
      <c r="K67" t="s">
        <v>74</v>
      </c>
    </row>
    <row r="68" spans="1:11" x14ac:dyDescent="0.45">
      <c r="A68" t="s">
        <v>212</v>
      </c>
      <c r="B68">
        <v>45311</v>
      </c>
      <c r="C68" t="s">
        <v>1552</v>
      </c>
      <c r="D68" t="s">
        <v>50</v>
      </c>
      <c r="E68">
        <v>6</v>
      </c>
      <c r="F68">
        <v>15</v>
      </c>
      <c r="G68">
        <v>4.32</v>
      </c>
      <c r="H68" t="s">
        <v>213</v>
      </c>
      <c r="I68" t="s">
        <v>1553</v>
      </c>
      <c r="J68" t="s">
        <v>27</v>
      </c>
      <c r="K68" t="s">
        <v>21</v>
      </c>
    </row>
    <row r="69" spans="1:11" x14ac:dyDescent="0.45">
      <c r="A69" t="s">
        <v>215</v>
      </c>
      <c r="B69">
        <v>45312</v>
      </c>
      <c r="C69" t="s">
        <v>1554</v>
      </c>
      <c r="D69" t="s">
        <v>31</v>
      </c>
      <c r="E69">
        <v>7</v>
      </c>
      <c r="F69">
        <v>40</v>
      </c>
      <c r="G69">
        <v>9.9700000000000006</v>
      </c>
      <c r="H69" t="s">
        <v>216</v>
      </c>
      <c r="I69" t="s">
        <v>1555</v>
      </c>
      <c r="J69" t="s">
        <v>27</v>
      </c>
      <c r="K69" t="s">
        <v>70</v>
      </c>
    </row>
    <row r="70" spans="1:11" x14ac:dyDescent="0.45">
      <c r="A70" t="s">
        <v>218</v>
      </c>
      <c r="B70">
        <v>45312</v>
      </c>
      <c r="C70" t="s">
        <v>1556</v>
      </c>
      <c r="D70" t="s">
        <v>67</v>
      </c>
      <c r="E70">
        <v>1</v>
      </c>
      <c r="F70">
        <v>12</v>
      </c>
      <c r="G70">
        <v>3.78</v>
      </c>
      <c r="H70" t="s">
        <v>194</v>
      </c>
      <c r="I70" t="s">
        <v>1540</v>
      </c>
      <c r="J70" t="s">
        <v>27</v>
      </c>
      <c r="K70" t="s">
        <v>70</v>
      </c>
    </row>
    <row r="71" spans="1:11" x14ac:dyDescent="0.45">
      <c r="A71" t="s">
        <v>219</v>
      </c>
      <c r="B71">
        <v>45313</v>
      </c>
      <c r="C71" t="s">
        <v>1557</v>
      </c>
      <c r="D71" t="s">
        <v>31</v>
      </c>
      <c r="E71">
        <v>2</v>
      </c>
      <c r="F71">
        <v>40</v>
      </c>
      <c r="G71">
        <v>8.1999999999999993</v>
      </c>
      <c r="H71" t="s">
        <v>194</v>
      </c>
      <c r="I71" t="s">
        <v>1540</v>
      </c>
      <c r="J71" t="s">
        <v>27</v>
      </c>
      <c r="K71" t="s">
        <v>70</v>
      </c>
    </row>
    <row r="72" spans="1:11" x14ac:dyDescent="0.45">
      <c r="A72" t="s">
        <v>220</v>
      </c>
      <c r="B72">
        <v>45313</v>
      </c>
      <c r="C72" t="s">
        <v>1558</v>
      </c>
      <c r="D72" t="s">
        <v>31</v>
      </c>
      <c r="E72">
        <v>2</v>
      </c>
      <c r="F72">
        <v>40</v>
      </c>
      <c r="G72">
        <v>9.2100000000000009</v>
      </c>
      <c r="H72" t="s">
        <v>221</v>
      </c>
      <c r="I72" t="s">
        <v>1559</v>
      </c>
      <c r="J72" t="s">
        <v>27</v>
      </c>
      <c r="K72" t="s">
        <v>70</v>
      </c>
    </row>
    <row r="73" spans="1:11" x14ac:dyDescent="0.45">
      <c r="A73" t="s">
        <v>223</v>
      </c>
      <c r="B73">
        <v>45313</v>
      </c>
      <c r="C73" t="s">
        <v>1560</v>
      </c>
      <c r="D73" t="s">
        <v>50</v>
      </c>
      <c r="E73">
        <v>7</v>
      </c>
      <c r="F73">
        <v>15</v>
      </c>
      <c r="G73">
        <v>5.93</v>
      </c>
      <c r="H73" t="s">
        <v>224</v>
      </c>
      <c r="I73" t="s">
        <v>1561</v>
      </c>
      <c r="J73" t="s">
        <v>27</v>
      </c>
      <c r="K73" t="s">
        <v>21</v>
      </c>
    </row>
    <row r="74" spans="1:11" x14ac:dyDescent="0.45">
      <c r="A74" t="s">
        <v>226</v>
      </c>
      <c r="B74">
        <v>45313</v>
      </c>
      <c r="C74" t="s">
        <v>1562</v>
      </c>
      <c r="D74" t="s">
        <v>50</v>
      </c>
      <c r="E74">
        <v>7</v>
      </c>
      <c r="F74">
        <v>15</v>
      </c>
      <c r="G74">
        <v>4.4800000000000004</v>
      </c>
      <c r="H74" t="s">
        <v>176</v>
      </c>
      <c r="I74" t="s">
        <v>1528</v>
      </c>
      <c r="J74" t="s">
        <v>27</v>
      </c>
      <c r="K74" t="s">
        <v>59</v>
      </c>
    </row>
    <row r="75" spans="1:11" x14ac:dyDescent="0.45">
      <c r="A75" t="s">
        <v>227</v>
      </c>
      <c r="B75">
        <v>45313</v>
      </c>
      <c r="C75" t="s">
        <v>1563</v>
      </c>
      <c r="D75" t="s">
        <v>17</v>
      </c>
      <c r="E75">
        <v>1</v>
      </c>
      <c r="F75">
        <v>10</v>
      </c>
      <c r="G75">
        <v>3.95</v>
      </c>
      <c r="H75" t="s">
        <v>228</v>
      </c>
      <c r="I75" t="s">
        <v>1564</v>
      </c>
      <c r="J75" t="s">
        <v>27</v>
      </c>
      <c r="K75" t="s">
        <v>43</v>
      </c>
    </row>
    <row r="76" spans="1:11" x14ac:dyDescent="0.45">
      <c r="A76" t="s">
        <v>229</v>
      </c>
      <c r="B76">
        <v>45313</v>
      </c>
      <c r="C76" t="s">
        <v>1565</v>
      </c>
      <c r="D76" t="s">
        <v>67</v>
      </c>
      <c r="E76">
        <v>1</v>
      </c>
      <c r="F76">
        <v>12</v>
      </c>
      <c r="G76">
        <v>4.5999999999999996</v>
      </c>
      <c r="H76" t="s">
        <v>230</v>
      </c>
      <c r="I76" t="s">
        <v>1566</v>
      </c>
      <c r="J76" t="s">
        <v>27</v>
      </c>
      <c r="K76" t="s">
        <v>70</v>
      </c>
    </row>
    <row r="77" spans="1:11" x14ac:dyDescent="0.45">
      <c r="A77" t="s">
        <v>231</v>
      </c>
      <c r="B77">
        <v>45314</v>
      </c>
      <c r="C77" t="s">
        <v>1567</v>
      </c>
      <c r="D77" t="s">
        <v>24</v>
      </c>
      <c r="E77">
        <v>4</v>
      </c>
      <c r="F77">
        <v>25</v>
      </c>
      <c r="G77">
        <v>8.75</v>
      </c>
      <c r="H77" t="s">
        <v>232</v>
      </c>
      <c r="I77" t="s">
        <v>1568</v>
      </c>
      <c r="J77" t="s">
        <v>27</v>
      </c>
      <c r="K77" t="s">
        <v>56</v>
      </c>
    </row>
    <row r="78" spans="1:11" x14ac:dyDescent="0.45">
      <c r="A78" t="s">
        <v>233</v>
      </c>
      <c r="B78">
        <v>45315</v>
      </c>
      <c r="C78" t="s">
        <v>1569</v>
      </c>
      <c r="D78" t="s">
        <v>17</v>
      </c>
      <c r="E78">
        <v>8</v>
      </c>
      <c r="F78">
        <v>10</v>
      </c>
      <c r="G78">
        <v>2.83</v>
      </c>
      <c r="H78" t="s">
        <v>96</v>
      </c>
      <c r="I78" t="s">
        <v>1469</v>
      </c>
      <c r="J78" t="s">
        <v>47</v>
      </c>
      <c r="K78" t="s">
        <v>21</v>
      </c>
    </row>
    <row r="79" spans="1:11" x14ac:dyDescent="0.45">
      <c r="A79" t="s">
        <v>234</v>
      </c>
      <c r="B79">
        <v>45315</v>
      </c>
      <c r="C79" t="s">
        <v>1570</v>
      </c>
      <c r="D79" t="s">
        <v>24</v>
      </c>
      <c r="E79">
        <v>8</v>
      </c>
      <c r="F79">
        <v>25</v>
      </c>
      <c r="G79">
        <v>5.86</v>
      </c>
      <c r="H79" t="s">
        <v>235</v>
      </c>
      <c r="I79" t="s">
        <v>1571</v>
      </c>
      <c r="J79" t="s">
        <v>27</v>
      </c>
      <c r="K79" t="s">
        <v>43</v>
      </c>
    </row>
    <row r="80" spans="1:11" x14ac:dyDescent="0.45">
      <c r="A80" t="s">
        <v>237</v>
      </c>
      <c r="B80">
        <v>45315</v>
      </c>
      <c r="C80" t="s">
        <v>1572</v>
      </c>
      <c r="D80" t="s">
        <v>24</v>
      </c>
      <c r="E80">
        <v>4</v>
      </c>
      <c r="F80">
        <v>25</v>
      </c>
      <c r="G80">
        <v>9.89</v>
      </c>
      <c r="H80" t="s">
        <v>238</v>
      </c>
      <c r="I80" t="s">
        <v>1573</v>
      </c>
      <c r="J80" t="s">
        <v>27</v>
      </c>
      <c r="K80" t="s">
        <v>74</v>
      </c>
    </row>
    <row r="81" spans="1:11" x14ac:dyDescent="0.45">
      <c r="A81" t="s">
        <v>240</v>
      </c>
      <c r="B81">
        <v>45316</v>
      </c>
      <c r="C81" t="s">
        <v>1574</v>
      </c>
      <c r="D81" t="s">
        <v>31</v>
      </c>
      <c r="E81">
        <v>5</v>
      </c>
      <c r="F81">
        <v>40</v>
      </c>
      <c r="G81">
        <v>10.28</v>
      </c>
      <c r="H81" t="s">
        <v>241</v>
      </c>
      <c r="I81" t="s">
        <v>1575</v>
      </c>
      <c r="J81" t="s">
        <v>27</v>
      </c>
      <c r="K81" t="s">
        <v>56</v>
      </c>
    </row>
    <row r="82" spans="1:11" x14ac:dyDescent="0.45">
      <c r="A82" t="s">
        <v>243</v>
      </c>
      <c r="B82">
        <v>45317</v>
      </c>
      <c r="C82" t="s">
        <v>1576</v>
      </c>
      <c r="D82" t="s">
        <v>50</v>
      </c>
      <c r="E82">
        <v>7</v>
      </c>
      <c r="F82">
        <v>15</v>
      </c>
      <c r="G82">
        <v>5.82</v>
      </c>
      <c r="H82" t="s">
        <v>206</v>
      </c>
      <c r="I82" t="s">
        <v>1548</v>
      </c>
      <c r="J82" t="s">
        <v>42</v>
      </c>
      <c r="K82" t="s">
        <v>70</v>
      </c>
    </row>
    <row r="83" spans="1:11" x14ac:dyDescent="0.45">
      <c r="A83" t="s">
        <v>244</v>
      </c>
      <c r="B83">
        <v>45317</v>
      </c>
      <c r="C83" t="s">
        <v>1577</v>
      </c>
      <c r="D83" t="s">
        <v>17</v>
      </c>
      <c r="E83">
        <v>9</v>
      </c>
      <c r="F83">
        <v>10</v>
      </c>
      <c r="G83">
        <v>3.04</v>
      </c>
      <c r="H83" t="s">
        <v>245</v>
      </c>
      <c r="I83" t="s">
        <v>1578</v>
      </c>
      <c r="J83" t="s">
        <v>27</v>
      </c>
      <c r="K83" t="s">
        <v>134</v>
      </c>
    </row>
    <row r="84" spans="1:11" x14ac:dyDescent="0.45">
      <c r="A84" t="s">
        <v>246</v>
      </c>
      <c r="B84">
        <v>45317</v>
      </c>
      <c r="C84" t="s">
        <v>1579</v>
      </c>
      <c r="D84" t="s">
        <v>17</v>
      </c>
      <c r="E84">
        <v>7</v>
      </c>
      <c r="G84">
        <v>2.2400000000000002</v>
      </c>
      <c r="H84" t="s">
        <v>188</v>
      </c>
      <c r="I84" t="s">
        <v>1536</v>
      </c>
      <c r="J84" t="s">
        <v>27</v>
      </c>
      <c r="K84" t="s">
        <v>134</v>
      </c>
    </row>
    <row r="85" spans="1:11" x14ac:dyDescent="0.45">
      <c r="A85" t="s">
        <v>247</v>
      </c>
      <c r="B85">
        <v>45318</v>
      </c>
      <c r="C85" t="s">
        <v>1580</v>
      </c>
      <c r="D85" t="s">
        <v>24</v>
      </c>
      <c r="E85">
        <v>2</v>
      </c>
      <c r="F85">
        <v>25</v>
      </c>
      <c r="G85">
        <v>6.69</v>
      </c>
      <c r="H85" t="s">
        <v>248</v>
      </c>
      <c r="I85" t="s">
        <v>1581</v>
      </c>
      <c r="J85" t="s">
        <v>27</v>
      </c>
      <c r="K85" t="s">
        <v>134</v>
      </c>
    </row>
    <row r="86" spans="1:11" x14ac:dyDescent="0.45">
      <c r="A86" t="s">
        <v>250</v>
      </c>
      <c r="B86">
        <v>45318</v>
      </c>
      <c r="C86" t="s">
        <v>1582</v>
      </c>
      <c r="D86" t="s">
        <v>50</v>
      </c>
      <c r="E86">
        <v>9</v>
      </c>
      <c r="F86">
        <v>15</v>
      </c>
      <c r="G86">
        <v>3.37</v>
      </c>
      <c r="H86" t="s">
        <v>251</v>
      </c>
      <c r="I86" t="s">
        <v>1583</v>
      </c>
      <c r="J86" t="s">
        <v>27</v>
      </c>
      <c r="K86" t="s">
        <v>21</v>
      </c>
    </row>
    <row r="87" spans="1:11" x14ac:dyDescent="0.45">
      <c r="A87" t="s">
        <v>253</v>
      </c>
      <c r="B87">
        <v>45318</v>
      </c>
      <c r="C87" t="s">
        <v>1584</v>
      </c>
      <c r="D87" t="s">
        <v>24</v>
      </c>
      <c r="E87">
        <v>4</v>
      </c>
      <c r="F87">
        <v>25</v>
      </c>
      <c r="G87">
        <v>8.91</v>
      </c>
      <c r="H87" t="s">
        <v>254</v>
      </c>
      <c r="I87" t="s">
        <v>1585</v>
      </c>
      <c r="J87" t="s">
        <v>42</v>
      </c>
      <c r="K87" t="s">
        <v>70</v>
      </c>
    </row>
    <row r="88" spans="1:11" x14ac:dyDescent="0.45">
      <c r="A88" t="s">
        <v>255</v>
      </c>
      <c r="B88">
        <v>45318</v>
      </c>
      <c r="C88" t="s">
        <v>1586</v>
      </c>
      <c r="D88" t="s">
        <v>67</v>
      </c>
      <c r="E88">
        <v>1</v>
      </c>
      <c r="F88">
        <v>12</v>
      </c>
      <c r="G88">
        <v>2.87</v>
      </c>
      <c r="H88" t="s">
        <v>256</v>
      </c>
      <c r="I88" t="s">
        <v>1587</v>
      </c>
      <c r="J88" t="s">
        <v>20</v>
      </c>
      <c r="K88" t="s">
        <v>56</v>
      </c>
    </row>
    <row r="89" spans="1:11" x14ac:dyDescent="0.45">
      <c r="A89" t="s">
        <v>258</v>
      </c>
      <c r="B89">
        <v>45318</v>
      </c>
      <c r="C89" t="s">
        <v>1588</v>
      </c>
      <c r="D89" t="s">
        <v>31</v>
      </c>
      <c r="E89">
        <v>6</v>
      </c>
      <c r="F89">
        <v>40</v>
      </c>
      <c r="G89">
        <v>11.82</v>
      </c>
      <c r="H89" t="s">
        <v>259</v>
      </c>
      <c r="I89" t="s">
        <v>1589</v>
      </c>
      <c r="J89" t="s">
        <v>27</v>
      </c>
      <c r="K89" t="s">
        <v>21</v>
      </c>
    </row>
    <row r="90" spans="1:11" x14ac:dyDescent="0.45">
      <c r="A90" t="s">
        <v>261</v>
      </c>
      <c r="B90">
        <v>45318</v>
      </c>
      <c r="C90" t="s">
        <v>1590</v>
      </c>
      <c r="D90" t="s">
        <v>24</v>
      </c>
      <c r="E90">
        <v>6</v>
      </c>
      <c r="F90">
        <v>25</v>
      </c>
      <c r="G90">
        <v>9.0500000000000007</v>
      </c>
      <c r="H90" t="s">
        <v>213</v>
      </c>
      <c r="I90" t="s">
        <v>1553</v>
      </c>
      <c r="J90" t="s">
        <v>20</v>
      </c>
      <c r="K90" t="s">
        <v>74</v>
      </c>
    </row>
    <row r="91" spans="1:11" x14ac:dyDescent="0.45">
      <c r="A91" t="s">
        <v>262</v>
      </c>
      <c r="B91">
        <v>45319</v>
      </c>
      <c r="C91" t="s">
        <v>1591</v>
      </c>
      <c r="D91" t="s">
        <v>67</v>
      </c>
      <c r="E91">
        <v>10</v>
      </c>
      <c r="F91">
        <v>12</v>
      </c>
      <c r="G91">
        <v>4.34</v>
      </c>
      <c r="H91" t="s">
        <v>263</v>
      </c>
      <c r="I91" t="s">
        <v>1592</v>
      </c>
      <c r="J91" t="s">
        <v>20</v>
      </c>
      <c r="K91" t="s">
        <v>70</v>
      </c>
    </row>
    <row r="92" spans="1:11" x14ac:dyDescent="0.45">
      <c r="A92" t="s">
        <v>264</v>
      </c>
      <c r="B92">
        <v>45319</v>
      </c>
      <c r="C92" t="s">
        <v>1593</v>
      </c>
      <c r="D92" t="s">
        <v>24</v>
      </c>
      <c r="E92">
        <v>3</v>
      </c>
      <c r="G92">
        <v>7.45</v>
      </c>
      <c r="H92" t="s">
        <v>148</v>
      </c>
      <c r="I92" t="s">
        <v>1505</v>
      </c>
      <c r="J92" t="s">
        <v>20</v>
      </c>
      <c r="K92" t="s">
        <v>38</v>
      </c>
    </row>
    <row r="93" spans="1:11" x14ac:dyDescent="0.45">
      <c r="A93" t="s">
        <v>265</v>
      </c>
      <c r="B93">
        <v>45319</v>
      </c>
      <c r="C93" t="s">
        <v>1594</v>
      </c>
      <c r="D93" t="s">
        <v>50</v>
      </c>
      <c r="E93">
        <v>9</v>
      </c>
      <c r="F93">
        <v>15</v>
      </c>
      <c r="G93">
        <v>4.92</v>
      </c>
      <c r="H93" t="s">
        <v>266</v>
      </c>
      <c r="I93" t="s">
        <v>1595</v>
      </c>
      <c r="J93" t="s">
        <v>47</v>
      </c>
      <c r="K93" t="s">
        <v>21</v>
      </c>
    </row>
    <row r="94" spans="1:11" x14ac:dyDescent="0.45">
      <c r="A94" t="s">
        <v>267</v>
      </c>
      <c r="B94">
        <v>45319</v>
      </c>
      <c r="C94" t="s">
        <v>1596</v>
      </c>
      <c r="D94" t="s">
        <v>17</v>
      </c>
      <c r="E94">
        <v>7</v>
      </c>
      <c r="F94">
        <v>10</v>
      </c>
      <c r="G94">
        <v>2.4500000000000002</v>
      </c>
      <c r="H94" t="s">
        <v>64</v>
      </c>
      <c r="I94" t="s">
        <v>1449</v>
      </c>
      <c r="J94" t="s">
        <v>27</v>
      </c>
      <c r="K94" t="s">
        <v>59</v>
      </c>
    </row>
    <row r="95" spans="1:11" x14ac:dyDescent="0.45">
      <c r="A95" t="s">
        <v>268</v>
      </c>
      <c r="B95">
        <v>45319</v>
      </c>
      <c r="C95" t="s">
        <v>1597</v>
      </c>
      <c r="D95" t="s">
        <v>24</v>
      </c>
      <c r="E95">
        <v>1</v>
      </c>
      <c r="F95">
        <v>25</v>
      </c>
      <c r="G95">
        <v>7.24</v>
      </c>
      <c r="H95" t="s">
        <v>82</v>
      </c>
      <c r="I95" t="s">
        <v>1459</v>
      </c>
      <c r="J95" t="s">
        <v>20</v>
      </c>
      <c r="K95" t="s">
        <v>134</v>
      </c>
    </row>
    <row r="96" spans="1:11" x14ac:dyDescent="0.45">
      <c r="A96" t="s">
        <v>269</v>
      </c>
      <c r="B96">
        <v>45319</v>
      </c>
      <c r="C96" t="s">
        <v>1598</v>
      </c>
      <c r="D96" t="s">
        <v>31</v>
      </c>
      <c r="E96">
        <v>2</v>
      </c>
      <c r="F96">
        <v>40</v>
      </c>
      <c r="G96">
        <v>14.07</v>
      </c>
      <c r="H96" t="s">
        <v>99</v>
      </c>
      <c r="I96" t="s">
        <v>1471</v>
      </c>
      <c r="J96" t="s">
        <v>42</v>
      </c>
      <c r="K96" t="s">
        <v>59</v>
      </c>
    </row>
    <row r="97" spans="1:11" x14ac:dyDescent="0.45">
      <c r="A97" t="s">
        <v>270</v>
      </c>
      <c r="B97">
        <v>45319</v>
      </c>
      <c r="C97" t="s">
        <v>1599</v>
      </c>
      <c r="D97" t="s">
        <v>24</v>
      </c>
      <c r="E97">
        <v>10</v>
      </c>
      <c r="F97">
        <v>25</v>
      </c>
      <c r="G97">
        <v>9.9</v>
      </c>
      <c r="H97" t="s">
        <v>263</v>
      </c>
      <c r="I97" t="s">
        <v>1592</v>
      </c>
      <c r="J97" t="s">
        <v>27</v>
      </c>
      <c r="K97" t="s">
        <v>134</v>
      </c>
    </row>
    <row r="98" spans="1:11" x14ac:dyDescent="0.45">
      <c r="A98" t="s">
        <v>271</v>
      </c>
      <c r="B98">
        <v>45320</v>
      </c>
      <c r="C98" t="s">
        <v>1600</v>
      </c>
      <c r="D98" t="s">
        <v>31</v>
      </c>
      <c r="E98">
        <v>9</v>
      </c>
      <c r="F98">
        <v>40</v>
      </c>
      <c r="G98">
        <v>15.18</v>
      </c>
      <c r="H98" t="s">
        <v>272</v>
      </c>
      <c r="I98" t="s">
        <v>1601</v>
      </c>
      <c r="J98" t="s">
        <v>47</v>
      </c>
      <c r="K98" t="s">
        <v>59</v>
      </c>
    </row>
    <row r="99" spans="1:11" x14ac:dyDescent="0.45">
      <c r="A99" t="s">
        <v>274</v>
      </c>
      <c r="B99">
        <v>45320</v>
      </c>
      <c r="C99" t="s">
        <v>1602</v>
      </c>
      <c r="D99" t="s">
        <v>17</v>
      </c>
      <c r="E99">
        <v>4</v>
      </c>
      <c r="F99">
        <v>10</v>
      </c>
      <c r="G99">
        <v>3.54</v>
      </c>
      <c r="H99" t="s">
        <v>142</v>
      </c>
      <c r="I99" t="s">
        <v>1501</v>
      </c>
      <c r="J99" t="s">
        <v>27</v>
      </c>
      <c r="K99" t="s">
        <v>59</v>
      </c>
    </row>
    <row r="100" spans="1:11" x14ac:dyDescent="0.45">
      <c r="A100" t="s">
        <v>275</v>
      </c>
      <c r="B100">
        <v>45320</v>
      </c>
      <c r="C100" t="s">
        <v>1603</v>
      </c>
      <c r="D100" t="s">
        <v>67</v>
      </c>
      <c r="E100">
        <v>10</v>
      </c>
      <c r="F100">
        <v>12</v>
      </c>
      <c r="G100">
        <v>3.79</v>
      </c>
      <c r="H100" t="s">
        <v>276</v>
      </c>
      <c r="I100" t="s">
        <v>1604</v>
      </c>
      <c r="J100" t="s">
        <v>27</v>
      </c>
      <c r="K100" t="s">
        <v>28</v>
      </c>
    </row>
    <row r="101" spans="1:11" x14ac:dyDescent="0.45">
      <c r="A101" t="s">
        <v>278</v>
      </c>
      <c r="B101">
        <v>45320</v>
      </c>
      <c r="C101" t="s">
        <v>1605</v>
      </c>
      <c r="D101" t="s">
        <v>17</v>
      </c>
      <c r="E101">
        <v>8</v>
      </c>
      <c r="F101">
        <v>10</v>
      </c>
      <c r="G101">
        <v>2.6</v>
      </c>
      <c r="H101" t="s">
        <v>279</v>
      </c>
      <c r="I101" t="s">
        <v>1606</v>
      </c>
      <c r="J101" t="s">
        <v>27</v>
      </c>
      <c r="K101" t="s">
        <v>56</v>
      </c>
    </row>
    <row r="102" spans="1:11" x14ac:dyDescent="0.45">
      <c r="A102" t="s">
        <v>281</v>
      </c>
      <c r="B102">
        <v>45320</v>
      </c>
      <c r="C102" t="s">
        <v>1607</v>
      </c>
      <c r="D102" t="s">
        <v>24</v>
      </c>
      <c r="E102">
        <v>8</v>
      </c>
      <c r="F102">
        <v>25</v>
      </c>
      <c r="G102">
        <v>6.48</v>
      </c>
      <c r="H102" t="s">
        <v>282</v>
      </c>
      <c r="I102" t="s">
        <v>1608</v>
      </c>
      <c r="J102" t="s">
        <v>20</v>
      </c>
      <c r="K102" t="s">
        <v>43</v>
      </c>
    </row>
    <row r="103" spans="1:11" x14ac:dyDescent="0.45">
      <c r="A103" t="s">
        <v>284</v>
      </c>
      <c r="B103">
        <v>45320</v>
      </c>
      <c r="C103" t="s">
        <v>1609</v>
      </c>
      <c r="D103" t="s">
        <v>17</v>
      </c>
      <c r="E103">
        <v>9</v>
      </c>
      <c r="F103">
        <v>10</v>
      </c>
      <c r="G103">
        <v>3.07</v>
      </c>
      <c r="H103" t="s">
        <v>61</v>
      </c>
      <c r="I103" t="s">
        <v>1447</v>
      </c>
      <c r="J103" t="s">
        <v>47</v>
      </c>
      <c r="K103" t="s">
        <v>134</v>
      </c>
    </row>
    <row r="104" spans="1:11" x14ac:dyDescent="0.45">
      <c r="A104" t="s">
        <v>285</v>
      </c>
      <c r="B104">
        <v>45321</v>
      </c>
      <c r="C104" t="s">
        <v>1610</v>
      </c>
      <c r="D104" t="s">
        <v>31</v>
      </c>
      <c r="E104">
        <v>8</v>
      </c>
      <c r="F104">
        <v>40</v>
      </c>
      <c r="G104">
        <v>10.88</v>
      </c>
      <c r="H104" t="s">
        <v>286</v>
      </c>
      <c r="I104" t="s">
        <v>1611</v>
      </c>
      <c r="J104" t="s">
        <v>20</v>
      </c>
      <c r="K104" t="s">
        <v>56</v>
      </c>
    </row>
    <row r="105" spans="1:11" x14ac:dyDescent="0.45">
      <c r="A105" t="s">
        <v>288</v>
      </c>
      <c r="B105">
        <v>45321</v>
      </c>
      <c r="C105" t="s">
        <v>1612</v>
      </c>
      <c r="D105" t="s">
        <v>50</v>
      </c>
      <c r="E105">
        <v>7</v>
      </c>
      <c r="F105">
        <v>15</v>
      </c>
      <c r="G105">
        <v>5.75</v>
      </c>
      <c r="H105" t="s">
        <v>289</v>
      </c>
      <c r="I105" t="s">
        <v>1613</v>
      </c>
      <c r="J105" t="s">
        <v>27</v>
      </c>
      <c r="K105" t="s">
        <v>34</v>
      </c>
    </row>
    <row r="106" spans="1:11" x14ac:dyDescent="0.45">
      <c r="A106" t="s">
        <v>291</v>
      </c>
      <c r="B106">
        <v>45322</v>
      </c>
      <c r="C106" t="s">
        <v>1614</v>
      </c>
      <c r="D106" t="s">
        <v>17</v>
      </c>
      <c r="E106">
        <v>3</v>
      </c>
      <c r="F106">
        <v>10</v>
      </c>
      <c r="G106">
        <v>2.88</v>
      </c>
      <c r="H106" t="s">
        <v>292</v>
      </c>
      <c r="I106" t="s">
        <v>1615</v>
      </c>
      <c r="J106" t="s">
        <v>20</v>
      </c>
      <c r="K106" t="s">
        <v>56</v>
      </c>
    </row>
    <row r="107" spans="1:11" x14ac:dyDescent="0.45">
      <c r="A107" t="s">
        <v>293</v>
      </c>
      <c r="B107">
        <v>45322</v>
      </c>
      <c r="C107" t="s">
        <v>1616</v>
      </c>
      <c r="D107" t="s">
        <v>17</v>
      </c>
      <c r="E107">
        <v>9</v>
      </c>
      <c r="F107">
        <v>10</v>
      </c>
      <c r="G107">
        <v>3.15</v>
      </c>
      <c r="H107" t="s">
        <v>256</v>
      </c>
      <c r="I107" t="s">
        <v>1587</v>
      </c>
      <c r="J107" t="s">
        <v>27</v>
      </c>
      <c r="K107" t="s">
        <v>59</v>
      </c>
    </row>
    <row r="108" spans="1:11" x14ac:dyDescent="0.45">
      <c r="A108" t="s">
        <v>294</v>
      </c>
      <c r="B108">
        <v>45322</v>
      </c>
      <c r="C108" t="s">
        <v>1617</v>
      </c>
      <c r="D108" t="s">
        <v>24</v>
      </c>
      <c r="E108">
        <v>1</v>
      </c>
      <c r="F108">
        <v>25</v>
      </c>
      <c r="G108">
        <v>5.62</v>
      </c>
      <c r="H108" t="s">
        <v>171</v>
      </c>
      <c r="I108" t="s">
        <v>1524</v>
      </c>
      <c r="J108" t="s">
        <v>27</v>
      </c>
      <c r="K108" t="s">
        <v>43</v>
      </c>
    </row>
    <row r="109" spans="1:11" x14ac:dyDescent="0.45">
      <c r="A109" t="s">
        <v>295</v>
      </c>
      <c r="B109">
        <v>45322</v>
      </c>
      <c r="C109" t="s">
        <v>1618</v>
      </c>
      <c r="D109" t="s">
        <v>24</v>
      </c>
      <c r="E109">
        <v>10</v>
      </c>
      <c r="F109">
        <v>25</v>
      </c>
      <c r="G109">
        <v>7.15</v>
      </c>
      <c r="H109" t="s">
        <v>296</v>
      </c>
      <c r="I109" t="s">
        <v>1619</v>
      </c>
      <c r="J109" t="s">
        <v>27</v>
      </c>
      <c r="K109" t="s">
        <v>74</v>
      </c>
    </row>
    <row r="110" spans="1:11" x14ac:dyDescent="0.45">
      <c r="A110" t="s">
        <v>297</v>
      </c>
      <c r="B110">
        <v>45322</v>
      </c>
      <c r="C110" t="s">
        <v>1620</v>
      </c>
      <c r="D110" t="s">
        <v>31</v>
      </c>
      <c r="E110">
        <v>10</v>
      </c>
      <c r="F110">
        <v>40</v>
      </c>
      <c r="G110">
        <v>14.26</v>
      </c>
      <c r="H110" t="s">
        <v>45</v>
      </c>
      <c r="I110" t="s">
        <v>1439</v>
      </c>
      <c r="J110" t="s">
        <v>27</v>
      </c>
      <c r="K110" t="s">
        <v>70</v>
      </c>
    </row>
    <row r="111" spans="1:11" x14ac:dyDescent="0.45">
      <c r="A111" t="s">
        <v>298</v>
      </c>
      <c r="B111">
        <v>45322</v>
      </c>
      <c r="C111" t="s">
        <v>1621</v>
      </c>
      <c r="D111" t="s">
        <v>67</v>
      </c>
      <c r="E111">
        <v>3</v>
      </c>
      <c r="F111">
        <v>12</v>
      </c>
      <c r="G111">
        <v>3.43</v>
      </c>
      <c r="H111" t="s">
        <v>235</v>
      </c>
      <c r="I111" t="s">
        <v>1571</v>
      </c>
      <c r="J111" t="s">
        <v>27</v>
      </c>
      <c r="K111" t="s">
        <v>134</v>
      </c>
    </row>
    <row r="112" spans="1:11" x14ac:dyDescent="0.45">
      <c r="A112" t="s">
        <v>299</v>
      </c>
      <c r="B112">
        <v>45323</v>
      </c>
      <c r="C112" t="s">
        <v>1622</v>
      </c>
      <c r="D112" t="s">
        <v>24</v>
      </c>
      <c r="E112">
        <v>5</v>
      </c>
      <c r="F112">
        <v>25</v>
      </c>
      <c r="G112">
        <v>7.16</v>
      </c>
      <c r="H112" t="s">
        <v>300</v>
      </c>
      <c r="I112" t="s">
        <v>1623</v>
      </c>
      <c r="J112" t="s">
        <v>27</v>
      </c>
      <c r="K112" t="s">
        <v>34</v>
      </c>
    </row>
    <row r="113" spans="1:11" x14ac:dyDescent="0.45">
      <c r="A113" t="s">
        <v>301</v>
      </c>
      <c r="B113">
        <v>45323</v>
      </c>
      <c r="C113" t="s">
        <v>1624</v>
      </c>
      <c r="D113" t="s">
        <v>31</v>
      </c>
      <c r="E113">
        <v>1</v>
      </c>
      <c r="F113">
        <v>40</v>
      </c>
      <c r="G113">
        <v>13.32</v>
      </c>
      <c r="H113" t="s">
        <v>25</v>
      </c>
      <c r="I113" t="s">
        <v>1431</v>
      </c>
      <c r="J113" t="s">
        <v>27</v>
      </c>
      <c r="K113" t="s">
        <v>28</v>
      </c>
    </row>
    <row r="114" spans="1:11" x14ac:dyDescent="0.45">
      <c r="A114" t="s">
        <v>302</v>
      </c>
      <c r="B114">
        <v>45324</v>
      </c>
      <c r="C114" t="s">
        <v>1625</v>
      </c>
      <c r="D114" t="s">
        <v>50</v>
      </c>
      <c r="E114">
        <v>8</v>
      </c>
      <c r="F114">
        <v>15</v>
      </c>
      <c r="G114">
        <v>4.83</v>
      </c>
      <c r="H114" t="s">
        <v>303</v>
      </c>
      <c r="I114" t="s">
        <v>1626</v>
      </c>
      <c r="J114" t="s">
        <v>47</v>
      </c>
      <c r="K114" t="s">
        <v>134</v>
      </c>
    </row>
    <row r="115" spans="1:11" x14ac:dyDescent="0.45">
      <c r="A115" t="s">
        <v>304</v>
      </c>
      <c r="B115">
        <v>45325</v>
      </c>
      <c r="C115" t="s">
        <v>1627</v>
      </c>
      <c r="D115" t="s">
        <v>24</v>
      </c>
      <c r="E115">
        <v>2</v>
      </c>
      <c r="F115">
        <v>25</v>
      </c>
      <c r="G115">
        <v>5.45</v>
      </c>
      <c r="H115" t="s">
        <v>305</v>
      </c>
      <c r="I115" t="s">
        <v>1628</v>
      </c>
      <c r="J115" t="s">
        <v>20</v>
      </c>
      <c r="K115" t="s">
        <v>70</v>
      </c>
    </row>
    <row r="116" spans="1:11" x14ac:dyDescent="0.45">
      <c r="A116" t="s">
        <v>306</v>
      </c>
      <c r="B116">
        <v>45326</v>
      </c>
      <c r="C116" t="s">
        <v>1629</v>
      </c>
      <c r="D116" t="s">
        <v>24</v>
      </c>
      <c r="E116">
        <v>9</v>
      </c>
      <c r="F116">
        <v>25</v>
      </c>
      <c r="G116">
        <v>6.65</v>
      </c>
      <c r="H116" t="s">
        <v>272</v>
      </c>
      <c r="I116" t="s">
        <v>1601</v>
      </c>
      <c r="J116" t="s">
        <v>27</v>
      </c>
      <c r="K116" t="s">
        <v>134</v>
      </c>
    </row>
    <row r="117" spans="1:11" x14ac:dyDescent="0.45">
      <c r="A117" t="s">
        <v>307</v>
      </c>
      <c r="B117">
        <v>45327</v>
      </c>
      <c r="C117" t="s">
        <v>1630</v>
      </c>
      <c r="D117" t="s">
        <v>17</v>
      </c>
      <c r="E117">
        <v>1</v>
      </c>
      <c r="F117">
        <v>10</v>
      </c>
      <c r="G117">
        <v>2.91</v>
      </c>
      <c r="H117" t="s">
        <v>124</v>
      </c>
      <c r="I117" t="s">
        <v>1489</v>
      </c>
      <c r="J117" t="s">
        <v>27</v>
      </c>
      <c r="K117" t="s">
        <v>70</v>
      </c>
    </row>
    <row r="118" spans="1:11" x14ac:dyDescent="0.45">
      <c r="A118" t="s">
        <v>308</v>
      </c>
      <c r="B118">
        <v>45328</v>
      </c>
      <c r="C118" t="s">
        <v>1631</v>
      </c>
      <c r="D118" t="s">
        <v>17</v>
      </c>
      <c r="E118">
        <v>8</v>
      </c>
      <c r="G118">
        <v>3.92</v>
      </c>
      <c r="H118" t="s">
        <v>89</v>
      </c>
      <c r="I118" t="s">
        <v>1464</v>
      </c>
      <c r="J118" t="s">
        <v>20</v>
      </c>
      <c r="K118" t="s">
        <v>43</v>
      </c>
    </row>
    <row r="119" spans="1:11" x14ac:dyDescent="0.45">
      <c r="A119" t="s">
        <v>309</v>
      </c>
      <c r="B119">
        <v>45328</v>
      </c>
      <c r="C119" t="s">
        <v>1632</v>
      </c>
      <c r="D119" t="s">
        <v>50</v>
      </c>
      <c r="E119">
        <v>5</v>
      </c>
      <c r="F119">
        <v>15</v>
      </c>
      <c r="G119">
        <v>4.6100000000000003</v>
      </c>
      <c r="H119" t="s">
        <v>310</v>
      </c>
      <c r="I119" t="s">
        <v>1633</v>
      </c>
      <c r="J119" t="s">
        <v>47</v>
      </c>
      <c r="K119" t="s">
        <v>70</v>
      </c>
    </row>
    <row r="120" spans="1:11" x14ac:dyDescent="0.45">
      <c r="A120" t="s">
        <v>312</v>
      </c>
      <c r="B120">
        <v>45328</v>
      </c>
      <c r="C120" t="s">
        <v>1634</v>
      </c>
      <c r="D120" t="s">
        <v>17</v>
      </c>
      <c r="E120">
        <v>4</v>
      </c>
      <c r="F120">
        <v>10</v>
      </c>
      <c r="G120">
        <v>3.17</v>
      </c>
      <c r="H120" t="s">
        <v>313</v>
      </c>
      <c r="I120" t="s">
        <v>1635</v>
      </c>
      <c r="J120" t="s">
        <v>27</v>
      </c>
      <c r="K120" t="s">
        <v>43</v>
      </c>
    </row>
    <row r="121" spans="1:11" x14ac:dyDescent="0.45">
      <c r="A121" t="s">
        <v>315</v>
      </c>
      <c r="B121">
        <v>45328</v>
      </c>
      <c r="C121" t="s">
        <v>1636</v>
      </c>
      <c r="D121" t="s">
        <v>31</v>
      </c>
      <c r="E121">
        <v>5</v>
      </c>
      <c r="F121">
        <v>40</v>
      </c>
      <c r="G121">
        <v>11.02</v>
      </c>
      <c r="H121" t="s">
        <v>194</v>
      </c>
      <c r="I121" t="s">
        <v>1540</v>
      </c>
      <c r="J121" t="s">
        <v>27</v>
      </c>
      <c r="K121" t="s">
        <v>21</v>
      </c>
    </row>
    <row r="122" spans="1:11" x14ac:dyDescent="0.45">
      <c r="A122" t="s">
        <v>316</v>
      </c>
      <c r="B122">
        <v>45328</v>
      </c>
      <c r="C122" t="s">
        <v>1637</v>
      </c>
      <c r="D122" t="s">
        <v>31</v>
      </c>
      <c r="E122">
        <v>1</v>
      </c>
      <c r="F122">
        <v>40</v>
      </c>
      <c r="G122">
        <v>12.28</v>
      </c>
      <c r="H122" t="s">
        <v>230</v>
      </c>
      <c r="I122" t="s">
        <v>1566</v>
      </c>
      <c r="J122" t="s">
        <v>27</v>
      </c>
      <c r="K122" t="s">
        <v>56</v>
      </c>
    </row>
    <row r="123" spans="1:11" x14ac:dyDescent="0.45">
      <c r="A123" t="s">
        <v>317</v>
      </c>
      <c r="B123">
        <v>45329</v>
      </c>
      <c r="C123" t="s">
        <v>1638</v>
      </c>
      <c r="D123" t="s">
        <v>67</v>
      </c>
      <c r="E123">
        <v>10</v>
      </c>
      <c r="F123">
        <v>12</v>
      </c>
      <c r="G123">
        <v>3.91</v>
      </c>
      <c r="H123" t="s">
        <v>318</v>
      </c>
      <c r="I123" t="s">
        <v>1639</v>
      </c>
      <c r="J123" t="s">
        <v>20</v>
      </c>
      <c r="K123" t="s">
        <v>70</v>
      </c>
    </row>
    <row r="124" spans="1:11" x14ac:dyDescent="0.45">
      <c r="A124" t="s">
        <v>320</v>
      </c>
      <c r="B124">
        <v>45329</v>
      </c>
      <c r="C124" t="s">
        <v>1640</v>
      </c>
      <c r="D124" t="s">
        <v>31</v>
      </c>
      <c r="E124">
        <v>6</v>
      </c>
      <c r="F124">
        <v>40</v>
      </c>
      <c r="G124">
        <v>15</v>
      </c>
      <c r="H124" t="s">
        <v>321</v>
      </c>
      <c r="I124" t="s">
        <v>1641</v>
      </c>
      <c r="J124" t="s">
        <v>27</v>
      </c>
      <c r="K124" t="s">
        <v>28</v>
      </c>
    </row>
    <row r="125" spans="1:11" x14ac:dyDescent="0.45">
      <c r="A125" t="s">
        <v>323</v>
      </c>
      <c r="B125">
        <v>45330</v>
      </c>
      <c r="C125" t="s">
        <v>1642</v>
      </c>
      <c r="D125" t="s">
        <v>50</v>
      </c>
      <c r="E125">
        <v>7</v>
      </c>
      <c r="F125">
        <v>15</v>
      </c>
      <c r="G125">
        <v>5.54</v>
      </c>
      <c r="H125" t="s">
        <v>324</v>
      </c>
      <c r="I125" t="s">
        <v>1643</v>
      </c>
      <c r="J125" t="s">
        <v>20</v>
      </c>
      <c r="K125" t="s">
        <v>43</v>
      </c>
    </row>
    <row r="126" spans="1:11" x14ac:dyDescent="0.45">
      <c r="A126" t="s">
        <v>325</v>
      </c>
      <c r="B126">
        <v>45330</v>
      </c>
      <c r="C126" t="s">
        <v>1644</v>
      </c>
      <c r="D126" t="s">
        <v>50</v>
      </c>
      <c r="E126">
        <v>7</v>
      </c>
      <c r="F126">
        <v>15</v>
      </c>
      <c r="G126">
        <v>3.16</v>
      </c>
      <c r="H126" t="s">
        <v>326</v>
      </c>
      <c r="I126" t="s">
        <v>1645</v>
      </c>
      <c r="J126" t="s">
        <v>27</v>
      </c>
      <c r="K126" t="s">
        <v>43</v>
      </c>
    </row>
    <row r="127" spans="1:11" x14ac:dyDescent="0.45">
      <c r="A127" t="s">
        <v>328</v>
      </c>
      <c r="B127">
        <v>45330</v>
      </c>
      <c r="C127" t="s">
        <v>1646</v>
      </c>
      <c r="D127" t="s">
        <v>50</v>
      </c>
      <c r="E127">
        <v>5</v>
      </c>
      <c r="F127">
        <v>15</v>
      </c>
      <c r="G127">
        <v>4.28</v>
      </c>
      <c r="H127" t="s">
        <v>329</v>
      </c>
      <c r="I127" t="s">
        <v>1647</v>
      </c>
      <c r="J127" t="s">
        <v>20</v>
      </c>
      <c r="K127" t="s">
        <v>28</v>
      </c>
    </row>
    <row r="128" spans="1:11" x14ac:dyDescent="0.45">
      <c r="A128" t="s">
        <v>330</v>
      </c>
      <c r="B128">
        <v>45331</v>
      </c>
      <c r="C128" t="s">
        <v>1648</v>
      </c>
      <c r="D128" t="s">
        <v>67</v>
      </c>
      <c r="E128">
        <v>6</v>
      </c>
      <c r="F128">
        <v>12</v>
      </c>
      <c r="G128">
        <v>3.5</v>
      </c>
      <c r="H128" t="s">
        <v>104</v>
      </c>
      <c r="I128" t="s">
        <v>1475</v>
      </c>
      <c r="J128" t="s">
        <v>27</v>
      </c>
      <c r="K128" t="s">
        <v>70</v>
      </c>
    </row>
    <row r="129" spans="1:11" x14ac:dyDescent="0.45">
      <c r="A129" t="s">
        <v>331</v>
      </c>
      <c r="B129">
        <v>45332</v>
      </c>
      <c r="C129" t="s">
        <v>1649</v>
      </c>
      <c r="D129" t="s">
        <v>67</v>
      </c>
      <c r="E129">
        <v>10</v>
      </c>
      <c r="F129">
        <v>12</v>
      </c>
      <c r="G129">
        <v>2.52</v>
      </c>
      <c r="H129" t="s">
        <v>332</v>
      </c>
      <c r="I129" t="s">
        <v>1650</v>
      </c>
      <c r="J129" t="s">
        <v>27</v>
      </c>
      <c r="K129" t="s">
        <v>28</v>
      </c>
    </row>
    <row r="130" spans="1:11" x14ac:dyDescent="0.45">
      <c r="A130" t="s">
        <v>334</v>
      </c>
      <c r="B130">
        <v>45334</v>
      </c>
      <c r="C130" t="s">
        <v>1651</v>
      </c>
      <c r="D130" t="s">
        <v>24</v>
      </c>
      <c r="E130">
        <v>8</v>
      </c>
      <c r="F130">
        <v>25</v>
      </c>
      <c r="G130">
        <v>8.44</v>
      </c>
      <c r="H130" t="s">
        <v>335</v>
      </c>
      <c r="I130" t="s">
        <v>1652</v>
      </c>
      <c r="J130" t="s">
        <v>42</v>
      </c>
      <c r="K130" t="s">
        <v>43</v>
      </c>
    </row>
    <row r="131" spans="1:11" x14ac:dyDescent="0.45">
      <c r="A131" t="s">
        <v>336</v>
      </c>
      <c r="B131">
        <v>45335</v>
      </c>
      <c r="C131" t="s">
        <v>1653</v>
      </c>
      <c r="D131" t="s">
        <v>17</v>
      </c>
      <c r="E131">
        <v>9</v>
      </c>
      <c r="F131">
        <v>10</v>
      </c>
      <c r="G131">
        <v>3.45</v>
      </c>
      <c r="H131" t="s">
        <v>337</v>
      </c>
      <c r="I131" t="s">
        <v>1654</v>
      </c>
      <c r="J131" t="s">
        <v>27</v>
      </c>
      <c r="K131" t="s">
        <v>21</v>
      </c>
    </row>
    <row r="132" spans="1:11" x14ac:dyDescent="0.45">
      <c r="A132" t="s">
        <v>338</v>
      </c>
      <c r="B132">
        <v>45335</v>
      </c>
      <c r="C132" t="s">
        <v>1655</v>
      </c>
      <c r="D132" t="s">
        <v>50</v>
      </c>
      <c r="E132">
        <v>3</v>
      </c>
      <c r="F132">
        <v>15</v>
      </c>
      <c r="G132">
        <v>4.2699999999999996</v>
      </c>
      <c r="H132" t="s">
        <v>232</v>
      </c>
      <c r="I132" t="s">
        <v>1568</v>
      </c>
      <c r="J132" t="s">
        <v>20</v>
      </c>
      <c r="K132" t="s">
        <v>43</v>
      </c>
    </row>
    <row r="133" spans="1:11" x14ac:dyDescent="0.45">
      <c r="A133" t="s">
        <v>339</v>
      </c>
      <c r="B133">
        <v>45335</v>
      </c>
      <c r="C133" t="s">
        <v>1656</v>
      </c>
      <c r="D133" t="s">
        <v>17</v>
      </c>
      <c r="E133">
        <v>9</v>
      </c>
      <c r="F133">
        <v>10</v>
      </c>
      <c r="G133">
        <v>3.07</v>
      </c>
      <c r="H133" t="s">
        <v>329</v>
      </c>
      <c r="I133" t="s">
        <v>1647</v>
      </c>
      <c r="J133" t="s">
        <v>20</v>
      </c>
      <c r="K133" t="s">
        <v>70</v>
      </c>
    </row>
    <row r="134" spans="1:11" x14ac:dyDescent="0.45">
      <c r="A134" t="s">
        <v>340</v>
      </c>
      <c r="B134">
        <v>45336</v>
      </c>
      <c r="C134" t="s">
        <v>1657</v>
      </c>
      <c r="D134" t="s">
        <v>31</v>
      </c>
      <c r="E134">
        <v>7</v>
      </c>
      <c r="F134">
        <v>40</v>
      </c>
      <c r="G134">
        <v>12.58</v>
      </c>
      <c r="H134" t="s">
        <v>25</v>
      </c>
      <c r="I134" t="s">
        <v>1431</v>
      </c>
      <c r="J134" t="s">
        <v>47</v>
      </c>
      <c r="K134" t="s">
        <v>59</v>
      </c>
    </row>
    <row r="135" spans="1:11" x14ac:dyDescent="0.45">
      <c r="A135" t="s">
        <v>341</v>
      </c>
      <c r="B135">
        <v>45336</v>
      </c>
      <c r="C135" t="s">
        <v>1658</v>
      </c>
      <c r="D135" t="s">
        <v>31</v>
      </c>
      <c r="E135">
        <v>2</v>
      </c>
      <c r="F135">
        <v>40</v>
      </c>
      <c r="G135">
        <v>9.66</v>
      </c>
      <c r="H135" t="s">
        <v>171</v>
      </c>
      <c r="I135" t="s">
        <v>1524</v>
      </c>
      <c r="J135" t="s">
        <v>42</v>
      </c>
      <c r="K135" t="s">
        <v>43</v>
      </c>
    </row>
    <row r="136" spans="1:11" x14ac:dyDescent="0.45">
      <c r="A136" t="s">
        <v>342</v>
      </c>
      <c r="B136">
        <v>45336</v>
      </c>
      <c r="C136" t="s">
        <v>1659</v>
      </c>
      <c r="D136" t="s">
        <v>24</v>
      </c>
      <c r="E136">
        <v>2</v>
      </c>
      <c r="F136">
        <v>25</v>
      </c>
      <c r="G136">
        <v>9.7100000000000009</v>
      </c>
      <c r="H136" t="s">
        <v>235</v>
      </c>
      <c r="I136" t="s">
        <v>1571</v>
      </c>
      <c r="J136" t="s">
        <v>27</v>
      </c>
      <c r="K136" t="s">
        <v>43</v>
      </c>
    </row>
    <row r="137" spans="1:11" x14ac:dyDescent="0.45">
      <c r="A137" t="s">
        <v>343</v>
      </c>
      <c r="B137">
        <v>45337</v>
      </c>
      <c r="C137" t="s">
        <v>1660</v>
      </c>
      <c r="D137" t="s">
        <v>31</v>
      </c>
      <c r="E137">
        <v>10</v>
      </c>
      <c r="F137">
        <v>40</v>
      </c>
      <c r="G137">
        <v>14.95</v>
      </c>
      <c r="H137" t="s">
        <v>344</v>
      </c>
      <c r="I137" t="s">
        <v>1661</v>
      </c>
      <c r="J137" t="s">
        <v>27</v>
      </c>
      <c r="K137" t="s">
        <v>134</v>
      </c>
    </row>
    <row r="138" spans="1:11" x14ac:dyDescent="0.45">
      <c r="A138" t="s">
        <v>345</v>
      </c>
      <c r="B138">
        <v>45337</v>
      </c>
      <c r="C138" t="s">
        <v>1662</v>
      </c>
      <c r="D138" t="s">
        <v>67</v>
      </c>
      <c r="E138">
        <v>5</v>
      </c>
      <c r="F138">
        <v>12</v>
      </c>
      <c r="G138">
        <v>3.63</v>
      </c>
      <c r="H138" t="s">
        <v>326</v>
      </c>
      <c r="I138" t="s">
        <v>1645</v>
      </c>
      <c r="J138" t="s">
        <v>27</v>
      </c>
      <c r="K138" t="s">
        <v>28</v>
      </c>
    </row>
    <row r="139" spans="1:11" x14ac:dyDescent="0.45">
      <c r="A139" t="s">
        <v>346</v>
      </c>
      <c r="B139">
        <v>45337</v>
      </c>
      <c r="C139" t="s">
        <v>1663</v>
      </c>
      <c r="D139" t="s">
        <v>24</v>
      </c>
      <c r="E139">
        <v>2</v>
      </c>
      <c r="F139">
        <v>25</v>
      </c>
      <c r="G139">
        <v>8.08</v>
      </c>
      <c r="H139" t="s">
        <v>337</v>
      </c>
      <c r="I139" t="s">
        <v>1654</v>
      </c>
      <c r="J139" t="s">
        <v>27</v>
      </c>
      <c r="K139" t="s">
        <v>28</v>
      </c>
    </row>
    <row r="140" spans="1:11" x14ac:dyDescent="0.45">
      <c r="A140" t="s">
        <v>347</v>
      </c>
      <c r="B140">
        <v>45337</v>
      </c>
      <c r="C140" t="s">
        <v>1664</v>
      </c>
      <c r="D140" t="s">
        <v>17</v>
      </c>
      <c r="E140">
        <v>9</v>
      </c>
      <c r="F140">
        <v>10</v>
      </c>
      <c r="G140">
        <v>3.45</v>
      </c>
      <c r="H140" t="s">
        <v>348</v>
      </c>
      <c r="I140" t="s">
        <v>1665</v>
      </c>
      <c r="J140" t="s">
        <v>20</v>
      </c>
      <c r="K140" t="s">
        <v>38</v>
      </c>
    </row>
    <row r="141" spans="1:11" x14ac:dyDescent="0.45">
      <c r="A141" t="s">
        <v>350</v>
      </c>
      <c r="B141">
        <v>45337</v>
      </c>
      <c r="C141" t="s">
        <v>1666</v>
      </c>
      <c r="D141" t="s">
        <v>67</v>
      </c>
      <c r="E141">
        <v>5</v>
      </c>
      <c r="F141">
        <v>12</v>
      </c>
      <c r="G141">
        <v>4.0199999999999996</v>
      </c>
      <c r="H141" t="s">
        <v>40</v>
      </c>
      <c r="I141" t="s">
        <v>1437</v>
      </c>
      <c r="J141" t="s">
        <v>27</v>
      </c>
      <c r="K141" t="s">
        <v>59</v>
      </c>
    </row>
    <row r="142" spans="1:11" x14ac:dyDescent="0.45">
      <c r="A142" t="s">
        <v>351</v>
      </c>
      <c r="B142">
        <v>45338</v>
      </c>
      <c r="C142" t="s">
        <v>1667</v>
      </c>
      <c r="D142" t="s">
        <v>24</v>
      </c>
      <c r="E142">
        <v>4</v>
      </c>
      <c r="G142">
        <v>8</v>
      </c>
      <c r="H142" t="s">
        <v>352</v>
      </c>
      <c r="I142" t="s">
        <v>1668</v>
      </c>
      <c r="J142" t="s">
        <v>27</v>
      </c>
      <c r="K142" t="s">
        <v>28</v>
      </c>
    </row>
    <row r="143" spans="1:11" x14ac:dyDescent="0.45">
      <c r="A143" t="s">
        <v>354</v>
      </c>
      <c r="B143">
        <v>45338</v>
      </c>
      <c r="C143" t="s">
        <v>1669</v>
      </c>
      <c r="D143" t="s">
        <v>50</v>
      </c>
      <c r="E143">
        <v>1</v>
      </c>
      <c r="F143">
        <v>15</v>
      </c>
      <c r="G143">
        <v>5.45</v>
      </c>
      <c r="H143" t="s">
        <v>121</v>
      </c>
      <c r="I143" t="s">
        <v>1487</v>
      </c>
      <c r="J143" t="s">
        <v>27</v>
      </c>
      <c r="K143" t="s">
        <v>38</v>
      </c>
    </row>
    <row r="144" spans="1:11" x14ac:dyDescent="0.45">
      <c r="A144" t="s">
        <v>355</v>
      </c>
      <c r="B144">
        <v>45338</v>
      </c>
      <c r="C144" t="s">
        <v>1670</v>
      </c>
      <c r="D144" t="s">
        <v>50</v>
      </c>
      <c r="E144">
        <v>1</v>
      </c>
      <c r="F144">
        <v>15</v>
      </c>
      <c r="G144">
        <v>3.59</v>
      </c>
      <c r="H144" t="s">
        <v>356</v>
      </c>
      <c r="I144" t="s">
        <v>1671</v>
      </c>
      <c r="J144" t="s">
        <v>47</v>
      </c>
      <c r="K144" t="s">
        <v>74</v>
      </c>
    </row>
    <row r="145" spans="1:11" x14ac:dyDescent="0.45">
      <c r="A145" t="s">
        <v>358</v>
      </c>
      <c r="B145">
        <v>45339</v>
      </c>
      <c r="C145" t="s">
        <v>1672</v>
      </c>
      <c r="D145" t="s">
        <v>31</v>
      </c>
      <c r="E145">
        <v>3</v>
      </c>
      <c r="F145">
        <v>40</v>
      </c>
      <c r="G145">
        <v>13.47</v>
      </c>
      <c r="H145" t="s">
        <v>118</v>
      </c>
      <c r="I145" t="s">
        <v>1485</v>
      </c>
      <c r="J145" t="s">
        <v>20</v>
      </c>
      <c r="K145" t="s">
        <v>28</v>
      </c>
    </row>
    <row r="146" spans="1:11" x14ac:dyDescent="0.45">
      <c r="A146" t="s">
        <v>359</v>
      </c>
      <c r="B146">
        <v>45339</v>
      </c>
      <c r="C146" t="s">
        <v>1673</v>
      </c>
      <c r="D146" t="s">
        <v>67</v>
      </c>
      <c r="E146">
        <v>8</v>
      </c>
      <c r="F146">
        <v>12</v>
      </c>
      <c r="G146">
        <v>2.72</v>
      </c>
      <c r="H146" t="s">
        <v>303</v>
      </c>
      <c r="I146" t="s">
        <v>1626</v>
      </c>
      <c r="J146" t="s">
        <v>27</v>
      </c>
      <c r="K146" t="s">
        <v>70</v>
      </c>
    </row>
    <row r="147" spans="1:11" x14ac:dyDescent="0.45">
      <c r="A147" t="s">
        <v>360</v>
      </c>
      <c r="B147">
        <v>45339</v>
      </c>
      <c r="C147" t="s">
        <v>1674</v>
      </c>
      <c r="D147" t="s">
        <v>50</v>
      </c>
      <c r="E147">
        <v>1</v>
      </c>
      <c r="F147">
        <v>15</v>
      </c>
      <c r="G147">
        <v>3.43</v>
      </c>
      <c r="H147" t="s">
        <v>361</v>
      </c>
      <c r="I147" t="s">
        <v>1675</v>
      </c>
      <c r="J147" t="s">
        <v>27</v>
      </c>
      <c r="K147" t="s">
        <v>59</v>
      </c>
    </row>
    <row r="148" spans="1:11" x14ac:dyDescent="0.45">
      <c r="A148" t="s">
        <v>362</v>
      </c>
      <c r="B148">
        <v>45340</v>
      </c>
      <c r="C148" t="s">
        <v>1676</v>
      </c>
      <c r="D148" t="s">
        <v>17</v>
      </c>
      <c r="E148">
        <v>1</v>
      </c>
      <c r="F148">
        <v>10</v>
      </c>
      <c r="G148">
        <v>3.27</v>
      </c>
      <c r="H148" t="s">
        <v>363</v>
      </c>
      <c r="I148" t="s">
        <v>1677</v>
      </c>
      <c r="J148" t="s">
        <v>20</v>
      </c>
      <c r="K148" t="s">
        <v>38</v>
      </c>
    </row>
    <row r="149" spans="1:11" x14ac:dyDescent="0.45">
      <c r="A149" t="s">
        <v>364</v>
      </c>
      <c r="B149">
        <v>45340</v>
      </c>
      <c r="C149" t="s">
        <v>1678</v>
      </c>
      <c r="D149" t="s">
        <v>17</v>
      </c>
      <c r="E149">
        <v>6</v>
      </c>
      <c r="F149">
        <v>10</v>
      </c>
      <c r="G149">
        <v>3.92</v>
      </c>
      <c r="H149" t="s">
        <v>365</v>
      </c>
      <c r="I149" t="s">
        <v>1679</v>
      </c>
      <c r="J149" t="s">
        <v>27</v>
      </c>
      <c r="K149" t="s">
        <v>28</v>
      </c>
    </row>
    <row r="150" spans="1:11" x14ac:dyDescent="0.45">
      <c r="A150" t="s">
        <v>366</v>
      </c>
      <c r="B150">
        <v>45340</v>
      </c>
      <c r="C150" t="s">
        <v>1680</v>
      </c>
      <c r="D150" t="s">
        <v>31</v>
      </c>
      <c r="E150">
        <v>10</v>
      </c>
      <c r="F150">
        <v>40</v>
      </c>
      <c r="G150">
        <v>10.39</v>
      </c>
      <c r="H150" t="s">
        <v>121</v>
      </c>
      <c r="I150" t="s">
        <v>1487</v>
      </c>
      <c r="J150" t="s">
        <v>27</v>
      </c>
      <c r="K150" t="s">
        <v>43</v>
      </c>
    </row>
    <row r="151" spans="1:11" x14ac:dyDescent="0.45">
      <c r="A151" t="s">
        <v>367</v>
      </c>
      <c r="B151">
        <v>45341</v>
      </c>
      <c r="C151" t="s">
        <v>1681</v>
      </c>
      <c r="D151" t="s">
        <v>67</v>
      </c>
      <c r="E151">
        <v>1</v>
      </c>
      <c r="F151">
        <v>12</v>
      </c>
      <c r="G151">
        <v>3.88</v>
      </c>
      <c r="H151" t="s">
        <v>368</v>
      </c>
      <c r="I151" t="s">
        <v>1682</v>
      </c>
      <c r="J151" t="s">
        <v>27</v>
      </c>
      <c r="K151" t="s">
        <v>74</v>
      </c>
    </row>
    <row r="152" spans="1:11" x14ac:dyDescent="0.45">
      <c r="A152" t="s">
        <v>370</v>
      </c>
      <c r="B152">
        <v>45341</v>
      </c>
      <c r="C152" t="s">
        <v>1683</v>
      </c>
      <c r="D152" t="s">
        <v>31</v>
      </c>
      <c r="E152">
        <v>9</v>
      </c>
      <c r="F152">
        <v>40</v>
      </c>
      <c r="G152">
        <v>13.95</v>
      </c>
      <c r="H152" t="s">
        <v>371</v>
      </c>
      <c r="I152" t="s">
        <v>1684</v>
      </c>
      <c r="J152" t="s">
        <v>27</v>
      </c>
      <c r="K152" t="s">
        <v>21</v>
      </c>
    </row>
    <row r="153" spans="1:11" x14ac:dyDescent="0.45">
      <c r="A153" t="s">
        <v>372</v>
      </c>
      <c r="B153">
        <v>45342</v>
      </c>
      <c r="C153" t="s">
        <v>1685</v>
      </c>
      <c r="D153" t="s">
        <v>31</v>
      </c>
      <c r="E153">
        <v>6</v>
      </c>
      <c r="F153">
        <v>40</v>
      </c>
      <c r="G153">
        <v>11.41</v>
      </c>
      <c r="H153" t="s">
        <v>373</v>
      </c>
      <c r="I153" t="s">
        <v>1686</v>
      </c>
      <c r="J153" t="s">
        <v>20</v>
      </c>
      <c r="K153" t="s">
        <v>21</v>
      </c>
    </row>
    <row r="154" spans="1:11" x14ac:dyDescent="0.45">
      <c r="A154" t="s">
        <v>375</v>
      </c>
      <c r="B154">
        <v>45343</v>
      </c>
      <c r="C154" t="s">
        <v>1687</v>
      </c>
      <c r="D154" t="s">
        <v>31</v>
      </c>
      <c r="E154">
        <v>10</v>
      </c>
      <c r="F154">
        <v>40</v>
      </c>
      <c r="G154">
        <v>15.1</v>
      </c>
      <c r="H154" t="s">
        <v>185</v>
      </c>
      <c r="I154" t="s">
        <v>1534</v>
      </c>
      <c r="J154" t="s">
        <v>27</v>
      </c>
      <c r="K154" t="s">
        <v>28</v>
      </c>
    </row>
    <row r="155" spans="1:11" x14ac:dyDescent="0.45">
      <c r="A155" t="s">
        <v>376</v>
      </c>
      <c r="B155">
        <v>45343</v>
      </c>
      <c r="C155" t="s">
        <v>1688</v>
      </c>
      <c r="D155" t="s">
        <v>67</v>
      </c>
      <c r="E155">
        <v>3</v>
      </c>
      <c r="F155">
        <v>12</v>
      </c>
      <c r="G155">
        <v>4.78</v>
      </c>
      <c r="H155" t="s">
        <v>182</v>
      </c>
      <c r="I155" t="s">
        <v>1532</v>
      </c>
      <c r="J155" t="s">
        <v>27</v>
      </c>
      <c r="K155" t="s">
        <v>56</v>
      </c>
    </row>
    <row r="156" spans="1:11" x14ac:dyDescent="0.45">
      <c r="A156" t="s">
        <v>377</v>
      </c>
      <c r="B156">
        <v>45343</v>
      </c>
      <c r="C156" t="s">
        <v>1689</v>
      </c>
      <c r="D156" t="s">
        <v>50</v>
      </c>
      <c r="E156">
        <v>5</v>
      </c>
      <c r="F156">
        <v>15</v>
      </c>
      <c r="G156">
        <v>5.09</v>
      </c>
      <c r="H156" t="s">
        <v>378</v>
      </c>
      <c r="I156" t="s">
        <v>1690</v>
      </c>
      <c r="J156" t="s">
        <v>27</v>
      </c>
      <c r="K156" t="s">
        <v>56</v>
      </c>
    </row>
    <row r="157" spans="1:11" x14ac:dyDescent="0.45">
      <c r="A157" t="s">
        <v>380</v>
      </c>
      <c r="B157">
        <v>45344</v>
      </c>
      <c r="C157" t="s">
        <v>1691</v>
      </c>
      <c r="D157" t="s">
        <v>50</v>
      </c>
      <c r="E157">
        <v>5</v>
      </c>
      <c r="G157">
        <v>3.54</v>
      </c>
      <c r="H157" t="s">
        <v>256</v>
      </c>
      <c r="I157" t="s">
        <v>1587</v>
      </c>
      <c r="J157" t="s">
        <v>27</v>
      </c>
      <c r="K157" t="s">
        <v>134</v>
      </c>
    </row>
    <row r="158" spans="1:11" x14ac:dyDescent="0.45">
      <c r="A158" t="s">
        <v>381</v>
      </c>
      <c r="B158">
        <v>45345</v>
      </c>
      <c r="C158" t="s">
        <v>1692</v>
      </c>
      <c r="D158" t="s">
        <v>31</v>
      </c>
      <c r="E158">
        <v>3</v>
      </c>
      <c r="F158">
        <v>40</v>
      </c>
      <c r="G158">
        <v>13.26</v>
      </c>
      <c r="H158" t="s">
        <v>382</v>
      </c>
      <c r="I158" t="s">
        <v>1693</v>
      </c>
      <c r="J158" t="s">
        <v>27</v>
      </c>
      <c r="K158" t="s">
        <v>21</v>
      </c>
    </row>
    <row r="159" spans="1:11" x14ac:dyDescent="0.45">
      <c r="A159" t="s">
        <v>384</v>
      </c>
      <c r="B159">
        <v>45345</v>
      </c>
      <c r="C159" t="s">
        <v>1694</v>
      </c>
      <c r="D159" t="s">
        <v>31</v>
      </c>
      <c r="E159">
        <v>7</v>
      </c>
      <c r="G159">
        <v>8.94</v>
      </c>
      <c r="H159" t="s">
        <v>32</v>
      </c>
      <c r="I159" t="s">
        <v>1433</v>
      </c>
      <c r="J159" t="s">
        <v>27</v>
      </c>
      <c r="K159" t="s">
        <v>59</v>
      </c>
    </row>
    <row r="160" spans="1:11" x14ac:dyDescent="0.45">
      <c r="A160" t="s">
        <v>385</v>
      </c>
      <c r="B160">
        <v>45345</v>
      </c>
      <c r="C160" t="s">
        <v>1695</v>
      </c>
      <c r="D160" t="s">
        <v>67</v>
      </c>
      <c r="E160">
        <v>2</v>
      </c>
      <c r="F160">
        <v>12</v>
      </c>
      <c r="G160">
        <v>2.78</v>
      </c>
      <c r="H160" t="s">
        <v>232</v>
      </c>
      <c r="I160" t="s">
        <v>1568</v>
      </c>
      <c r="J160" t="s">
        <v>27</v>
      </c>
      <c r="K160" t="s">
        <v>21</v>
      </c>
    </row>
    <row r="161" spans="1:11" x14ac:dyDescent="0.45">
      <c r="A161" t="s">
        <v>386</v>
      </c>
      <c r="B161">
        <v>45345</v>
      </c>
      <c r="C161" t="s">
        <v>1696</v>
      </c>
      <c r="D161" t="s">
        <v>31</v>
      </c>
      <c r="E161">
        <v>10</v>
      </c>
      <c r="F161">
        <v>40</v>
      </c>
      <c r="G161">
        <v>9.31</v>
      </c>
      <c r="H161" t="s">
        <v>387</v>
      </c>
      <c r="I161" t="s">
        <v>1697</v>
      </c>
      <c r="J161" t="s">
        <v>27</v>
      </c>
      <c r="K161" t="s">
        <v>34</v>
      </c>
    </row>
    <row r="162" spans="1:11" x14ac:dyDescent="0.45">
      <c r="A162" t="s">
        <v>388</v>
      </c>
      <c r="B162">
        <v>45346</v>
      </c>
      <c r="C162" t="s">
        <v>1698</v>
      </c>
      <c r="D162" t="s">
        <v>50</v>
      </c>
      <c r="E162">
        <v>1</v>
      </c>
      <c r="F162">
        <v>15</v>
      </c>
      <c r="G162">
        <v>4.33</v>
      </c>
      <c r="H162" t="s">
        <v>389</v>
      </c>
      <c r="I162" t="s">
        <v>1699</v>
      </c>
      <c r="J162" t="s">
        <v>27</v>
      </c>
      <c r="K162" t="s">
        <v>43</v>
      </c>
    </row>
    <row r="163" spans="1:11" x14ac:dyDescent="0.45">
      <c r="A163" t="s">
        <v>391</v>
      </c>
      <c r="B163">
        <v>45346</v>
      </c>
      <c r="C163" t="s">
        <v>1700</v>
      </c>
      <c r="D163" t="s">
        <v>31</v>
      </c>
      <c r="E163">
        <v>10</v>
      </c>
      <c r="F163">
        <v>40</v>
      </c>
      <c r="G163">
        <v>9.86</v>
      </c>
      <c r="H163" t="s">
        <v>232</v>
      </c>
      <c r="I163" t="s">
        <v>1568</v>
      </c>
      <c r="J163" t="s">
        <v>20</v>
      </c>
      <c r="K163" t="s">
        <v>134</v>
      </c>
    </row>
    <row r="164" spans="1:11" x14ac:dyDescent="0.45">
      <c r="A164" t="s">
        <v>392</v>
      </c>
      <c r="B164">
        <v>45346</v>
      </c>
      <c r="C164" t="s">
        <v>1701</v>
      </c>
      <c r="D164" t="s">
        <v>67</v>
      </c>
      <c r="E164">
        <v>8</v>
      </c>
      <c r="F164">
        <v>12</v>
      </c>
      <c r="G164">
        <v>4.18</v>
      </c>
      <c r="H164" t="s">
        <v>348</v>
      </c>
      <c r="I164" t="s">
        <v>1665</v>
      </c>
      <c r="J164" t="s">
        <v>42</v>
      </c>
      <c r="K164" t="s">
        <v>59</v>
      </c>
    </row>
    <row r="165" spans="1:11" x14ac:dyDescent="0.45">
      <c r="A165" t="s">
        <v>393</v>
      </c>
      <c r="B165">
        <v>45347</v>
      </c>
      <c r="C165" t="s">
        <v>1702</v>
      </c>
      <c r="D165" t="s">
        <v>31</v>
      </c>
      <c r="E165">
        <v>7</v>
      </c>
      <c r="F165">
        <v>40</v>
      </c>
      <c r="G165">
        <v>8.01</v>
      </c>
      <c r="H165" t="s">
        <v>114</v>
      </c>
      <c r="I165" t="s">
        <v>1482</v>
      </c>
      <c r="J165" t="s">
        <v>20</v>
      </c>
      <c r="K165" t="s">
        <v>56</v>
      </c>
    </row>
    <row r="166" spans="1:11" x14ac:dyDescent="0.45">
      <c r="A166" t="s">
        <v>394</v>
      </c>
      <c r="B166">
        <v>45347</v>
      </c>
      <c r="C166" t="s">
        <v>1703</v>
      </c>
      <c r="D166" t="s">
        <v>17</v>
      </c>
      <c r="E166">
        <v>8</v>
      </c>
      <c r="F166">
        <v>10</v>
      </c>
      <c r="G166">
        <v>2.31</v>
      </c>
      <c r="H166" t="s">
        <v>254</v>
      </c>
      <c r="I166" t="s">
        <v>1585</v>
      </c>
      <c r="J166" t="s">
        <v>47</v>
      </c>
      <c r="K166" t="s">
        <v>34</v>
      </c>
    </row>
    <row r="167" spans="1:11" x14ac:dyDescent="0.45">
      <c r="A167" t="s">
        <v>395</v>
      </c>
      <c r="B167">
        <v>45347</v>
      </c>
      <c r="C167" t="s">
        <v>1704</v>
      </c>
      <c r="D167" t="s">
        <v>50</v>
      </c>
      <c r="E167">
        <v>9</v>
      </c>
      <c r="F167">
        <v>15</v>
      </c>
      <c r="G167">
        <v>3.27</v>
      </c>
      <c r="H167" t="s">
        <v>72</v>
      </c>
      <c r="I167" t="s">
        <v>1453</v>
      </c>
      <c r="J167" t="s">
        <v>20</v>
      </c>
      <c r="K167" t="s">
        <v>56</v>
      </c>
    </row>
    <row r="168" spans="1:11" x14ac:dyDescent="0.45">
      <c r="A168" t="s">
        <v>396</v>
      </c>
      <c r="B168">
        <v>45347</v>
      </c>
      <c r="C168" t="s">
        <v>1705</v>
      </c>
      <c r="D168" t="s">
        <v>31</v>
      </c>
      <c r="E168">
        <v>8</v>
      </c>
      <c r="F168">
        <v>40</v>
      </c>
      <c r="G168">
        <v>15.81</v>
      </c>
      <c r="H168" t="s">
        <v>397</v>
      </c>
      <c r="I168" t="s">
        <v>1706</v>
      </c>
      <c r="J168" t="s">
        <v>20</v>
      </c>
      <c r="K168" t="s">
        <v>38</v>
      </c>
    </row>
    <row r="169" spans="1:11" x14ac:dyDescent="0.45">
      <c r="A169" t="s">
        <v>398</v>
      </c>
      <c r="B169">
        <v>45348</v>
      </c>
      <c r="C169" t="s">
        <v>1707</v>
      </c>
      <c r="D169" t="s">
        <v>31</v>
      </c>
      <c r="E169">
        <v>7</v>
      </c>
      <c r="F169">
        <v>40</v>
      </c>
      <c r="G169">
        <v>9.9700000000000006</v>
      </c>
      <c r="H169" t="s">
        <v>136</v>
      </c>
      <c r="I169" t="s">
        <v>1497</v>
      </c>
      <c r="J169" t="s">
        <v>27</v>
      </c>
      <c r="K169" t="s">
        <v>38</v>
      </c>
    </row>
    <row r="170" spans="1:11" x14ac:dyDescent="0.45">
      <c r="A170" t="s">
        <v>399</v>
      </c>
      <c r="B170">
        <v>45348</v>
      </c>
      <c r="C170" t="s">
        <v>1708</v>
      </c>
      <c r="D170" t="s">
        <v>24</v>
      </c>
      <c r="E170">
        <v>3</v>
      </c>
      <c r="F170">
        <v>25</v>
      </c>
      <c r="G170">
        <v>5.54</v>
      </c>
      <c r="H170" t="s">
        <v>368</v>
      </c>
      <c r="I170" t="s">
        <v>1682</v>
      </c>
      <c r="J170" t="s">
        <v>20</v>
      </c>
      <c r="K170" t="s">
        <v>70</v>
      </c>
    </row>
    <row r="171" spans="1:11" x14ac:dyDescent="0.45">
      <c r="A171" t="s">
        <v>400</v>
      </c>
      <c r="B171">
        <v>45348</v>
      </c>
      <c r="C171" t="s">
        <v>1709</v>
      </c>
      <c r="D171" t="s">
        <v>50</v>
      </c>
      <c r="E171">
        <v>6</v>
      </c>
      <c r="F171">
        <v>15</v>
      </c>
      <c r="G171">
        <v>3.31</v>
      </c>
      <c r="H171" t="s">
        <v>387</v>
      </c>
      <c r="I171" t="s">
        <v>1697</v>
      </c>
      <c r="J171" t="s">
        <v>42</v>
      </c>
      <c r="K171" t="s">
        <v>70</v>
      </c>
    </row>
    <row r="172" spans="1:11" x14ac:dyDescent="0.45">
      <c r="A172" t="s">
        <v>401</v>
      </c>
      <c r="B172">
        <v>45348</v>
      </c>
      <c r="C172" t="s">
        <v>1710</v>
      </c>
      <c r="D172" t="s">
        <v>17</v>
      </c>
      <c r="E172">
        <v>10</v>
      </c>
      <c r="F172">
        <v>10</v>
      </c>
      <c r="G172">
        <v>2.98</v>
      </c>
      <c r="H172" t="s">
        <v>402</v>
      </c>
      <c r="I172" t="s">
        <v>1711</v>
      </c>
      <c r="J172" t="s">
        <v>27</v>
      </c>
      <c r="K172" t="s">
        <v>34</v>
      </c>
    </row>
    <row r="173" spans="1:11" x14ac:dyDescent="0.45">
      <c r="A173" t="s">
        <v>404</v>
      </c>
      <c r="B173">
        <v>45349</v>
      </c>
      <c r="C173" t="s">
        <v>1712</v>
      </c>
      <c r="D173" t="s">
        <v>24</v>
      </c>
      <c r="E173">
        <v>10</v>
      </c>
      <c r="F173">
        <v>25</v>
      </c>
      <c r="G173">
        <v>6.26</v>
      </c>
      <c r="H173" t="s">
        <v>405</v>
      </c>
      <c r="I173" t="s">
        <v>1713</v>
      </c>
      <c r="J173" t="s">
        <v>27</v>
      </c>
      <c r="K173" t="s">
        <v>134</v>
      </c>
    </row>
    <row r="174" spans="1:11" x14ac:dyDescent="0.45">
      <c r="A174" t="s">
        <v>406</v>
      </c>
      <c r="B174">
        <v>45349</v>
      </c>
      <c r="C174" t="s">
        <v>1714</v>
      </c>
      <c r="D174" t="s">
        <v>31</v>
      </c>
      <c r="E174">
        <v>5</v>
      </c>
      <c r="F174">
        <v>40</v>
      </c>
      <c r="G174">
        <v>15.18</v>
      </c>
      <c r="H174" t="s">
        <v>82</v>
      </c>
      <c r="I174" t="s">
        <v>1459</v>
      </c>
      <c r="J174" t="s">
        <v>20</v>
      </c>
      <c r="K174" t="s">
        <v>38</v>
      </c>
    </row>
    <row r="175" spans="1:11" x14ac:dyDescent="0.45">
      <c r="A175" t="s">
        <v>407</v>
      </c>
      <c r="B175">
        <v>45349</v>
      </c>
      <c r="C175" t="s">
        <v>1715</v>
      </c>
      <c r="D175" t="s">
        <v>31</v>
      </c>
      <c r="E175">
        <v>1</v>
      </c>
      <c r="F175">
        <v>40</v>
      </c>
      <c r="G175">
        <v>9.3699999999999992</v>
      </c>
      <c r="H175" t="s">
        <v>235</v>
      </c>
      <c r="I175" t="s">
        <v>1571</v>
      </c>
      <c r="J175" t="s">
        <v>20</v>
      </c>
      <c r="K175" t="s">
        <v>56</v>
      </c>
    </row>
    <row r="176" spans="1:11" x14ac:dyDescent="0.45">
      <c r="A176" t="s">
        <v>408</v>
      </c>
      <c r="B176">
        <v>45349</v>
      </c>
      <c r="C176" t="s">
        <v>1716</v>
      </c>
      <c r="D176" t="s">
        <v>24</v>
      </c>
      <c r="E176">
        <v>5</v>
      </c>
      <c r="F176">
        <v>25</v>
      </c>
      <c r="G176">
        <v>6.89</v>
      </c>
      <c r="H176" t="s">
        <v>409</v>
      </c>
      <c r="I176" t="s">
        <v>1717</v>
      </c>
      <c r="J176" t="s">
        <v>20</v>
      </c>
      <c r="K176" t="s">
        <v>70</v>
      </c>
    </row>
    <row r="177" spans="1:11" x14ac:dyDescent="0.45">
      <c r="A177" t="s">
        <v>410</v>
      </c>
      <c r="B177">
        <v>45349</v>
      </c>
      <c r="C177" t="s">
        <v>1718</v>
      </c>
      <c r="D177" t="s">
        <v>31</v>
      </c>
      <c r="E177">
        <v>10</v>
      </c>
      <c r="F177">
        <v>40</v>
      </c>
      <c r="G177">
        <v>11.7</v>
      </c>
      <c r="H177" t="s">
        <v>411</v>
      </c>
      <c r="I177" t="s">
        <v>1719</v>
      </c>
      <c r="J177" t="s">
        <v>42</v>
      </c>
      <c r="K177" t="s">
        <v>74</v>
      </c>
    </row>
    <row r="178" spans="1:11" x14ac:dyDescent="0.45">
      <c r="A178" t="s">
        <v>412</v>
      </c>
      <c r="B178">
        <v>45351</v>
      </c>
      <c r="C178" t="s">
        <v>1720</v>
      </c>
      <c r="D178" t="s">
        <v>24</v>
      </c>
      <c r="E178">
        <v>2</v>
      </c>
      <c r="F178">
        <v>25</v>
      </c>
      <c r="G178">
        <v>7.19</v>
      </c>
      <c r="H178" t="s">
        <v>361</v>
      </c>
      <c r="I178" t="s">
        <v>1675</v>
      </c>
      <c r="J178" t="s">
        <v>27</v>
      </c>
      <c r="K178" t="s">
        <v>56</v>
      </c>
    </row>
    <row r="179" spans="1:11" x14ac:dyDescent="0.45">
      <c r="A179" t="s">
        <v>413</v>
      </c>
      <c r="B179">
        <v>45352</v>
      </c>
      <c r="C179" t="s">
        <v>1721</v>
      </c>
      <c r="D179" t="s">
        <v>17</v>
      </c>
      <c r="E179">
        <v>8</v>
      </c>
      <c r="F179">
        <v>10</v>
      </c>
      <c r="G179">
        <v>3.89</v>
      </c>
      <c r="H179" t="s">
        <v>414</v>
      </c>
      <c r="I179" t="s">
        <v>1722</v>
      </c>
      <c r="J179" t="s">
        <v>20</v>
      </c>
      <c r="K179" t="s">
        <v>38</v>
      </c>
    </row>
    <row r="180" spans="1:11" x14ac:dyDescent="0.45">
      <c r="A180" t="s">
        <v>415</v>
      </c>
      <c r="B180">
        <v>45352</v>
      </c>
      <c r="C180" t="s">
        <v>1723</v>
      </c>
      <c r="D180" t="s">
        <v>24</v>
      </c>
      <c r="E180">
        <v>2</v>
      </c>
      <c r="F180">
        <v>25</v>
      </c>
      <c r="G180">
        <v>5.81</v>
      </c>
      <c r="H180" t="s">
        <v>416</v>
      </c>
      <c r="I180" t="s">
        <v>1724</v>
      </c>
      <c r="J180" t="s">
        <v>27</v>
      </c>
      <c r="K180" t="s">
        <v>59</v>
      </c>
    </row>
    <row r="181" spans="1:11" x14ac:dyDescent="0.45">
      <c r="A181" t="s">
        <v>417</v>
      </c>
      <c r="B181">
        <v>45353</v>
      </c>
      <c r="C181" t="s">
        <v>1725</v>
      </c>
      <c r="D181" t="s">
        <v>50</v>
      </c>
      <c r="E181">
        <v>5</v>
      </c>
      <c r="G181">
        <v>4.7</v>
      </c>
      <c r="H181" t="s">
        <v>418</v>
      </c>
      <c r="I181" t="s">
        <v>1726</v>
      </c>
      <c r="J181" t="s">
        <v>20</v>
      </c>
      <c r="K181" t="s">
        <v>43</v>
      </c>
    </row>
    <row r="182" spans="1:11" x14ac:dyDescent="0.45">
      <c r="A182" t="s">
        <v>419</v>
      </c>
      <c r="B182">
        <v>45353</v>
      </c>
      <c r="C182" t="s">
        <v>1727</v>
      </c>
      <c r="D182" t="s">
        <v>31</v>
      </c>
      <c r="E182">
        <v>9</v>
      </c>
      <c r="F182">
        <v>40</v>
      </c>
      <c r="G182">
        <v>9.41</v>
      </c>
      <c r="H182" t="s">
        <v>420</v>
      </c>
      <c r="I182" t="s">
        <v>1728</v>
      </c>
      <c r="J182" t="s">
        <v>47</v>
      </c>
      <c r="K182" t="s">
        <v>56</v>
      </c>
    </row>
    <row r="183" spans="1:11" x14ac:dyDescent="0.45">
      <c r="A183" t="s">
        <v>421</v>
      </c>
      <c r="B183">
        <v>45353</v>
      </c>
      <c r="C183" t="s">
        <v>1729</v>
      </c>
      <c r="D183" t="s">
        <v>50</v>
      </c>
      <c r="E183">
        <v>4</v>
      </c>
      <c r="F183">
        <v>15</v>
      </c>
      <c r="G183">
        <v>4.91</v>
      </c>
      <c r="H183" t="s">
        <v>89</v>
      </c>
      <c r="I183" t="s">
        <v>1464</v>
      </c>
      <c r="J183" t="s">
        <v>42</v>
      </c>
      <c r="K183" t="s">
        <v>56</v>
      </c>
    </row>
    <row r="184" spans="1:11" x14ac:dyDescent="0.45">
      <c r="A184" t="s">
        <v>422</v>
      </c>
      <c r="B184">
        <v>45353</v>
      </c>
      <c r="C184" t="s">
        <v>1730</v>
      </c>
      <c r="D184" t="s">
        <v>50</v>
      </c>
      <c r="E184">
        <v>8</v>
      </c>
      <c r="F184">
        <v>15</v>
      </c>
      <c r="G184">
        <v>3.02</v>
      </c>
      <c r="H184" t="s">
        <v>99</v>
      </c>
      <c r="I184" t="s">
        <v>1471</v>
      </c>
      <c r="J184" t="s">
        <v>27</v>
      </c>
      <c r="K184" t="s">
        <v>74</v>
      </c>
    </row>
    <row r="185" spans="1:11" x14ac:dyDescent="0.45">
      <c r="A185" t="s">
        <v>423</v>
      </c>
      <c r="B185">
        <v>45353</v>
      </c>
      <c r="C185" t="s">
        <v>1731</v>
      </c>
      <c r="D185" t="s">
        <v>24</v>
      </c>
      <c r="E185">
        <v>1</v>
      </c>
      <c r="F185">
        <v>25</v>
      </c>
      <c r="G185">
        <v>5.23</v>
      </c>
      <c r="H185" t="s">
        <v>424</v>
      </c>
      <c r="I185" t="s">
        <v>1732</v>
      </c>
      <c r="J185" t="s">
        <v>27</v>
      </c>
      <c r="K185" t="s">
        <v>43</v>
      </c>
    </row>
    <row r="186" spans="1:11" x14ac:dyDescent="0.45">
      <c r="A186" t="s">
        <v>425</v>
      </c>
      <c r="B186">
        <v>45354</v>
      </c>
      <c r="C186" t="s">
        <v>1733</v>
      </c>
      <c r="D186" t="s">
        <v>24</v>
      </c>
      <c r="E186">
        <v>8</v>
      </c>
      <c r="F186">
        <v>25</v>
      </c>
      <c r="G186">
        <v>6.86</v>
      </c>
      <c r="H186" t="s">
        <v>411</v>
      </c>
      <c r="I186" t="s">
        <v>1719</v>
      </c>
      <c r="J186" t="s">
        <v>47</v>
      </c>
      <c r="K186" t="s">
        <v>134</v>
      </c>
    </row>
    <row r="187" spans="1:11" x14ac:dyDescent="0.45">
      <c r="A187" t="s">
        <v>426</v>
      </c>
      <c r="B187">
        <v>45354</v>
      </c>
      <c r="C187" t="s">
        <v>1734</v>
      </c>
      <c r="D187" t="s">
        <v>50</v>
      </c>
      <c r="E187">
        <v>1</v>
      </c>
      <c r="F187">
        <v>15</v>
      </c>
      <c r="G187">
        <v>3.91</v>
      </c>
      <c r="H187" t="s">
        <v>185</v>
      </c>
      <c r="I187" t="s">
        <v>1534</v>
      </c>
      <c r="J187" t="s">
        <v>20</v>
      </c>
      <c r="K187" t="s">
        <v>43</v>
      </c>
    </row>
    <row r="188" spans="1:11" x14ac:dyDescent="0.45">
      <c r="A188" t="s">
        <v>427</v>
      </c>
      <c r="B188">
        <v>45354</v>
      </c>
      <c r="C188" t="s">
        <v>1735</v>
      </c>
      <c r="D188" t="s">
        <v>31</v>
      </c>
      <c r="E188">
        <v>8</v>
      </c>
      <c r="G188">
        <v>14.99</v>
      </c>
      <c r="H188" t="s">
        <v>428</v>
      </c>
      <c r="I188" t="s">
        <v>1736</v>
      </c>
      <c r="J188" t="s">
        <v>27</v>
      </c>
      <c r="K188" t="s">
        <v>59</v>
      </c>
    </row>
    <row r="189" spans="1:11" x14ac:dyDescent="0.45">
      <c r="A189" t="s">
        <v>430</v>
      </c>
      <c r="B189">
        <v>45355</v>
      </c>
      <c r="C189" t="s">
        <v>1737</v>
      </c>
      <c r="D189" t="s">
        <v>50</v>
      </c>
      <c r="E189">
        <v>3</v>
      </c>
      <c r="F189">
        <v>15</v>
      </c>
      <c r="G189">
        <v>3.87</v>
      </c>
      <c r="H189" t="s">
        <v>238</v>
      </c>
      <c r="I189" t="s">
        <v>1573</v>
      </c>
      <c r="J189" t="s">
        <v>27</v>
      </c>
      <c r="K189" t="s">
        <v>28</v>
      </c>
    </row>
    <row r="190" spans="1:11" x14ac:dyDescent="0.45">
      <c r="A190" t="s">
        <v>431</v>
      </c>
      <c r="B190">
        <v>45355</v>
      </c>
      <c r="C190" t="s">
        <v>1738</v>
      </c>
      <c r="D190" t="s">
        <v>67</v>
      </c>
      <c r="E190">
        <v>5</v>
      </c>
      <c r="F190">
        <v>12</v>
      </c>
      <c r="G190">
        <v>2.98</v>
      </c>
      <c r="H190" t="s">
        <v>89</v>
      </c>
      <c r="I190" t="s">
        <v>1464</v>
      </c>
      <c r="J190" t="s">
        <v>27</v>
      </c>
      <c r="K190" t="s">
        <v>56</v>
      </c>
    </row>
    <row r="191" spans="1:11" x14ac:dyDescent="0.45">
      <c r="A191" t="s">
        <v>432</v>
      </c>
      <c r="B191">
        <v>45355</v>
      </c>
      <c r="C191" t="s">
        <v>1739</v>
      </c>
      <c r="D191" t="s">
        <v>67</v>
      </c>
      <c r="E191">
        <v>1</v>
      </c>
      <c r="F191">
        <v>12</v>
      </c>
      <c r="G191">
        <v>3.44</v>
      </c>
      <c r="H191" t="s">
        <v>213</v>
      </c>
      <c r="I191" t="s">
        <v>1553</v>
      </c>
      <c r="J191" t="s">
        <v>20</v>
      </c>
      <c r="K191" t="s">
        <v>56</v>
      </c>
    </row>
    <row r="192" spans="1:11" x14ac:dyDescent="0.45">
      <c r="A192" t="s">
        <v>433</v>
      </c>
      <c r="B192">
        <v>45356</v>
      </c>
      <c r="C192" t="s">
        <v>1740</v>
      </c>
      <c r="D192" t="s">
        <v>50</v>
      </c>
      <c r="E192">
        <v>7</v>
      </c>
      <c r="F192">
        <v>15</v>
      </c>
      <c r="G192">
        <v>5.35</v>
      </c>
      <c r="H192" t="s">
        <v>434</v>
      </c>
      <c r="I192" t="s">
        <v>1741</v>
      </c>
      <c r="J192" t="s">
        <v>27</v>
      </c>
      <c r="K192" t="s">
        <v>21</v>
      </c>
    </row>
    <row r="193" spans="1:11" x14ac:dyDescent="0.45">
      <c r="A193" t="s">
        <v>435</v>
      </c>
      <c r="B193">
        <v>45357</v>
      </c>
      <c r="C193" t="s">
        <v>1742</v>
      </c>
      <c r="D193" t="s">
        <v>50</v>
      </c>
      <c r="E193">
        <v>7</v>
      </c>
      <c r="F193">
        <v>15</v>
      </c>
      <c r="G193">
        <v>5.0999999999999996</v>
      </c>
      <c r="H193" t="s">
        <v>436</v>
      </c>
      <c r="I193" t="s">
        <v>1743</v>
      </c>
      <c r="J193" t="s">
        <v>27</v>
      </c>
      <c r="K193" t="s">
        <v>43</v>
      </c>
    </row>
    <row r="194" spans="1:11" x14ac:dyDescent="0.45">
      <c r="A194" t="s">
        <v>438</v>
      </c>
      <c r="B194">
        <v>45357</v>
      </c>
      <c r="C194" t="s">
        <v>1744</v>
      </c>
      <c r="D194" t="s">
        <v>67</v>
      </c>
      <c r="E194">
        <v>2</v>
      </c>
      <c r="F194">
        <v>12</v>
      </c>
      <c r="G194">
        <v>4.1100000000000003</v>
      </c>
      <c r="H194" t="s">
        <v>439</v>
      </c>
      <c r="I194" t="s">
        <v>1745</v>
      </c>
      <c r="J194" t="s">
        <v>20</v>
      </c>
      <c r="K194" t="s">
        <v>28</v>
      </c>
    </row>
    <row r="195" spans="1:11" x14ac:dyDescent="0.45">
      <c r="A195" t="s">
        <v>441</v>
      </c>
      <c r="B195">
        <v>45357</v>
      </c>
      <c r="C195" t="s">
        <v>1746</v>
      </c>
      <c r="D195" t="s">
        <v>17</v>
      </c>
      <c r="E195">
        <v>3</v>
      </c>
      <c r="F195">
        <v>10</v>
      </c>
      <c r="G195">
        <v>3.11</v>
      </c>
      <c r="H195" t="s">
        <v>235</v>
      </c>
      <c r="I195" t="s">
        <v>1571</v>
      </c>
      <c r="J195" t="s">
        <v>27</v>
      </c>
      <c r="K195" t="s">
        <v>28</v>
      </c>
    </row>
    <row r="196" spans="1:11" x14ac:dyDescent="0.45">
      <c r="A196" t="s">
        <v>442</v>
      </c>
      <c r="B196">
        <v>45357</v>
      </c>
      <c r="C196" t="s">
        <v>1747</v>
      </c>
      <c r="D196" t="s">
        <v>17</v>
      </c>
      <c r="E196">
        <v>5</v>
      </c>
      <c r="F196">
        <v>10</v>
      </c>
      <c r="G196">
        <v>2.19</v>
      </c>
      <c r="H196" t="s">
        <v>443</v>
      </c>
      <c r="I196" t="s">
        <v>1748</v>
      </c>
      <c r="J196" t="s">
        <v>47</v>
      </c>
      <c r="K196" t="s">
        <v>43</v>
      </c>
    </row>
    <row r="197" spans="1:11" x14ac:dyDescent="0.45">
      <c r="A197" t="s">
        <v>445</v>
      </c>
      <c r="B197">
        <v>45357</v>
      </c>
      <c r="C197" t="s">
        <v>1749</v>
      </c>
      <c r="D197" t="s">
        <v>67</v>
      </c>
      <c r="E197">
        <v>7</v>
      </c>
      <c r="F197">
        <v>12</v>
      </c>
      <c r="G197">
        <v>3.6</v>
      </c>
      <c r="H197" t="s">
        <v>263</v>
      </c>
      <c r="I197" t="s">
        <v>1592</v>
      </c>
      <c r="J197" t="s">
        <v>20</v>
      </c>
      <c r="K197" t="s">
        <v>28</v>
      </c>
    </row>
    <row r="198" spans="1:11" x14ac:dyDescent="0.45">
      <c r="A198" t="s">
        <v>446</v>
      </c>
      <c r="B198">
        <v>45357</v>
      </c>
      <c r="C198" t="s">
        <v>1750</v>
      </c>
      <c r="D198" t="s">
        <v>17</v>
      </c>
      <c r="E198">
        <v>2</v>
      </c>
      <c r="F198">
        <v>10</v>
      </c>
      <c r="G198">
        <v>3.92</v>
      </c>
      <c r="H198" t="s">
        <v>139</v>
      </c>
      <c r="I198" t="s">
        <v>1499</v>
      </c>
      <c r="J198" t="s">
        <v>27</v>
      </c>
      <c r="K198" t="s">
        <v>134</v>
      </c>
    </row>
    <row r="199" spans="1:11" x14ac:dyDescent="0.45">
      <c r="A199" t="s">
        <v>447</v>
      </c>
      <c r="B199">
        <v>45357</v>
      </c>
      <c r="C199" t="s">
        <v>1751</v>
      </c>
      <c r="D199" t="s">
        <v>24</v>
      </c>
      <c r="E199">
        <v>10</v>
      </c>
      <c r="F199">
        <v>25</v>
      </c>
      <c r="G199">
        <v>6.02</v>
      </c>
      <c r="H199" t="s">
        <v>324</v>
      </c>
      <c r="I199" t="s">
        <v>1643</v>
      </c>
      <c r="J199" t="s">
        <v>42</v>
      </c>
      <c r="K199" t="s">
        <v>56</v>
      </c>
    </row>
    <row r="200" spans="1:11" x14ac:dyDescent="0.45">
      <c r="A200" t="s">
        <v>448</v>
      </c>
      <c r="B200">
        <v>45358</v>
      </c>
      <c r="C200" t="s">
        <v>1752</v>
      </c>
      <c r="D200" t="s">
        <v>24</v>
      </c>
      <c r="E200">
        <v>2</v>
      </c>
      <c r="G200">
        <v>5.62</v>
      </c>
      <c r="H200" t="s">
        <v>449</v>
      </c>
      <c r="I200" t="s">
        <v>1753</v>
      </c>
      <c r="J200" t="s">
        <v>20</v>
      </c>
      <c r="K200" t="s">
        <v>21</v>
      </c>
    </row>
    <row r="201" spans="1:11" x14ac:dyDescent="0.45">
      <c r="A201" t="s">
        <v>451</v>
      </c>
      <c r="B201">
        <v>45358</v>
      </c>
      <c r="C201" t="s">
        <v>1754</v>
      </c>
      <c r="D201" t="s">
        <v>67</v>
      </c>
      <c r="E201">
        <v>7</v>
      </c>
      <c r="F201">
        <v>12</v>
      </c>
      <c r="G201">
        <v>4.74</v>
      </c>
      <c r="H201" t="s">
        <v>251</v>
      </c>
      <c r="I201" t="s">
        <v>1583</v>
      </c>
      <c r="J201" t="s">
        <v>20</v>
      </c>
      <c r="K201" t="s">
        <v>134</v>
      </c>
    </row>
    <row r="202" spans="1:11" x14ac:dyDescent="0.45">
      <c r="A202" t="s">
        <v>452</v>
      </c>
      <c r="B202">
        <v>45359</v>
      </c>
      <c r="C202" t="s">
        <v>1755</v>
      </c>
      <c r="D202" t="s">
        <v>24</v>
      </c>
      <c r="E202">
        <v>3</v>
      </c>
      <c r="F202">
        <v>25</v>
      </c>
      <c r="G202">
        <v>8.43</v>
      </c>
      <c r="H202" t="s">
        <v>453</v>
      </c>
      <c r="I202" t="s">
        <v>1756</v>
      </c>
      <c r="J202" t="s">
        <v>20</v>
      </c>
      <c r="K202" t="s">
        <v>34</v>
      </c>
    </row>
    <row r="203" spans="1:11" x14ac:dyDescent="0.45">
      <c r="A203" t="s">
        <v>455</v>
      </c>
      <c r="B203">
        <v>45359</v>
      </c>
      <c r="C203" t="s">
        <v>1757</v>
      </c>
      <c r="D203" t="s">
        <v>31</v>
      </c>
      <c r="E203">
        <v>10</v>
      </c>
      <c r="F203">
        <v>40</v>
      </c>
      <c r="G203">
        <v>14.31</v>
      </c>
      <c r="H203" t="s">
        <v>382</v>
      </c>
      <c r="I203" t="s">
        <v>1693</v>
      </c>
      <c r="J203" t="s">
        <v>27</v>
      </c>
      <c r="K203" t="s">
        <v>38</v>
      </c>
    </row>
    <row r="204" spans="1:11" x14ac:dyDescent="0.45">
      <c r="A204" t="s">
        <v>456</v>
      </c>
      <c r="B204">
        <v>45359</v>
      </c>
      <c r="C204" t="s">
        <v>1758</v>
      </c>
      <c r="D204" t="s">
        <v>17</v>
      </c>
      <c r="E204">
        <v>9</v>
      </c>
      <c r="F204">
        <v>10</v>
      </c>
      <c r="G204">
        <v>2.67</v>
      </c>
      <c r="H204" t="s">
        <v>457</v>
      </c>
      <c r="I204" t="s">
        <v>1759</v>
      </c>
      <c r="J204" t="s">
        <v>20</v>
      </c>
      <c r="K204" t="s">
        <v>74</v>
      </c>
    </row>
    <row r="205" spans="1:11" x14ac:dyDescent="0.45">
      <c r="A205" t="s">
        <v>459</v>
      </c>
      <c r="B205">
        <v>45359</v>
      </c>
      <c r="C205" t="s">
        <v>1760</v>
      </c>
      <c r="D205" t="s">
        <v>67</v>
      </c>
      <c r="E205">
        <v>4</v>
      </c>
      <c r="F205">
        <v>12</v>
      </c>
      <c r="G205">
        <v>2.87</v>
      </c>
      <c r="H205" t="s">
        <v>108</v>
      </c>
      <c r="I205" t="s">
        <v>1478</v>
      </c>
      <c r="J205" t="s">
        <v>27</v>
      </c>
      <c r="K205" t="s">
        <v>21</v>
      </c>
    </row>
    <row r="206" spans="1:11" x14ac:dyDescent="0.45">
      <c r="A206" t="s">
        <v>460</v>
      </c>
      <c r="B206">
        <v>45359</v>
      </c>
      <c r="C206" t="s">
        <v>1761</v>
      </c>
      <c r="D206" t="s">
        <v>24</v>
      </c>
      <c r="E206">
        <v>10</v>
      </c>
      <c r="G206">
        <v>8.3699999999999992</v>
      </c>
      <c r="H206" t="s">
        <v>89</v>
      </c>
      <c r="I206" t="s">
        <v>1464</v>
      </c>
      <c r="J206" t="s">
        <v>27</v>
      </c>
      <c r="K206" t="s">
        <v>70</v>
      </c>
    </row>
    <row r="207" spans="1:11" x14ac:dyDescent="0.45">
      <c r="A207" t="s">
        <v>461</v>
      </c>
      <c r="B207">
        <v>45359</v>
      </c>
      <c r="C207" t="s">
        <v>1762</v>
      </c>
      <c r="D207" t="s">
        <v>31</v>
      </c>
      <c r="E207">
        <v>4</v>
      </c>
      <c r="F207">
        <v>40</v>
      </c>
      <c r="G207">
        <v>12.92</v>
      </c>
      <c r="H207" t="s">
        <v>361</v>
      </c>
      <c r="I207" t="s">
        <v>1675</v>
      </c>
      <c r="J207" t="s">
        <v>27</v>
      </c>
      <c r="K207" t="s">
        <v>34</v>
      </c>
    </row>
    <row r="208" spans="1:11" x14ac:dyDescent="0.45">
      <c r="A208" t="s">
        <v>462</v>
      </c>
      <c r="B208">
        <v>45360</v>
      </c>
      <c r="C208" t="s">
        <v>1763</v>
      </c>
      <c r="D208" t="s">
        <v>17</v>
      </c>
      <c r="E208">
        <v>6</v>
      </c>
      <c r="F208">
        <v>10</v>
      </c>
      <c r="G208">
        <v>3.16</v>
      </c>
      <c r="H208" t="s">
        <v>313</v>
      </c>
      <c r="I208" t="s">
        <v>1635</v>
      </c>
      <c r="J208" t="s">
        <v>27</v>
      </c>
      <c r="K208" t="s">
        <v>74</v>
      </c>
    </row>
    <row r="209" spans="1:11" x14ac:dyDescent="0.45">
      <c r="A209" t="s">
        <v>463</v>
      </c>
      <c r="B209">
        <v>45360</v>
      </c>
      <c r="C209" t="s">
        <v>1764</v>
      </c>
      <c r="D209" t="s">
        <v>17</v>
      </c>
      <c r="E209">
        <v>9</v>
      </c>
      <c r="F209">
        <v>10</v>
      </c>
      <c r="G209">
        <v>2.2999999999999998</v>
      </c>
      <c r="H209" t="s">
        <v>389</v>
      </c>
      <c r="I209" t="s">
        <v>1699</v>
      </c>
      <c r="J209" t="s">
        <v>27</v>
      </c>
      <c r="K209" t="s">
        <v>21</v>
      </c>
    </row>
    <row r="210" spans="1:11" x14ac:dyDescent="0.45">
      <c r="A210" t="s">
        <v>464</v>
      </c>
      <c r="B210">
        <v>45360</v>
      </c>
      <c r="C210" t="s">
        <v>1765</v>
      </c>
      <c r="D210" t="s">
        <v>24</v>
      </c>
      <c r="E210">
        <v>1</v>
      </c>
      <c r="F210">
        <v>25</v>
      </c>
      <c r="G210">
        <v>8.83</v>
      </c>
      <c r="H210" t="s">
        <v>111</v>
      </c>
      <c r="I210" t="s">
        <v>1480</v>
      </c>
      <c r="J210" t="s">
        <v>27</v>
      </c>
      <c r="K210" t="s">
        <v>34</v>
      </c>
    </row>
    <row r="211" spans="1:11" x14ac:dyDescent="0.45">
      <c r="A211" t="s">
        <v>465</v>
      </c>
      <c r="B211">
        <v>45361</v>
      </c>
      <c r="C211" t="s">
        <v>1766</v>
      </c>
      <c r="D211" t="s">
        <v>50</v>
      </c>
      <c r="E211">
        <v>9</v>
      </c>
      <c r="F211">
        <v>15</v>
      </c>
      <c r="G211">
        <v>5.95</v>
      </c>
      <c r="H211" t="s">
        <v>409</v>
      </c>
      <c r="I211" t="s">
        <v>1717</v>
      </c>
      <c r="J211" t="s">
        <v>20</v>
      </c>
      <c r="K211" t="s">
        <v>21</v>
      </c>
    </row>
    <row r="212" spans="1:11" x14ac:dyDescent="0.45">
      <c r="A212" t="s">
        <v>466</v>
      </c>
      <c r="B212">
        <v>45361</v>
      </c>
      <c r="C212" t="s">
        <v>1767</v>
      </c>
      <c r="D212" t="s">
        <v>31</v>
      </c>
      <c r="E212">
        <v>2</v>
      </c>
      <c r="F212">
        <v>40</v>
      </c>
      <c r="G212">
        <v>12.52</v>
      </c>
      <c r="H212" t="s">
        <v>414</v>
      </c>
      <c r="I212" t="s">
        <v>1722</v>
      </c>
      <c r="J212" t="s">
        <v>27</v>
      </c>
      <c r="K212" t="s">
        <v>59</v>
      </c>
    </row>
    <row r="213" spans="1:11" x14ac:dyDescent="0.45">
      <c r="A213" t="s">
        <v>467</v>
      </c>
      <c r="B213">
        <v>45361</v>
      </c>
      <c r="C213" t="s">
        <v>1768</v>
      </c>
      <c r="D213" t="s">
        <v>31</v>
      </c>
      <c r="E213">
        <v>8</v>
      </c>
      <c r="F213">
        <v>40</v>
      </c>
      <c r="G213">
        <v>12.66</v>
      </c>
      <c r="H213" t="s">
        <v>145</v>
      </c>
      <c r="I213" t="s">
        <v>1503</v>
      </c>
      <c r="J213" t="s">
        <v>27</v>
      </c>
      <c r="K213" t="s">
        <v>28</v>
      </c>
    </row>
    <row r="214" spans="1:11" x14ac:dyDescent="0.45">
      <c r="A214" t="s">
        <v>468</v>
      </c>
      <c r="B214">
        <v>45361</v>
      </c>
      <c r="C214" t="s">
        <v>1769</v>
      </c>
      <c r="D214" t="s">
        <v>24</v>
      </c>
      <c r="E214">
        <v>7</v>
      </c>
      <c r="F214">
        <v>25</v>
      </c>
      <c r="G214">
        <v>7.98</v>
      </c>
      <c r="H214" t="s">
        <v>469</v>
      </c>
      <c r="I214" t="s">
        <v>1770</v>
      </c>
      <c r="J214" t="s">
        <v>42</v>
      </c>
      <c r="K214" t="s">
        <v>34</v>
      </c>
    </row>
    <row r="215" spans="1:11" x14ac:dyDescent="0.45">
      <c r="A215" t="s">
        <v>471</v>
      </c>
      <c r="B215">
        <v>45361</v>
      </c>
      <c r="C215" t="s">
        <v>1771</v>
      </c>
      <c r="D215" t="s">
        <v>31</v>
      </c>
      <c r="E215">
        <v>7</v>
      </c>
      <c r="F215">
        <v>40</v>
      </c>
      <c r="G215">
        <v>8.81</v>
      </c>
      <c r="H215" t="s">
        <v>313</v>
      </c>
      <c r="I215" t="s">
        <v>1635</v>
      </c>
      <c r="J215" t="s">
        <v>27</v>
      </c>
      <c r="K215" t="s">
        <v>21</v>
      </c>
    </row>
    <row r="216" spans="1:11" x14ac:dyDescent="0.45">
      <c r="A216" t="s">
        <v>472</v>
      </c>
      <c r="B216">
        <v>45361</v>
      </c>
      <c r="C216" t="s">
        <v>1772</v>
      </c>
      <c r="D216" t="s">
        <v>50</v>
      </c>
      <c r="E216">
        <v>5</v>
      </c>
      <c r="F216">
        <v>15</v>
      </c>
      <c r="G216">
        <v>5.82</v>
      </c>
      <c r="H216" t="s">
        <v>473</v>
      </c>
      <c r="I216" t="s">
        <v>1773</v>
      </c>
      <c r="J216" t="s">
        <v>27</v>
      </c>
      <c r="K216" t="s">
        <v>59</v>
      </c>
    </row>
    <row r="217" spans="1:11" x14ac:dyDescent="0.45">
      <c r="A217" t="s">
        <v>475</v>
      </c>
      <c r="B217">
        <v>45362</v>
      </c>
      <c r="C217" t="s">
        <v>1774</v>
      </c>
      <c r="D217" t="s">
        <v>17</v>
      </c>
      <c r="E217">
        <v>8</v>
      </c>
      <c r="F217">
        <v>10</v>
      </c>
      <c r="G217">
        <v>2.13</v>
      </c>
      <c r="H217" t="s">
        <v>476</v>
      </c>
      <c r="I217" t="s">
        <v>1775</v>
      </c>
      <c r="J217" t="s">
        <v>47</v>
      </c>
      <c r="K217" t="s">
        <v>38</v>
      </c>
    </row>
    <row r="218" spans="1:11" x14ac:dyDescent="0.45">
      <c r="A218" t="s">
        <v>478</v>
      </c>
      <c r="B218">
        <v>45362</v>
      </c>
      <c r="C218" t="s">
        <v>1776</v>
      </c>
      <c r="D218" t="s">
        <v>67</v>
      </c>
      <c r="E218">
        <v>2</v>
      </c>
      <c r="F218">
        <v>12</v>
      </c>
      <c r="G218">
        <v>3.59</v>
      </c>
      <c r="H218" t="s">
        <v>479</v>
      </c>
      <c r="I218" t="s">
        <v>1777</v>
      </c>
      <c r="J218" t="s">
        <v>47</v>
      </c>
      <c r="K218" t="s">
        <v>38</v>
      </c>
    </row>
    <row r="219" spans="1:11" x14ac:dyDescent="0.45">
      <c r="A219" t="s">
        <v>481</v>
      </c>
      <c r="B219">
        <v>45362</v>
      </c>
      <c r="C219" t="s">
        <v>1778</v>
      </c>
      <c r="D219" t="s">
        <v>17</v>
      </c>
      <c r="E219">
        <v>5</v>
      </c>
      <c r="F219">
        <v>10</v>
      </c>
      <c r="G219">
        <v>2.5099999999999998</v>
      </c>
      <c r="H219" t="s">
        <v>482</v>
      </c>
      <c r="I219" t="s">
        <v>1779</v>
      </c>
      <c r="J219" t="s">
        <v>20</v>
      </c>
      <c r="K219" t="s">
        <v>70</v>
      </c>
    </row>
    <row r="220" spans="1:11" x14ac:dyDescent="0.45">
      <c r="A220" t="s">
        <v>483</v>
      </c>
      <c r="B220">
        <v>45363</v>
      </c>
      <c r="C220" t="s">
        <v>1780</v>
      </c>
      <c r="D220" t="s">
        <v>24</v>
      </c>
      <c r="E220">
        <v>4</v>
      </c>
      <c r="F220">
        <v>25</v>
      </c>
      <c r="G220">
        <v>8.09</v>
      </c>
      <c r="H220" t="s">
        <v>332</v>
      </c>
      <c r="I220" t="s">
        <v>1650</v>
      </c>
      <c r="J220" t="s">
        <v>42</v>
      </c>
      <c r="K220" t="s">
        <v>34</v>
      </c>
    </row>
    <row r="221" spans="1:11" x14ac:dyDescent="0.45">
      <c r="A221" t="s">
        <v>484</v>
      </c>
      <c r="B221">
        <v>45364</v>
      </c>
      <c r="C221" t="s">
        <v>1781</v>
      </c>
      <c r="D221" t="s">
        <v>67</v>
      </c>
      <c r="E221">
        <v>10</v>
      </c>
      <c r="F221">
        <v>12</v>
      </c>
      <c r="G221">
        <v>2.69</v>
      </c>
      <c r="H221" t="s">
        <v>402</v>
      </c>
      <c r="I221" t="s">
        <v>1711</v>
      </c>
      <c r="J221" t="s">
        <v>47</v>
      </c>
      <c r="K221" t="s">
        <v>56</v>
      </c>
    </row>
    <row r="222" spans="1:11" x14ac:dyDescent="0.45">
      <c r="A222" t="s">
        <v>485</v>
      </c>
      <c r="B222">
        <v>45365</v>
      </c>
      <c r="C222" t="s">
        <v>1782</v>
      </c>
      <c r="D222" t="s">
        <v>67</v>
      </c>
      <c r="E222">
        <v>1</v>
      </c>
      <c r="F222">
        <v>12</v>
      </c>
      <c r="G222">
        <v>4.71</v>
      </c>
      <c r="H222" t="s">
        <v>326</v>
      </c>
      <c r="I222" t="s">
        <v>1645</v>
      </c>
      <c r="J222" t="s">
        <v>20</v>
      </c>
      <c r="K222" t="s">
        <v>74</v>
      </c>
    </row>
    <row r="223" spans="1:11" x14ac:dyDescent="0.45">
      <c r="A223" t="s">
        <v>486</v>
      </c>
      <c r="B223">
        <v>45366</v>
      </c>
      <c r="C223" t="s">
        <v>1783</v>
      </c>
      <c r="D223" t="s">
        <v>17</v>
      </c>
      <c r="E223">
        <v>5</v>
      </c>
      <c r="F223">
        <v>10</v>
      </c>
      <c r="G223">
        <v>3.65</v>
      </c>
      <c r="H223" t="s">
        <v>476</v>
      </c>
      <c r="I223" t="s">
        <v>1775</v>
      </c>
      <c r="J223" t="s">
        <v>27</v>
      </c>
      <c r="K223" t="s">
        <v>43</v>
      </c>
    </row>
    <row r="224" spans="1:11" x14ac:dyDescent="0.45">
      <c r="A224" t="s">
        <v>487</v>
      </c>
      <c r="B224">
        <v>45366</v>
      </c>
      <c r="C224" t="s">
        <v>1784</v>
      </c>
      <c r="D224" t="s">
        <v>17</v>
      </c>
      <c r="E224">
        <v>9</v>
      </c>
      <c r="F224">
        <v>10</v>
      </c>
      <c r="G224">
        <v>2.21</v>
      </c>
      <c r="H224" t="s">
        <v>361</v>
      </c>
      <c r="I224" t="s">
        <v>1675</v>
      </c>
      <c r="J224" t="s">
        <v>27</v>
      </c>
      <c r="K224" t="s">
        <v>28</v>
      </c>
    </row>
    <row r="225" spans="1:11" x14ac:dyDescent="0.45">
      <c r="A225" t="s">
        <v>488</v>
      </c>
      <c r="B225">
        <v>45366</v>
      </c>
      <c r="C225" t="s">
        <v>1785</v>
      </c>
      <c r="D225" t="s">
        <v>17</v>
      </c>
      <c r="E225">
        <v>3</v>
      </c>
      <c r="F225">
        <v>10</v>
      </c>
      <c r="G225">
        <v>2.73</v>
      </c>
      <c r="H225" t="s">
        <v>489</v>
      </c>
      <c r="I225" t="s">
        <v>1786</v>
      </c>
      <c r="J225" t="s">
        <v>27</v>
      </c>
      <c r="K225" t="s">
        <v>134</v>
      </c>
    </row>
    <row r="226" spans="1:11" x14ac:dyDescent="0.45">
      <c r="A226" t="s">
        <v>491</v>
      </c>
      <c r="B226">
        <v>45367</v>
      </c>
      <c r="C226" t="s">
        <v>1787</v>
      </c>
      <c r="D226" t="s">
        <v>50</v>
      </c>
      <c r="E226">
        <v>8</v>
      </c>
      <c r="F226">
        <v>15</v>
      </c>
      <c r="G226">
        <v>5.9</v>
      </c>
      <c r="H226" t="s">
        <v>251</v>
      </c>
      <c r="I226" t="s">
        <v>1583</v>
      </c>
      <c r="J226" t="s">
        <v>27</v>
      </c>
      <c r="K226" t="s">
        <v>74</v>
      </c>
    </row>
    <row r="227" spans="1:11" x14ac:dyDescent="0.45">
      <c r="A227" t="s">
        <v>492</v>
      </c>
      <c r="B227">
        <v>45367</v>
      </c>
      <c r="C227" t="s">
        <v>1788</v>
      </c>
      <c r="D227" t="s">
        <v>67</v>
      </c>
      <c r="E227">
        <v>2</v>
      </c>
      <c r="F227">
        <v>12</v>
      </c>
      <c r="G227">
        <v>3.27</v>
      </c>
      <c r="H227" t="s">
        <v>182</v>
      </c>
      <c r="I227" t="s">
        <v>1532</v>
      </c>
      <c r="J227" t="s">
        <v>20</v>
      </c>
      <c r="K227" t="s">
        <v>70</v>
      </c>
    </row>
    <row r="228" spans="1:11" x14ac:dyDescent="0.45">
      <c r="A228" t="s">
        <v>493</v>
      </c>
      <c r="B228">
        <v>45367</v>
      </c>
      <c r="C228" t="s">
        <v>1789</v>
      </c>
      <c r="D228" t="s">
        <v>50</v>
      </c>
      <c r="E228">
        <v>2</v>
      </c>
      <c r="F228">
        <v>15</v>
      </c>
      <c r="G228">
        <v>4.99</v>
      </c>
      <c r="H228" t="s">
        <v>494</v>
      </c>
      <c r="I228" t="s">
        <v>1790</v>
      </c>
      <c r="J228" t="s">
        <v>42</v>
      </c>
      <c r="K228" t="s">
        <v>59</v>
      </c>
    </row>
    <row r="229" spans="1:11" x14ac:dyDescent="0.45">
      <c r="A229" t="s">
        <v>496</v>
      </c>
      <c r="B229">
        <v>45367</v>
      </c>
      <c r="C229" t="s">
        <v>1791</v>
      </c>
      <c r="D229" t="s">
        <v>17</v>
      </c>
      <c r="E229">
        <v>6</v>
      </c>
      <c r="F229">
        <v>10</v>
      </c>
      <c r="G229">
        <v>2.0299999999999998</v>
      </c>
      <c r="H229" t="s">
        <v>132</v>
      </c>
      <c r="I229" t="s">
        <v>1495</v>
      </c>
      <c r="J229" t="s">
        <v>42</v>
      </c>
      <c r="K229" t="s">
        <v>28</v>
      </c>
    </row>
    <row r="230" spans="1:11" x14ac:dyDescent="0.45">
      <c r="A230" t="s">
        <v>497</v>
      </c>
      <c r="B230">
        <v>45368</v>
      </c>
      <c r="C230" t="s">
        <v>1792</v>
      </c>
      <c r="D230" t="s">
        <v>50</v>
      </c>
      <c r="E230">
        <v>6</v>
      </c>
      <c r="F230">
        <v>15</v>
      </c>
      <c r="G230">
        <v>3.55</v>
      </c>
      <c r="H230" t="s">
        <v>36</v>
      </c>
      <c r="I230" t="s">
        <v>1435</v>
      </c>
      <c r="J230" t="s">
        <v>27</v>
      </c>
      <c r="K230" t="s">
        <v>74</v>
      </c>
    </row>
    <row r="231" spans="1:11" x14ac:dyDescent="0.45">
      <c r="A231" t="s">
        <v>498</v>
      </c>
      <c r="B231">
        <v>45368</v>
      </c>
      <c r="C231" t="s">
        <v>1793</v>
      </c>
      <c r="D231" t="s">
        <v>24</v>
      </c>
      <c r="E231">
        <v>9</v>
      </c>
      <c r="F231">
        <v>25</v>
      </c>
      <c r="G231">
        <v>6.29</v>
      </c>
      <c r="H231" t="s">
        <v>482</v>
      </c>
      <c r="I231" t="s">
        <v>1779</v>
      </c>
      <c r="J231" t="s">
        <v>27</v>
      </c>
      <c r="K231" t="s">
        <v>38</v>
      </c>
    </row>
    <row r="232" spans="1:11" x14ac:dyDescent="0.45">
      <c r="A232" t="s">
        <v>499</v>
      </c>
      <c r="B232">
        <v>45368</v>
      </c>
      <c r="C232" t="s">
        <v>1794</v>
      </c>
      <c r="D232" t="s">
        <v>17</v>
      </c>
      <c r="E232">
        <v>4</v>
      </c>
      <c r="F232">
        <v>10</v>
      </c>
      <c r="G232">
        <v>3.87</v>
      </c>
      <c r="H232" t="s">
        <v>40</v>
      </c>
      <c r="I232" t="s">
        <v>1437</v>
      </c>
      <c r="J232" t="s">
        <v>27</v>
      </c>
      <c r="K232" t="s">
        <v>59</v>
      </c>
    </row>
    <row r="233" spans="1:11" x14ac:dyDescent="0.45">
      <c r="A233" t="s">
        <v>500</v>
      </c>
      <c r="B233">
        <v>45368</v>
      </c>
      <c r="C233" t="s">
        <v>1795</v>
      </c>
      <c r="D233" t="s">
        <v>31</v>
      </c>
      <c r="E233">
        <v>1</v>
      </c>
      <c r="F233">
        <v>40</v>
      </c>
      <c r="G233">
        <v>9.98</v>
      </c>
      <c r="H233" t="s">
        <v>158</v>
      </c>
      <c r="I233" t="s">
        <v>1513</v>
      </c>
      <c r="J233" t="s">
        <v>27</v>
      </c>
      <c r="K233" t="s">
        <v>28</v>
      </c>
    </row>
    <row r="234" spans="1:11" x14ac:dyDescent="0.45">
      <c r="A234" t="s">
        <v>501</v>
      </c>
      <c r="B234">
        <v>45369</v>
      </c>
      <c r="C234" t="s">
        <v>1796</v>
      </c>
      <c r="D234" t="s">
        <v>24</v>
      </c>
      <c r="E234">
        <v>3</v>
      </c>
      <c r="F234">
        <v>25</v>
      </c>
      <c r="G234">
        <v>8.7100000000000009</v>
      </c>
      <c r="H234" t="s">
        <v>502</v>
      </c>
      <c r="I234" t="s">
        <v>1797</v>
      </c>
      <c r="J234" t="s">
        <v>27</v>
      </c>
      <c r="K234" t="s">
        <v>59</v>
      </c>
    </row>
    <row r="235" spans="1:11" x14ac:dyDescent="0.45">
      <c r="A235" t="s">
        <v>503</v>
      </c>
      <c r="B235">
        <v>45370</v>
      </c>
      <c r="C235" t="s">
        <v>1798</v>
      </c>
      <c r="D235" t="s">
        <v>24</v>
      </c>
      <c r="E235">
        <v>8</v>
      </c>
      <c r="F235">
        <v>25</v>
      </c>
      <c r="G235">
        <v>9.14</v>
      </c>
      <c r="H235" t="s">
        <v>329</v>
      </c>
      <c r="I235" t="s">
        <v>1647</v>
      </c>
      <c r="J235" t="s">
        <v>27</v>
      </c>
      <c r="K235" t="s">
        <v>70</v>
      </c>
    </row>
    <row r="236" spans="1:11" x14ac:dyDescent="0.45">
      <c r="A236" t="s">
        <v>504</v>
      </c>
      <c r="B236">
        <v>45370</v>
      </c>
      <c r="C236" t="s">
        <v>1799</v>
      </c>
      <c r="D236" t="s">
        <v>17</v>
      </c>
      <c r="E236">
        <v>1</v>
      </c>
      <c r="F236">
        <v>10</v>
      </c>
      <c r="G236">
        <v>3.91</v>
      </c>
      <c r="H236" t="s">
        <v>158</v>
      </c>
      <c r="I236" t="s">
        <v>1513</v>
      </c>
      <c r="J236" t="s">
        <v>27</v>
      </c>
      <c r="K236" t="s">
        <v>134</v>
      </c>
    </row>
    <row r="237" spans="1:11" x14ac:dyDescent="0.45">
      <c r="A237" t="s">
        <v>505</v>
      </c>
      <c r="B237">
        <v>45371</v>
      </c>
      <c r="C237" t="s">
        <v>1800</v>
      </c>
      <c r="D237" t="s">
        <v>24</v>
      </c>
      <c r="E237">
        <v>3</v>
      </c>
      <c r="F237">
        <v>25</v>
      </c>
      <c r="G237">
        <v>5.7</v>
      </c>
      <c r="H237" t="s">
        <v>506</v>
      </c>
      <c r="I237" t="s">
        <v>1801</v>
      </c>
      <c r="J237" t="s">
        <v>20</v>
      </c>
      <c r="K237" t="s">
        <v>43</v>
      </c>
    </row>
    <row r="238" spans="1:11" x14ac:dyDescent="0.45">
      <c r="A238" t="s">
        <v>507</v>
      </c>
      <c r="B238">
        <v>45372</v>
      </c>
      <c r="C238" t="s">
        <v>1802</v>
      </c>
      <c r="D238" t="s">
        <v>67</v>
      </c>
      <c r="E238">
        <v>8</v>
      </c>
      <c r="F238">
        <v>12</v>
      </c>
      <c r="G238">
        <v>2.88</v>
      </c>
      <c r="H238" t="s">
        <v>282</v>
      </c>
      <c r="I238" t="s">
        <v>1608</v>
      </c>
      <c r="J238" t="s">
        <v>42</v>
      </c>
      <c r="K238" t="s">
        <v>38</v>
      </c>
    </row>
    <row r="239" spans="1:11" x14ac:dyDescent="0.45">
      <c r="A239" t="s">
        <v>508</v>
      </c>
      <c r="B239">
        <v>45372</v>
      </c>
      <c r="C239" t="s">
        <v>1803</v>
      </c>
      <c r="D239" t="s">
        <v>67</v>
      </c>
      <c r="E239">
        <v>1</v>
      </c>
      <c r="F239">
        <v>12</v>
      </c>
      <c r="G239">
        <v>3.25</v>
      </c>
      <c r="H239" t="s">
        <v>494</v>
      </c>
      <c r="I239" t="s">
        <v>1790</v>
      </c>
      <c r="J239" t="s">
        <v>42</v>
      </c>
      <c r="K239" t="s">
        <v>59</v>
      </c>
    </row>
    <row r="240" spans="1:11" x14ac:dyDescent="0.45">
      <c r="A240" t="s">
        <v>509</v>
      </c>
      <c r="B240">
        <v>45372</v>
      </c>
      <c r="C240" t="s">
        <v>1804</v>
      </c>
      <c r="D240" t="s">
        <v>50</v>
      </c>
      <c r="E240">
        <v>7</v>
      </c>
      <c r="F240">
        <v>15</v>
      </c>
      <c r="G240">
        <v>3.63</v>
      </c>
      <c r="H240" t="s">
        <v>510</v>
      </c>
      <c r="I240" t="s">
        <v>1805</v>
      </c>
      <c r="J240" t="s">
        <v>27</v>
      </c>
      <c r="K240" t="s">
        <v>74</v>
      </c>
    </row>
    <row r="241" spans="1:11" x14ac:dyDescent="0.45">
      <c r="A241" t="s">
        <v>512</v>
      </c>
      <c r="B241">
        <v>45372</v>
      </c>
      <c r="C241" t="s">
        <v>1806</v>
      </c>
      <c r="D241" t="s">
        <v>17</v>
      </c>
      <c r="E241">
        <v>5</v>
      </c>
      <c r="F241">
        <v>10</v>
      </c>
      <c r="G241">
        <v>3.98</v>
      </c>
      <c r="H241" t="s">
        <v>68</v>
      </c>
      <c r="I241" t="s">
        <v>1451</v>
      </c>
      <c r="J241" t="s">
        <v>27</v>
      </c>
      <c r="K241" t="s">
        <v>134</v>
      </c>
    </row>
    <row r="242" spans="1:11" x14ac:dyDescent="0.45">
      <c r="A242" t="s">
        <v>513</v>
      </c>
      <c r="B242">
        <v>45373</v>
      </c>
      <c r="C242" t="s">
        <v>1807</v>
      </c>
      <c r="D242" t="s">
        <v>50</v>
      </c>
      <c r="E242">
        <v>4</v>
      </c>
      <c r="F242">
        <v>15</v>
      </c>
      <c r="G242">
        <v>3.4</v>
      </c>
      <c r="H242" t="s">
        <v>409</v>
      </c>
      <c r="I242" t="s">
        <v>1717</v>
      </c>
      <c r="J242" t="s">
        <v>20</v>
      </c>
      <c r="K242" t="s">
        <v>74</v>
      </c>
    </row>
    <row r="243" spans="1:11" x14ac:dyDescent="0.45">
      <c r="A243" t="s">
        <v>514</v>
      </c>
      <c r="B243">
        <v>45373</v>
      </c>
      <c r="C243" t="s">
        <v>1808</v>
      </c>
      <c r="D243" t="s">
        <v>31</v>
      </c>
      <c r="E243">
        <v>9</v>
      </c>
      <c r="F243">
        <v>40</v>
      </c>
      <c r="G243">
        <v>10.92</v>
      </c>
      <c r="H243" t="s">
        <v>213</v>
      </c>
      <c r="I243" t="s">
        <v>1553</v>
      </c>
      <c r="J243" t="s">
        <v>42</v>
      </c>
      <c r="K243" t="s">
        <v>28</v>
      </c>
    </row>
    <row r="244" spans="1:11" x14ac:dyDescent="0.45">
      <c r="A244" t="s">
        <v>515</v>
      </c>
      <c r="B244">
        <v>45373</v>
      </c>
      <c r="C244" t="s">
        <v>1809</v>
      </c>
      <c r="D244" t="s">
        <v>17</v>
      </c>
      <c r="E244">
        <v>3</v>
      </c>
      <c r="F244">
        <v>10</v>
      </c>
      <c r="G244">
        <v>2.91</v>
      </c>
      <c r="H244" t="s">
        <v>127</v>
      </c>
      <c r="I244" t="s">
        <v>1491</v>
      </c>
      <c r="J244" t="s">
        <v>20</v>
      </c>
      <c r="K244" t="s">
        <v>56</v>
      </c>
    </row>
    <row r="245" spans="1:11" x14ac:dyDescent="0.45">
      <c r="A245" t="s">
        <v>516</v>
      </c>
      <c r="B245">
        <v>45373</v>
      </c>
      <c r="C245" t="s">
        <v>1810</v>
      </c>
      <c r="D245" t="s">
        <v>31</v>
      </c>
      <c r="E245">
        <v>2</v>
      </c>
      <c r="F245">
        <v>40</v>
      </c>
      <c r="G245">
        <v>11.01</v>
      </c>
      <c r="H245" t="s">
        <v>517</v>
      </c>
      <c r="I245" t="s">
        <v>1811</v>
      </c>
      <c r="J245" t="s">
        <v>20</v>
      </c>
      <c r="K245" t="s">
        <v>70</v>
      </c>
    </row>
    <row r="246" spans="1:11" x14ac:dyDescent="0.45">
      <c r="A246" t="s">
        <v>519</v>
      </c>
      <c r="B246">
        <v>45374</v>
      </c>
      <c r="C246" t="s">
        <v>1812</v>
      </c>
      <c r="D246" t="s">
        <v>50</v>
      </c>
      <c r="E246">
        <v>2</v>
      </c>
      <c r="F246">
        <v>15</v>
      </c>
      <c r="G246">
        <v>4.99</v>
      </c>
      <c r="H246" t="s">
        <v>428</v>
      </c>
      <c r="I246" t="s">
        <v>1736</v>
      </c>
      <c r="J246" t="s">
        <v>27</v>
      </c>
      <c r="K246" t="s">
        <v>34</v>
      </c>
    </row>
    <row r="247" spans="1:11" x14ac:dyDescent="0.45">
      <c r="A247" t="s">
        <v>520</v>
      </c>
      <c r="B247">
        <v>45374</v>
      </c>
      <c r="C247" t="s">
        <v>1813</v>
      </c>
      <c r="D247" t="s">
        <v>31</v>
      </c>
      <c r="E247">
        <v>2</v>
      </c>
      <c r="F247">
        <v>40</v>
      </c>
      <c r="G247">
        <v>10.69</v>
      </c>
      <c r="H247" t="s">
        <v>378</v>
      </c>
      <c r="I247" t="s">
        <v>1690</v>
      </c>
      <c r="J247" t="s">
        <v>27</v>
      </c>
      <c r="K247" t="s">
        <v>70</v>
      </c>
    </row>
    <row r="248" spans="1:11" x14ac:dyDescent="0.45">
      <c r="A248" t="s">
        <v>521</v>
      </c>
      <c r="B248">
        <v>45375</v>
      </c>
      <c r="C248" t="s">
        <v>1814</v>
      </c>
      <c r="D248" t="s">
        <v>31</v>
      </c>
      <c r="E248">
        <v>10</v>
      </c>
      <c r="F248">
        <v>40</v>
      </c>
      <c r="G248">
        <v>9.1</v>
      </c>
      <c r="H248" t="s">
        <v>457</v>
      </c>
      <c r="I248" t="s">
        <v>1759</v>
      </c>
      <c r="J248" t="s">
        <v>27</v>
      </c>
      <c r="K248" t="s">
        <v>59</v>
      </c>
    </row>
    <row r="249" spans="1:11" x14ac:dyDescent="0.45">
      <c r="A249" t="s">
        <v>522</v>
      </c>
      <c r="B249">
        <v>45375</v>
      </c>
      <c r="C249" t="s">
        <v>1815</v>
      </c>
      <c r="D249" t="s">
        <v>31</v>
      </c>
      <c r="E249">
        <v>5</v>
      </c>
      <c r="F249">
        <v>40</v>
      </c>
      <c r="G249">
        <v>11.38</v>
      </c>
      <c r="H249" t="s">
        <v>272</v>
      </c>
      <c r="I249" t="s">
        <v>1601</v>
      </c>
      <c r="J249" t="s">
        <v>27</v>
      </c>
      <c r="K249" t="s">
        <v>70</v>
      </c>
    </row>
    <row r="250" spans="1:11" x14ac:dyDescent="0.45">
      <c r="A250" t="s">
        <v>523</v>
      </c>
      <c r="B250">
        <v>45375</v>
      </c>
      <c r="C250" t="s">
        <v>1816</v>
      </c>
      <c r="D250" t="s">
        <v>31</v>
      </c>
      <c r="E250">
        <v>2</v>
      </c>
      <c r="F250">
        <v>40</v>
      </c>
      <c r="G250">
        <v>13.29</v>
      </c>
      <c r="H250" t="s">
        <v>524</v>
      </c>
      <c r="I250" t="s">
        <v>1817</v>
      </c>
      <c r="J250" t="s">
        <v>27</v>
      </c>
      <c r="K250" t="s">
        <v>74</v>
      </c>
    </row>
    <row r="251" spans="1:11" x14ac:dyDescent="0.45">
      <c r="A251" t="s">
        <v>526</v>
      </c>
      <c r="B251">
        <v>45375</v>
      </c>
      <c r="C251" t="s">
        <v>1818</v>
      </c>
      <c r="D251" t="s">
        <v>31</v>
      </c>
      <c r="E251">
        <v>1</v>
      </c>
      <c r="F251">
        <v>40</v>
      </c>
      <c r="G251">
        <v>14.99</v>
      </c>
      <c r="H251" t="s">
        <v>409</v>
      </c>
      <c r="I251" t="s">
        <v>1717</v>
      </c>
      <c r="J251" t="s">
        <v>42</v>
      </c>
      <c r="K251" t="s">
        <v>28</v>
      </c>
    </row>
    <row r="252" spans="1:11" x14ac:dyDescent="0.45">
      <c r="A252" t="s">
        <v>527</v>
      </c>
      <c r="B252">
        <v>45375</v>
      </c>
      <c r="C252" t="s">
        <v>1819</v>
      </c>
      <c r="D252" t="s">
        <v>24</v>
      </c>
      <c r="E252">
        <v>2</v>
      </c>
      <c r="F252">
        <v>25</v>
      </c>
      <c r="G252">
        <v>5.01</v>
      </c>
      <c r="H252" t="s">
        <v>510</v>
      </c>
      <c r="I252" t="s">
        <v>1805</v>
      </c>
      <c r="J252" t="s">
        <v>20</v>
      </c>
      <c r="K252" t="s">
        <v>74</v>
      </c>
    </row>
    <row r="253" spans="1:11" x14ac:dyDescent="0.45">
      <c r="A253" t="s">
        <v>528</v>
      </c>
      <c r="B253">
        <v>45377</v>
      </c>
      <c r="C253" t="s">
        <v>1820</v>
      </c>
      <c r="D253" t="s">
        <v>67</v>
      </c>
      <c r="E253">
        <v>9</v>
      </c>
      <c r="F253">
        <v>12</v>
      </c>
      <c r="G253">
        <v>2.99</v>
      </c>
      <c r="H253" t="s">
        <v>453</v>
      </c>
      <c r="I253" t="s">
        <v>1756</v>
      </c>
      <c r="J253" t="s">
        <v>27</v>
      </c>
      <c r="K253" t="s">
        <v>56</v>
      </c>
    </row>
    <row r="254" spans="1:11" x14ac:dyDescent="0.45">
      <c r="A254" t="s">
        <v>529</v>
      </c>
      <c r="B254">
        <v>45377</v>
      </c>
      <c r="C254" t="s">
        <v>1821</v>
      </c>
      <c r="D254" t="s">
        <v>31</v>
      </c>
      <c r="E254">
        <v>3</v>
      </c>
      <c r="F254">
        <v>40</v>
      </c>
      <c r="G254">
        <v>12.12</v>
      </c>
      <c r="H254" t="s">
        <v>530</v>
      </c>
      <c r="I254" t="s">
        <v>1822</v>
      </c>
      <c r="J254" t="s">
        <v>27</v>
      </c>
      <c r="K254" t="s">
        <v>134</v>
      </c>
    </row>
    <row r="255" spans="1:11" x14ac:dyDescent="0.45">
      <c r="A255" t="s">
        <v>532</v>
      </c>
      <c r="B255">
        <v>45377</v>
      </c>
      <c r="C255" t="s">
        <v>1823</v>
      </c>
      <c r="D255" t="s">
        <v>67</v>
      </c>
      <c r="E255">
        <v>1</v>
      </c>
      <c r="F255">
        <v>12</v>
      </c>
      <c r="G255">
        <v>3.21</v>
      </c>
      <c r="H255" t="s">
        <v>363</v>
      </c>
      <c r="I255" t="s">
        <v>1677</v>
      </c>
      <c r="J255" t="s">
        <v>20</v>
      </c>
      <c r="K255" t="s">
        <v>28</v>
      </c>
    </row>
    <row r="256" spans="1:11" x14ac:dyDescent="0.45">
      <c r="A256" t="s">
        <v>533</v>
      </c>
      <c r="B256">
        <v>45378</v>
      </c>
      <c r="C256" t="s">
        <v>1824</v>
      </c>
      <c r="D256" t="s">
        <v>67</v>
      </c>
      <c r="E256">
        <v>5</v>
      </c>
      <c r="F256">
        <v>12</v>
      </c>
      <c r="G256">
        <v>3.41</v>
      </c>
      <c r="H256" t="s">
        <v>61</v>
      </c>
      <c r="I256" t="s">
        <v>1447</v>
      </c>
      <c r="J256" t="s">
        <v>27</v>
      </c>
      <c r="K256" t="s">
        <v>21</v>
      </c>
    </row>
    <row r="257" spans="1:11" x14ac:dyDescent="0.45">
      <c r="A257" t="s">
        <v>534</v>
      </c>
      <c r="B257">
        <v>45378</v>
      </c>
      <c r="C257" t="s">
        <v>1825</v>
      </c>
      <c r="D257" t="s">
        <v>50</v>
      </c>
      <c r="E257">
        <v>9</v>
      </c>
      <c r="F257">
        <v>15</v>
      </c>
      <c r="G257">
        <v>3.88</v>
      </c>
      <c r="H257" t="s">
        <v>387</v>
      </c>
      <c r="I257" t="s">
        <v>1697</v>
      </c>
      <c r="J257" t="s">
        <v>27</v>
      </c>
      <c r="K257" t="s">
        <v>59</v>
      </c>
    </row>
    <row r="258" spans="1:11" x14ac:dyDescent="0.45">
      <c r="A258" t="s">
        <v>535</v>
      </c>
      <c r="B258">
        <v>45378</v>
      </c>
      <c r="C258" t="s">
        <v>1826</v>
      </c>
      <c r="D258" t="s">
        <v>31</v>
      </c>
      <c r="E258">
        <v>10</v>
      </c>
      <c r="F258">
        <v>40</v>
      </c>
      <c r="G258">
        <v>11.05</v>
      </c>
      <c r="H258" t="s">
        <v>476</v>
      </c>
      <c r="I258" t="s">
        <v>1775</v>
      </c>
      <c r="J258" t="s">
        <v>27</v>
      </c>
      <c r="K258" t="s">
        <v>74</v>
      </c>
    </row>
    <row r="259" spans="1:11" x14ac:dyDescent="0.45">
      <c r="A259" t="s">
        <v>536</v>
      </c>
      <c r="B259">
        <v>45378</v>
      </c>
      <c r="C259" t="s">
        <v>1827</v>
      </c>
      <c r="D259" t="s">
        <v>17</v>
      </c>
      <c r="E259">
        <v>2</v>
      </c>
      <c r="F259">
        <v>10</v>
      </c>
      <c r="G259">
        <v>3.43</v>
      </c>
      <c r="H259" t="s">
        <v>409</v>
      </c>
      <c r="I259" t="s">
        <v>1717</v>
      </c>
      <c r="J259" t="s">
        <v>47</v>
      </c>
      <c r="K259" t="s">
        <v>74</v>
      </c>
    </row>
    <row r="260" spans="1:11" x14ac:dyDescent="0.45">
      <c r="A260" t="s">
        <v>537</v>
      </c>
      <c r="B260">
        <v>45379</v>
      </c>
      <c r="C260" t="s">
        <v>1828</v>
      </c>
      <c r="D260" t="s">
        <v>24</v>
      </c>
      <c r="E260">
        <v>2</v>
      </c>
      <c r="F260">
        <v>25</v>
      </c>
      <c r="G260">
        <v>6.89</v>
      </c>
      <c r="H260" t="s">
        <v>54</v>
      </c>
      <c r="I260" t="s">
        <v>1443</v>
      </c>
      <c r="J260" t="s">
        <v>47</v>
      </c>
      <c r="K260" t="s">
        <v>134</v>
      </c>
    </row>
    <row r="261" spans="1:11" x14ac:dyDescent="0.45">
      <c r="A261" t="s">
        <v>538</v>
      </c>
      <c r="B261">
        <v>45379</v>
      </c>
      <c r="C261" t="s">
        <v>1829</v>
      </c>
      <c r="D261" t="s">
        <v>17</v>
      </c>
      <c r="E261">
        <v>7</v>
      </c>
      <c r="F261">
        <v>10</v>
      </c>
      <c r="G261">
        <v>2.2000000000000002</v>
      </c>
      <c r="H261" t="s">
        <v>476</v>
      </c>
      <c r="I261" t="s">
        <v>1775</v>
      </c>
      <c r="J261" t="s">
        <v>20</v>
      </c>
      <c r="K261" t="s">
        <v>21</v>
      </c>
    </row>
    <row r="262" spans="1:11" x14ac:dyDescent="0.45">
      <c r="A262" t="s">
        <v>539</v>
      </c>
      <c r="B262">
        <v>45379</v>
      </c>
      <c r="C262" t="s">
        <v>1830</v>
      </c>
      <c r="D262" t="s">
        <v>24</v>
      </c>
      <c r="E262">
        <v>7</v>
      </c>
      <c r="F262">
        <v>25</v>
      </c>
      <c r="G262">
        <v>5.89</v>
      </c>
      <c r="H262" t="s">
        <v>524</v>
      </c>
      <c r="I262" t="s">
        <v>1817</v>
      </c>
      <c r="J262" t="s">
        <v>27</v>
      </c>
      <c r="K262" t="s">
        <v>56</v>
      </c>
    </row>
    <row r="263" spans="1:11" x14ac:dyDescent="0.45">
      <c r="A263" t="s">
        <v>540</v>
      </c>
      <c r="B263">
        <v>45379</v>
      </c>
      <c r="C263" t="s">
        <v>1831</v>
      </c>
      <c r="D263" t="s">
        <v>24</v>
      </c>
      <c r="E263">
        <v>8</v>
      </c>
      <c r="F263">
        <v>25</v>
      </c>
      <c r="G263">
        <v>8.61</v>
      </c>
      <c r="H263" t="s">
        <v>224</v>
      </c>
      <c r="I263" t="s">
        <v>1561</v>
      </c>
      <c r="J263" t="s">
        <v>27</v>
      </c>
      <c r="K263" t="s">
        <v>21</v>
      </c>
    </row>
    <row r="264" spans="1:11" x14ac:dyDescent="0.45">
      <c r="A264" t="s">
        <v>541</v>
      </c>
      <c r="B264">
        <v>45380</v>
      </c>
      <c r="C264" t="s">
        <v>1832</v>
      </c>
      <c r="D264" t="s">
        <v>17</v>
      </c>
      <c r="E264">
        <v>5</v>
      </c>
      <c r="F264">
        <v>10</v>
      </c>
      <c r="G264">
        <v>2.82</v>
      </c>
      <c r="H264" t="s">
        <v>221</v>
      </c>
      <c r="I264" t="s">
        <v>1559</v>
      </c>
      <c r="J264" t="s">
        <v>27</v>
      </c>
      <c r="K264" t="s">
        <v>134</v>
      </c>
    </row>
    <row r="265" spans="1:11" x14ac:dyDescent="0.45">
      <c r="A265" t="s">
        <v>542</v>
      </c>
      <c r="B265">
        <v>45380</v>
      </c>
      <c r="C265" t="s">
        <v>1833</v>
      </c>
      <c r="D265" t="s">
        <v>31</v>
      </c>
      <c r="E265">
        <v>10</v>
      </c>
      <c r="F265">
        <v>40</v>
      </c>
      <c r="G265">
        <v>11.87</v>
      </c>
      <c r="H265" t="s">
        <v>318</v>
      </c>
      <c r="I265" t="s">
        <v>1639</v>
      </c>
      <c r="J265" t="s">
        <v>27</v>
      </c>
      <c r="K265" t="s">
        <v>59</v>
      </c>
    </row>
    <row r="266" spans="1:11" x14ac:dyDescent="0.45">
      <c r="A266" t="s">
        <v>543</v>
      </c>
      <c r="B266">
        <v>45381</v>
      </c>
      <c r="C266" t="s">
        <v>1834</v>
      </c>
      <c r="D266" t="s">
        <v>50</v>
      </c>
      <c r="E266">
        <v>1</v>
      </c>
      <c r="F266">
        <v>15</v>
      </c>
      <c r="G266">
        <v>5.3</v>
      </c>
      <c r="H266" t="s">
        <v>96</v>
      </c>
      <c r="I266" t="s">
        <v>1469</v>
      </c>
      <c r="J266" t="s">
        <v>27</v>
      </c>
      <c r="K266" t="s">
        <v>28</v>
      </c>
    </row>
    <row r="267" spans="1:11" x14ac:dyDescent="0.45">
      <c r="A267" t="s">
        <v>544</v>
      </c>
      <c r="B267">
        <v>45381</v>
      </c>
      <c r="C267" t="s">
        <v>1835</v>
      </c>
      <c r="D267" t="s">
        <v>24</v>
      </c>
      <c r="E267">
        <v>4</v>
      </c>
      <c r="F267">
        <v>25</v>
      </c>
      <c r="G267">
        <v>9.4600000000000009</v>
      </c>
      <c r="H267" t="s">
        <v>310</v>
      </c>
      <c r="I267" t="s">
        <v>1633</v>
      </c>
      <c r="J267" t="s">
        <v>47</v>
      </c>
      <c r="K267" t="s">
        <v>74</v>
      </c>
    </row>
    <row r="268" spans="1:11" x14ac:dyDescent="0.45">
      <c r="A268" t="s">
        <v>545</v>
      </c>
      <c r="B268">
        <v>45382</v>
      </c>
      <c r="C268" t="s">
        <v>1836</v>
      </c>
      <c r="D268" t="s">
        <v>31</v>
      </c>
      <c r="E268">
        <v>1</v>
      </c>
      <c r="F268">
        <v>40</v>
      </c>
      <c r="G268">
        <v>12.13</v>
      </c>
      <c r="H268" t="s">
        <v>40</v>
      </c>
      <c r="I268" t="s">
        <v>1437</v>
      </c>
      <c r="J268" t="s">
        <v>42</v>
      </c>
      <c r="K268" t="s">
        <v>38</v>
      </c>
    </row>
    <row r="269" spans="1:11" x14ac:dyDescent="0.45">
      <c r="A269" t="s">
        <v>546</v>
      </c>
      <c r="B269">
        <v>45382</v>
      </c>
      <c r="C269" t="s">
        <v>1837</v>
      </c>
      <c r="D269" t="s">
        <v>67</v>
      </c>
      <c r="E269">
        <v>4</v>
      </c>
      <c r="F269">
        <v>12</v>
      </c>
      <c r="G269">
        <v>3.9</v>
      </c>
      <c r="H269" t="s">
        <v>524</v>
      </c>
      <c r="I269" t="s">
        <v>1817</v>
      </c>
      <c r="J269" t="s">
        <v>27</v>
      </c>
      <c r="K269" t="s">
        <v>134</v>
      </c>
    </row>
    <row r="270" spans="1:11" x14ac:dyDescent="0.45">
      <c r="A270" t="s">
        <v>547</v>
      </c>
      <c r="B270">
        <v>45382</v>
      </c>
      <c r="C270" t="s">
        <v>1838</v>
      </c>
      <c r="D270" t="s">
        <v>17</v>
      </c>
      <c r="E270">
        <v>3</v>
      </c>
      <c r="F270">
        <v>10</v>
      </c>
      <c r="G270">
        <v>2.69</v>
      </c>
      <c r="H270" t="s">
        <v>145</v>
      </c>
      <c r="I270" t="s">
        <v>1503</v>
      </c>
      <c r="J270" t="s">
        <v>42</v>
      </c>
      <c r="K270" t="s">
        <v>56</v>
      </c>
    </row>
    <row r="271" spans="1:11" x14ac:dyDescent="0.45">
      <c r="A271" t="s">
        <v>548</v>
      </c>
      <c r="B271">
        <v>45382</v>
      </c>
      <c r="C271" t="s">
        <v>1839</v>
      </c>
      <c r="D271" t="s">
        <v>31</v>
      </c>
      <c r="E271">
        <v>3</v>
      </c>
      <c r="F271">
        <v>40</v>
      </c>
      <c r="G271">
        <v>12.8</v>
      </c>
      <c r="H271" t="s">
        <v>102</v>
      </c>
      <c r="I271" t="s">
        <v>1473</v>
      </c>
      <c r="J271" t="s">
        <v>27</v>
      </c>
      <c r="K271" t="s">
        <v>70</v>
      </c>
    </row>
    <row r="272" spans="1:11" x14ac:dyDescent="0.45">
      <c r="A272" t="s">
        <v>549</v>
      </c>
      <c r="B272">
        <v>45382</v>
      </c>
      <c r="C272" t="s">
        <v>1840</v>
      </c>
      <c r="D272" t="s">
        <v>50</v>
      </c>
      <c r="E272">
        <v>8</v>
      </c>
      <c r="F272">
        <v>15</v>
      </c>
      <c r="G272">
        <v>3.64</v>
      </c>
      <c r="H272" t="s">
        <v>550</v>
      </c>
      <c r="I272" t="s">
        <v>1841</v>
      </c>
      <c r="J272" t="s">
        <v>27</v>
      </c>
      <c r="K272" t="s">
        <v>43</v>
      </c>
    </row>
    <row r="273" spans="1:11" x14ac:dyDescent="0.45">
      <c r="A273" t="s">
        <v>551</v>
      </c>
      <c r="B273">
        <v>45382</v>
      </c>
      <c r="C273" t="s">
        <v>1842</v>
      </c>
      <c r="D273" t="s">
        <v>17</v>
      </c>
      <c r="E273">
        <v>9</v>
      </c>
      <c r="F273">
        <v>10</v>
      </c>
      <c r="G273">
        <v>3.6</v>
      </c>
      <c r="H273" t="s">
        <v>552</v>
      </c>
      <c r="I273" t="s">
        <v>1843</v>
      </c>
      <c r="J273" t="s">
        <v>27</v>
      </c>
      <c r="K273" t="s">
        <v>70</v>
      </c>
    </row>
    <row r="274" spans="1:11" x14ac:dyDescent="0.45">
      <c r="A274" t="s">
        <v>554</v>
      </c>
      <c r="B274">
        <v>45383</v>
      </c>
      <c r="C274" t="s">
        <v>1844</v>
      </c>
      <c r="D274" t="s">
        <v>24</v>
      </c>
      <c r="E274">
        <v>7</v>
      </c>
      <c r="G274">
        <v>5.07</v>
      </c>
      <c r="H274" t="s">
        <v>414</v>
      </c>
      <c r="I274" t="s">
        <v>1722</v>
      </c>
      <c r="J274" t="s">
        <v>27</v>
      </c>
      <c r="K274" t="s">
        <v>34</v>
      </c>
    </row>
    <row r="275" spans="1:11" x14ac:dyDescent="0.45">
      <c r="A275" t="s">
        <v>555</v>
      </c>
      <c r="B275">
        <v>45383</v>
      </c>
      <c r="C275" t="s">
        <v>1845</v>
      </c>
      <c r="D275" t="s">
        <v>67</v>
      </c>
      <c r="E275">
        <v>3</v>
      </c>
      <c r="F275">
        <v>12</v>
      </c>
      <c r="G275">
        <v>3.17</v>
      </c>
      <c r="H275" t="s">
        <v>224</v>
      </c>
      <c r="I275" t="s">
        <v>1561</v>
      </c>
      <c r="J275" t="s">
        <v>27</v>
      </c>
      <c r="K275" t="s">
        <v>43</v>
      </c>
    </row>
    <row r="276" spans="1:11" x14ac:dyDescent="0.45">
      <c r="A276" t="s">
        <v>556</v>
      </c>
      <c r="B276">
        <v>45384</v>
      </c>
      <c r="C276" t="s">
        <v>1846</v>
      </c>
      <c r="D276" t="s">
        <v>67</v>
      </c>
      <c r="E276">
        <v>10</v>
      </c>
      <c r="F276">
        <v>12</v>
      </c>
      <c r="G276">
        <v>3.9</v>
      </c>
      <c r="H276" t="s">
        <v>164</v>
      </c>
      <c r="I276" t="s">
        <v>1518</v>
      </c>
      <c r="J276" t="s">
        <v>27</v>
      </c>
      <c r="K276" t="s">
        <v>134</v>
      </c>
    </row>
    <row r="277" spans="1:11" x14ac:dyDescent="0.45">
      <c r="A277" t="s">
        <v>557</v>
      </c>
      <c r="B277">
        <v>45384</v>
      </c>
      <c r="C277" t="s">
        <v>1847</v>
      </c>
      <c r="D277" t="s">
        <v>50</v>
      </c>
      <c r="E277">
        <v>8</v>
      </c>
      <c r="F277">
        <v>15</v>
      </c>
      <c r="G277">
        <v>4.9400000000000004</v>
      </c>
      <c r="H277" t="s">
        <v>558</v>
      </c>
      <c r="I277" t="s">
        <v>1848</v>
      </c>
      <c r="J277" t="s">
        <v>27</v>
      </c>
      <c r="K277" t="s">
        <v>28</v>
      </c>
    </row>
    <row r="278" spans="1:11" x14ac:dyDescent="0.45">
      <c r="A278" t="s">
        <v>560</v>
      </c>
      <c r="B278">
        <v>45384</v>
      </c>
      <c r="C278" t="s">
        <v>1849</v>
      </c>
      <c r="D278" t="s">
        <v>50</v>
      </c>
      <c r="E278">
        <v>1</v>
      </c>
      <c r="F278">
        <v>15</v>
      </c>
      <c r="G278">
        <v>5.04</v>
      </c>
      <c r="H278" t="s">
        <v>561</v>
      </c>
      <c r="I278" t="s">
        <v>1850</v>
      </c>
      <c r="J278" t="s">
        <v>27</v>
      </c>
      <c r="K278" t="s">
        <v>34</v>
      </c>
    </row>
    <row r="279" spans="1:11" x14ac:dyDescent="0.45">
      <c r="A279" t="s">
        <v>563</v>
      </c>
      <c r="B279">
        <v>45385</v>
      </c>
      <c r="C279" t="s">
        <v>1851</v>
      </c>
      <c r="D279" t="s">
        <v>31</v>
      </c>
      <c r="E279">
        <v>9</v>
      </c>
      <c r="F279">
        <v>40</v>
      </c>
      <c r="G279">
        <v>12.88</v>
      </c>
      <c r="H279" t="s">
        <v>51</v>
      </c>
      <c r="I279" t="s">
        <v>1441</v>
      </c>
      <c r="J279" t="s">
        <v>20</v>
      </c>
      <c r="K279" t="s">
        <v>43</v>
      </c>
    </row>
    <row r="280" spans="1:11" x14ac:dyDescent="0.45">
      <c r="A280" t="s">
        <v>564</v>
      </c>
      <c r="B280">
        <v>45385</v>
      </c>
      <c r="C280" t="s">
        <v>1852</v>
      </c>
      <c r="D280" t="s">
        <v>50</v>
      </c>
      <c r="E280">
        <v>2</v>
      </c>
      <c r="F280">
        <v>15</v>
      </c>
      <c r="G280">
        <v>5.45</v>
      </c>
      <c r="H280" t="s">
        <v>565</v>
      </c>
      <c r="I280" t="s">
        <v>1853</v>
      </c>
      <c r="J280" t="s">
        <v>20</v>
      </c>
      <c r="K280" t="s">
        <v>28</v>
      </c>
    </row>
    <row r="281" spans="1:11" x14ac:dyDescent="0.45">
      <c r="A281" t="s">
        <v>567</v>
      </c>
      <c r="B281">
        <v>45385</v>
      </c>
      <c r="C281" t="s">
        <v>1854</v>
      </c>
      <c r="D281" t="s">
        <v>67</v>
      </c>
      <c r="E281">
        <v>5</v>
      </c>
      <c r="F281">
        <v>12</v>
      </c>
      <c r="G281">
        <v>3.06</v>
      </c>
      <c r="H281" t="s">
        <v>216</v>
      </c>
      <c r="I281" t="s">
        <v>1555</v>
      </c>
      <c r="J281" t="s">
        <v>27</v>
      </c>
      <c r="K281" t="s">
        <v>34</v>
      </c>
    </row>
    <row r="282" spans="1:11" x14ac:dyDescent="0.45">
      <c r="A282" t="s">
        <v>568</v>
      </c>
      <c r="B282">
        <v>45386</v>
      </c>
      <c r="C282" t="s">
        <v>1855</v>
      </c>
      <c r="D282" t="s">
        <v>17</v>
      </c>
      <c r="E282">
        <v>9</v>
      </c>
      <c r="F282">
        <v>10</v>
      </c>
      <c r="G282">
        <v>2.23</v>
      </c>
      <c r="H282" t="s">
        <v>153</v>
      </c>
      <c r="I282" t="s">
        <v>1509</v>
      </c>
      <c r="J282" t="s">
        <v>20</v>
      </c>
      <c r="K282" t="s">
        <v>34</v>
      </c>
    </row>
    <row r="283" spans="1:11" x14ac:dyDescent="0.45">
      <c r="A283" t="s">
        <v>569</v>
      </c>
      <c r="B283">
        <v>45386</v>
      </c>
      <c r="C283" t="s">
        <v>1856</v>
      </c>
      <c r="D283" t="s">
        <v>24</v>
      </c>
      <c r="E283">
        <v>3</v>
      </c>
      <c r="F283">
        <v>25</v>
      </c>
      <c r="G283">
        <v>8.42</v>
      </c>
      <c r="H283" t="s">
        <v>329</v>
      </c>
      <c r="I283" t="s">
        <v>1647</v>
      </c>
      <c r="J283" t="s">
        <v>27</v>
      </c>
      <c r="K283" t="s">
        <v>28</v>
      </c>
    </row>
    <row r="284" spans="1:11" x14ac:dyDescent="0.45">
      <c r="A284" t="s">
        <v>570</v>
      </c>
      <c r="B284">
        <v>45386</v>
      </c>
      <c r="C284" t="s">
        <v>1857</v>
      </c>
      <c r="D284" t="s">
        <v>31</v>
      </c>
      <c r="E284">
        <v>10</v>
      </c>
      <c r="F284">
        <v>40</v>
      </c>
      <c r="G284">
        <v>12.79</v>
      </c>
      <c r="H284" t="s">
        <v>571</v>
      </c>
      <c r="I284" t="s">
        <v>1858</v>
      </c>
      <c r="J284" t="s">
        <v>47</v>
      </c>
      <c r="K284" t="s">
        <v>74</v>
      </c>
    </row>
    <row r="285" spans="1:11" x14ac:dyDescent="0.45">
      <c r="A285" t="s">
        <v>572</v>
      </c>
      <c r="B285">
        <v>45386</v>
      </c>
      <c r="C285" t="s">
        <v>1859</v>
      </c>
      <c r="D285" t="s">
        <v>17</v>
      </c>
      <c r="E285">
        <v>8</v>
      </c>
      <c r="F285">
        <v>10</v>
      </c>
      <c r="G285">
        <v>2.65</v>
      </c>
      <c r="H285" t="s">
        <v>573</v>
      </c>
      <c r="I285" t="s">
        <v>1860</v>
      </c>
      <c r="J285" t="s">
        <v>27</v>
      </c>
      <c r="K285" t="s">
        <v>59</v>
      </c>
    </row>
    <row r="286" spans="1:11" x14ac:dyDescent="0.45">
      <c r="A286" t="s">
        <v>575</v>
      </c>
      <c r="B286">
        <v>45387</v>
      </c>
      <c r="C286" t="s">
        <v>1861</v>
      </c>
      <c r="D286" t="s">
        <v>31</v>
      </c>
      <c r="E286">
        <v>5</v>
      </c>
      <c r="F286">
        <v>40</v>
      </c>
      <c r="G286">
        <v>8.31</v>
      </c>
      <c r="H286" t="s">
        <v>576</v>
      </c>
      <c r="I286" t="s">
        <v>1862</v>
      </c>
      <c r="J286" t="s">
        <v>20</v>
      </c>
      <c r="K286" t="s">
        <v>34</v>
      </c>
    </row>
    <row r="287" spans="1:11" x14ac:dyDescent="0.45">
      <c r="A287" t="s">
        <v>577</v>
      </c>
      <c r="B287">
        <v>45388</v>
      </c>
      <c r="C287" t="s">
        <v>1863</v>
      </c>
      <c r="D287" t="s">
        <v>31</v>
      </c>
      <c r="E287">
        <v>8</v>
      </c>
      <c r="F287">
        <v>40</v>
      </c>
      <c r="G287">
        <v>10.88</v>
      </c>
      <c r="H287" t="s">
        <v>578</v>
      </c>
      <c r="I287" t="s">
        <v>1864</v>
      </c>
      <c r="J287" t="s">
        <v>20</v>
      </c>
      <c r="K287" t="s">
        <v>74</v>
      </c>
    </row>
    <row r="288" spans="1:11" x14ac:dyDescent="0.45">
      <c r="A288" t="s">
        <v>579</v>
      </c>
      <c r="B288">
        <v>45388</v>
      </c>
      <c r="C288" t="s">
        <v>1865</v>
      </c>
      <c r="D288" t="s">
        <v>67</v>
      </c>
      <c r="E288">
        <v>6</v>
      </c>
      <c r="F288">
        <v>12</v>
      </c>
      <c r="G288">
        <v>4.78</v>
      </c>
      <c r="H288" t="s">
        <v>164</v>
      </c>
      <c r="I288" t="s">
        <v>1518</v>
      </c>
      <c r="J288" t="s">
        <v>20</v>
      </c>
      <c r="K288" t="s">
        <v>134</v>
      </c>
    </row>
    <row r="289" spans="1:11" x14ac:dyDescent="0.45">
      <c r="A289" t="s">
        <v>580</v>
      </c>
      <c r="B289">
        <v>45388</v>
      </c>
      <c r="C289" t="s">
        <v>1866</v>
      </c>
      <c r="D289" t="s">
        <v>24</v>
      </c>
      <c r="E289">
        <v>1</v>
      </c>
      <c r="F289">
        <v>25</v>
      </c>
      <c r="G289">
        <v>9.26</v>
      </c>
      <c r="H289" t="s">
        <v>576</v>
      </c>
      <c r="I289" t="s">
        <v>1862</v>
      </c>
      <c r="J289" t="s">
        <v>27</v>
      </c>
      <c r="K289" t="s">
        <v>134</v>
      </c>
    </row>
    <row r="290" spans="1:11" x14ac:dyDescent="0.45">
      <c r="A290" t="s">
        <v>581</v>
      </c>
      <c r="B290">
        <v>45389</v>
      </c>
      <c r="C290" t="s">
        <v>1867</v>
      </c>
      <c r="D290" t="s">
        <v>24</v>
      </c>
      <c r="E290">
        <v>9</v>
      </c>
      <c r="F290">
        <v>25</v>
      </c>
      <c r="G290">
        <v>8.39</v>
      </c>
      <c r="H290" t="s">
        <v>582</v>
      </c>
      <c r="I290" t="s">
        <v>1868</v>
      </c>
      <c r="J290" t="s">
        <v>20</v>
      </c>
      <c r="K290" t="s">
        <v>28</v>
      </c>
    </row>
    <row r="291" spans="1:11" x14ac:dyDescent="0.45">
      <c r="A291" t="s">
        <v>583</v>
      </c>
      <c r="B291">
        <v>45389</v>
      </c>
      <c r="C291" t="s">
        <v>1869</v>
      </c>
      <c r="D291" t="s">
        <v>24</v>
      </c>
      <c r="E291">
        <v>4</v>
      </c>
      <c r="F291">
        <v>25</v>
      </c>
      <c r="G291">
        <v>6.45</v>
      </c>
      <c r="H291" t="s">
        <v>209</v>
      </c>
      <c r="I291" t="s">
        <v>1550</v>
      </c>
      <c r="J291" t="s">
        <v>27</v>
      </c>
      <c r="K291" t="s">
        <v>70</v>
      </c>
    </row>
    <row r="292" spans="1:11" x14ac:dyDescent="0.45">
      <c r="A292" t="s">
        <v>584</v>
      </c>
      <c r="B292">
        <v>45389</v>
      </c>
      <c r="C292" t="s">
        <v>1870</v>
      </c>
      <c r="D292" t="s">
        <v>24</v>
      </c>
      <c r="E292">
        <v>4</v>
      </c>
      <c r="F292">
        <v>25</v>
      </c>
      <c r="G292">
        <v>8.35</v>
      </c>
      <c r="H292" t="s">
        <v>139</v>
      </c>
      <c r="I292" t="s">
        <v>1499</v>
      </c>
      <c r="J292" t="s">
        <v>27</v>
      </c>
      <c r="K292" t="s">
        <v>59</v>
      </c>
    </row>
    <row r="293" spans="1:11" x14ac:dyDescent="0.45">
      <c r="A293" t="s">
        <v>585</v>
      </c>
      <c r="B293">
        <v>45390</v>
      </c>
      <c r="C293" t="s">
        <v>1871</v>
      </c>
      <c r="D293" t="s">
        <v>50</v>
      </c>
      <c r="E293">
        <v>7</v>
      </c>
      <c r="F293">
        <v>15</v>
      </c>
      <c r="G293">
        <v>5.75</v>
      </c>
      <c r="H293" t="s">
        <v>578</v>
      </c>
      <c r="I293" t="s">
        <v>1864</v>
      </c>
      <c r="J293" t="s">
        <v>20</v>
      </c>
      <c r="K293" t="s">
        <v>59</v>
      </c>
    </row>
    <row r="294" spans="1:11" x14ac:dyDescent="0.45">
      <c r="A294" t="s">
        <v>586</v>
      </c>
      <c r="B294">
        <v>45390</v>
      </c>
      <c r="C294" t="s">
        <v>1872</v>
      </c>
      <c r="D294" t="s">
        <v>67</v>
      </c>
      <c r="E294">
        <v>7</v>
      </c>
      <c r="F294">
        <v>12</v>
      </c>
      <c r="G294">
        <v>3.53</v>
      </c>
      <c r="H294" t="s">
        <v>230</v>
      </c>
      <c r="I294" t="s">
        <v>1566</v>
      </c>
      <c r="J294" t="s">
        <v>47</v>
      </c>
      <c r="K294" t="s">
        <v>59</v>
      </c>
    </row>
    <row r="295" spans="1:11" x14ac:dyDescent="0.45">
      <c r="A295" t="s">
        <v>587</v>
      </c>
      <c r="B295">
        <v>45390</v>
      </c>
      <c r="C295" t="s">
        <v>1873</v>
      </c>
      <c r="D295" t="s">
        <v>24</v>
      </c>
      <c r="E295">
        <v>9</v>
      </c>
      <c r="F295">
        <v>25</v>
      </c>
      <c r="G295">
        <v>5.36</v>
      </c>
      <c r="H295" t="s">
        <v>550</v>
      </c>
      <c r="I295" t="s">
        <v>1841</v>
      </c>
      <c r="J295" t="s">
        <v>27</v>
      </c>
      <c r="K295" t="s">
        <v>38</v>
      </c>
    </row>
    <row r="296" spans="1:11" x14ac:dyDescent="0.45">
      <c r="A296" t="s">
        <v>588</v>
      </c>
      <c r="B296">
        <v>45390</v>
      </c>
      <c r="C296" t="s">
        <v>1874</v>
      </c>
      <c r="D296" t="s">
        <v>17</v>
      </c>
      <c r="E296">
        <v>8</v>
      </c>
      <c r="F296">
        <v>10</v>
      </c>
      <c r="G296">
        <v>3.52</v>
      </c>
      <c r="H296" t="s">
        <v>174</v>
      </c>
      <c r="I296" t="s">
        <v>1526</v>
      </c>
      <c r="J296" t="s">
        <v>27</v>
      </c>
      <c r="K296" t="s">
        <v>74</v>
      </c>
    </row>
    <row r="297" spans="1:11" x14ac:dyDescent="0.45">
      <c r="A297" t="s">
        <v>589</v>
      </c>
      <c r="B297">
        <v>45391</v>
      </c>
      <c r="C297" t="s">
        <v>1875</v>
      </c>
      <c r="D297" t="s">
        <v>17</v>
      </c>
      <c r="E297">
        <v>10</v>
      </c>
      <c r="F297">
        <v>10</v>
      </c>
      <c r="G297">
        <v>2.86</v>
      </c>
      <c r="H297" t="s">
        <v>371</v>
      </c>
      <c r="I297" t="s">
        <v>1684</v>
      </c>
      <c r="J297" t="s">
        <v>27</v>
      </c>
      <c r="K297" t="s">
        <v>43</v>
      </c>
    </row>
    <row r="298" spans="1:11" x14ac:dyDescent="0.45">
      <c r="A298" t="s">
        <v>590</v>
      </c>
      <c r="B298">
        <v>45391</v>
      </c>
      <c r="C298" t="s">
        <v>1876</v>
      </c>
      <c r="D298" t="s">
        <v>17</v>
      </c>
      <c r="E298">
        <v>3</v>
      </c>
      <c r="F298">
        <v>10</v>
      </c>
      <c r="G298">
        <v>2.5299999999999998</v>
      </c>
      <c r="H298" t="s">
        <v>591</v>
      </c>
      <c r="I298" t="s">
        <v>1877</v>
      </c>
      <c r="J298" t="s">
        <v>27</v>
      </c>
      <c r="K298" t="s">
        <v>134</v>
      </c>
    </row>
    <row r="299" spans="1:11" x14ac:dyDescent="0.45">
      <c r="A299" t="s">
        <v>592</v>
      </c>
      <c r="B299">
        <v>45391</v>
      </c>
      <c r="C299" t="s">
        <v>1878</v>
      </c>
      <c r="D299" t="s">
        <v>17</v>
      </c>
      <c r="E299">
        <v>2</v>
      </c>
      <c r="F299">
        <v>10</v>
      </c>
      <c r="G299">
        <v>3.58</v>
      </c>
      <c r="H299" t="s">
        <v>121</v>
      </c>
      <c r="I299" t="s">
        <v>1487</v>
      </c>
      <c r="J299" t="s">
        <v>20</v>
      </c>
      <c r="K299" t="s">
        <v>70</v>
      </c>
    </row>
    <row r="300" spans="1:11" x14ac:dyDescent="0.45">
      <c r="A300" t="s">
        <v>593</v>
      </c>
      <c r="B300">
        <v>45392</v>
      </c>
      <c r="C300" t="s">
        <v>1879</v>
      </c>
      <c r="D300" t="s">
        <v>50</v>
      </c>
      <c r="E300">
        <v>10</v>
      </c>
      <c r="F300">
        <v>15</v>
      </c>
      <c r="G300">
        <v>5.89</v>
      </c>
      <c r="H300" t="s">
        <v>594</v>
      </c>
      <c r="I300" t="s">
        <v>1880</v>
      </c>
      <c r="J300" t="s">
        <v>20</v>
      </c>
      <c r="K300" t="s">
        <v>38</v>
      </c>
    </row>
    <row r="301" spans="1:11" x14ac:dyDescent="0.45">
      <c r="A301" t="s">
        <v>595</v>
      </c>
      <c r="B301">
        <v>45392</v>
      </c>
      <c r="C301" t="s">
        <v>1881</v>
      </c>
      <c r="D301" t="s">
        <v>24</v>
      </c>
      <c r="E301">
        <v>3</v>
      </c>
      <c r="F301">
        <v>25</v>
      </c>
      <c r="G301">
        <v>5.6</v>
      </c>
      <c r="H301" t="s">
        <v>276</v>
      </c>
      <c r="I301" t="s">
        <v>1604</v>
      </c>
      <c r="J301" t="s">
        <v>27</v>
      </c>
      <c r="K301" t="s">
        <v>74</v>
      </c>
    </row>
    <row r="302" spans="1:11" x14ac:dyDescent="0.45">
      <c r="A302" t="s">
        <v>596</v>
      </c>
      <c r="B302">
        <v>45392</v>
      </c>
      <c r="C302" t="s">
        <v>1882</v>
      </c>
      <c r="D302" t="s">
        <v>17</v>
      </c>
      <c r="E302">
        <v>4</v>
      </c>
      <c r="F302">
        <v>10</v>
      </c>
      <c r="G302">
        <v>2.4300000000000002</v>
      </c>
      <c r="H302" t="s">
        <v>300</v>
      </c>
      <c r="I302" t="s">
        <v>1623</v>
      </c>
      <c r="J302" t="s">
        <v>27</v>
      </c>
      <c r="K302" t="s">
        <v>38</v>
      </c>
    </row>
    <row r="303" spans="1:11" x14ac:dyDescent="0.45">
      <c r="A303" t="s">
        <v>597</v>
      </c>
      <c r="B303">
        <v>45393</v>
      </c>
      <c r="C303" t="s">
        <v>1883</v>
      </c>
      <c r="D303" t="s">
        <v>31</v>
      </c>
      <c r="E303">
        <v>3</v>
      </c>
      <c r="F303">
        <v>40</v>
      </c>
      <c r="G303">
        <v>15.83</v>
      </c>
      <c r="H303" t="s">
        <v>598</v>
      </c>
      <c r="I303" t="s">
        <v>1884</v>
      </c>
      <c r="J303" t="s">
        <v>27</v>
      </c>
      <c r="K303" t="s">
        <v>74</v>
      </c>
    </row>
    <row r="304" spans="1:11" x14ac:dyDescent="0.45">
      <c r="A304" t="s">
        <v>599</v>
      </c>
      <c r="B304">
        <v>45394</v>
      </c>
      <c r="C304" t="s">
        <v>1885</v>
      </c>
      <c r="D304" t="s">
        <v>31</v>
      </c>
      <c r="E304">
        <v>4</v>
      </c>
      <c r="F304">
        <v>40</v>
      </c>
      <c r="G304">
        <v>8.26</v>
      </c>
      <c r="H304" t="s">
        <v>256</v>
      </c>
      <c r="I304" t="s">
        <v>1587</v>
      </c>
      <c r="J304" t="s">
        <v>47</v>
      </c>
      <c r="K304" t="s">
        <v>56</v>
      </c>
    </row>
    <row r="305" spans="1:11" x14ac:dyDescent="0.45">
      <c r="A305" t="s">
        <v>600</v>
      </c>
      <c r="B305">
        <v>45394</v>
      </c>
      <c r="C305" t="s">
        <v>1886</v>
      </c>
      <c r="D305" t="s">
        <v>31</v>
      </c>
      <c r="E305">
        <v>2</v>
      </c>
      <c r="F305">
        <v>40</v>
      </c>
      <c r="G305">
        <v>8.09</v>
      </c>
      <c r="H305" t="s">
        <v>300</v>
      </c>
      <c r="I305" t="s">
        <v>1623</v>
      </c>
      <c r="J305" t="s">
        <v>47</v>
      </c>
      <c r="K305" t="s">
        <v>28</v>
      </c>
    </row>
    <row r="306" spans="1:11" x14ac:dyDescent="0.45">
      <c r="A306" t="s">
        <v>601</v>
      </c>
      <c r="B306">
        <v>45394</v>
      </c>
      <c r="C306" t="s">
        <v>1887</v>
      </c>
      <c r="D306" t="s">
        <v>31</v>
      </c>
      <c r="E306">
        <v>10</v>
      </c>
      <c r="F306">
        <v>40</v>
      </c>
      <c r="G306">
        <v>8.0399999999999991</v>
      </c>
      <c r="H306" t="s">
        <v>352</v>
      </c>
      <c r="I306" t="s">
        <v>1668</v>
      </c>
      <c r="J306" t="s">
        <v>27</v>
      </c>
      <c r="K306" t="s">
        <v>28</v>
      </c>
    </row>
    <row r="307" spans="1:11" x14ac:dyDescent="0.45">
      <c r="A307" t="s">
        <v>602</v>
      </c>
      <c r="B307">
        <v>45395</v>
      </c>
      <c r="C307" t="s">
        <v>1888</v>
      </c>
      <c r="D307" t="s">
        <v>24</v>
      </c>
      <c r="E307">
        <v>8</v>
      </c>
      <c r="F307">
        <v>25</v>
      </c>
      <c r="G307">
        <v>5.87</v>
      </c>
      <c r="H307" t="s">
        <v>402</v>
      </c>
      <c r="I307" t="s">
        <v>1711</v>
      </c>
      <c r="J307" t="s">
        <v>27</v>
      </c>
      <c r="K307" t="s">
        <v>28</v>
      </c>
    </row>
    <row r="308" spans="1:11" x14ac:dyDescent="0.45">
      <c r="A308" t="s">
        <v>603</v>
      </c>
      <c r="B308">
        <v>45395</v>
      </c>
      <c r="C308" t="s">
        <v>1889</v>
      </c>
      <c r="D308" t="s">
        <v>50</v>
      </c>
      <c r="E308">
        <v>1</v>
      </c>
      <c r="F308">
        <v>15</v>
      </c>
      <c r="G308">
        <v>5.9</v>
      </c>
      <c r="H308" t="s">
        <v>174</v>
      </c>
      <c r="I308" t="s">
        <v>1526</v>
      </c>
      <c r="J308" t="s">
        <v>27</v>
      </c>
      <c r="K308" t="s">
        <v>59</v>
      </c>
    </row>
    <row r="309" spans="1:11" x14ac:dyDescent="0.45">
      <c r="A309" t="s">
        <v>604</v>
      </c>
      <c r="B309">
        <v>45395</v>
      </c>
      <c r="C309" t="s">
        <v>1890</v>
      </c>
      <c r="D309" t="s">
        <v>31</v>
      </c>
      <c r="E309">
        <v>3</v>
      </c>
      <c r="F309">
        <v>40</v>
      </c>
      <c r="G309">
        <v>14.85</v>
      </c>
      <c r="H309" t="s">
        <v>382</v>
      </c>
      <c r="I309" t="s">
        <v>1693</v>
      </c>
      <c r="J309" t="s">
        <v>47</v>
      </c>
      <c r="K309" t="s">
        <v>56</v>
      </c>
    </row>
    <row r="310" spans="1:11" x14ac:dyDescent="0.45">
      <c r="A310" t="s">
        <v>605</v>
      </c>
      <c r="B310">
        <v>45396</v>
      </c>
      <c r="C310" t="s">
        <v>1891</v>
      </c>
      <c r="D310" t="s">
        <v>31</v>
      </c>
      <c r="E310">
        <v>4</v>
      </c>
      <c r="F310">
        <v>40</v>
      </c>
      <c r="G310">
        <v>15.39</v>
      </c>
      <c r="H310" t="s">
        <v>132</v>
      </c>
      <c r="I310" t="s">
        <v>1495</v>
      </c>
      <c r="J310" t="s">
        <v>20</v>
      </c>
      <c r="K310" t="s">
        <v>59</v>
      </c>
    </row>
    <row r="311" spans="1:11" x14ac:dyDescent="0.45">
      <c r="A311" t="s">
        <v>606</v>
      </c>
      <c r="B311">
        <v>45396</v>
      </c>
      <c r="C311" t="s">
        <v>1892</v>
      </c>
      <c r="D311" t="s">
        <v>67</v>
      </c>
      <c r="E311">
        <v>2</v>
      </c>
      <c r="F311">
        <v>12</v>
      </c>
      <c r="G311">
        <v>3.33</v>
      </c>
      <c r="H311" t="s">
        <v>326</v>
      </c>
      <c r="I311" t="s">
        <v>1645</v>
      </c>
      <c r="J311" t="s">
        <v>27</v>
      </c>
      <c r="K311" t="s">
        <v>28</v>
      </c>
    </row>
    <row r="312" spans="1:11" x14ac:dyDescent="0.45">
      <c r="A312" t="s">
        <v>607</v>
      </c>
      <c r="B312">
        <v>45396</v>
      </c>
      <c r="C312" t="s">
        <v>1893</v>
      </c>
      <c r="D312" t="s">
        <v>31</v>
      </c>
      <c r="E312">
        <v>8</v>
      </c>
      <c r="F312">
        <v>40</v>
      </c>
      <c r="G312">
        <v>8.81</v>
      </c>
      <c r="H312" t="s">
        <v>324</v>
      </c>
      <c r="I312" t="s">
        <v>1643</v>
      </c>
      <c r="J312" t="s">
        <v>27</v>
      </c>
      <c r="K312" t="s">
        <v>70</v>
      </c>
    </row>
    <row r="313" spans="1:11" x14ac:dyDescent="0.45">
      <c r="A313" t="s">
        <v>608</v>
      </c>
      <c r="B313">
        <v>45397</v>
      </c>
      <c r="C313" t="s">
        <v>1894</v>
      </c>
      <c r="D313" t="s">
        <v>31</v>
      </c>
      <c r="E313">
        <v>5</v>
      </c>
      <c r="F313">
        <v>40</v>
      </c>
      <c r="G313">
        <v>15.08</v>
      </c>
      <c r="H313" t="s">
        <v>420</v>
      </c>
      <c r="I313" t="s">
        <v>1728</v>
      </c>
      <c r="J313" t="s">
        <v>20</v>
      </c>
      <c r="K313" t="s">
        <v>21</v>
      </c>
    </row>
    <row r="314" spans="1:11" x14ac:dyDescent="0.45">
      <c r="A314" t="s">
        <v>609</v>
      </c>
      <c r="B314">
        <v>45397</v>
      </c>
      <c r="C314" t="s">
        <v>1895</v>
      </c>
      <c r="D314" t="s">
        <v>31</v>
      </c>
      <c r="E314">
        <v>8</v>
      </c>
      <c r="F314">
        <v>40</v>
      </c>
      <c r="G314">
        <v>11.5</v>
      </c>
      <c r="H314" t="s">
        <v>209</v>
      </c>
      <c r="I314" t="s">
        <v>1550</v>
      </c>
      <c r="J314" t="s">
        <v>47</v>
      </c>
      <c r="K314" t="s">
        <v>74</v>
      </c>
    </row>
    <row r="315" spans="1:11" x14ac:dyDescent="0.45">
      <c r="A315" t="s">
        <v>610</v>
      </c>
      <c r="B315">
        <v>45397</v>
      </c>
      <c r="C315" t="s">
        <v>1896</v>
      </c>
      <c r="D315" t="s">
        <v>17</v>
      </c>
      <c r="E315">
        <v>9</v>
      </c>
      <c r="F315">
        <v>10</v>
      </c>
      <c r="G315">
        <v>2.65</v>
      </c>
      <c r="H315" t="s">
        <v>36</v>
      </c>
      <c r="I315" t="s">
        <v>1435</v>
      </c>
      <c r="J315" t="s">
        <v>27</v>
      </c>
      <c r="K315" t="s">
        <v>59</v>
      </c>
    </row>
    <row r="316" spans="1:11" x14ac:dyDescent="0.45">
      <c r="A316" t="s">
        <v>611</v>
      </c>
      <c r="B316">
        <v>45398</v>
      </c>
      <c r="C316" t="s">
        <v>1897</v>
      </c>
      <c r="D316" t="s">
        <v>17</v>
      </c>
      <c r="E316">
        <v>2</v>
      </c>
      <c r="F316">
        <v>10</v>
      </c>
      <c r="G316">
        <v>3.22</v>
      </c>
      <c r="H316" t="s">
        <v>612</v>
      </c>
      <c r="I316" t="s">
        <v>1898</v>
      </c>
      <c r="J316" t="s">
        <v>27</v>
      </c>
      <c r="K316" t="s">
        <v>70</v>
      </c>
    </row>
    <row r="317" spans="1:11" x14ac:dyDescent="0.45">
      <c r="A317" t="s">
        <v>613</v>
      </c>
      <c r="B317">
        <v>45398</v>
      </c>
      <c r="C317" t="s">
        <v>1899</v>
      </c>
      <c r="D317" t="s">
        <v>24</v>
      </c>
      <c r="E317">
        <v>6</v>
      </c>
      <c r="F317">
        <v>25</v>
      </c>
      <c r="G317">
        <v>7.37</v>
      </c>
      <c r="H317" t="s">
        <v>127</v>
      </c>
      <c r="I317" t="s">
        <v>1491</v>
      </c>
      <c r="J317" t="s">
        <v>20</v>
      </c>
      <c r="K317" t="s">
        <v>28</v>
      </c>
    </row>
    <row r="318" spans="1:11" x14ac:dyDescent="0.45">
      <c r="A318" t="s">
        <v>614</v>
      </c>
      <c r="B318">
        <v>45399</v>
      </c>
      <c r="C318" t="s">
        <v>1900</v>
      </c>
      <c r="D318" t="s">
        <v>67</v>
      </c>
      <c r="E318">
        <v>5</v>
      </c>
      <c r="F318">
        <v>12</v>
      </c>
      <c r="G318">
        <v>2.5499999999999998</v>
      </c>
      <c r="H318" t="s">
        <v>32</v>
      </c>
      <c r="I318" t="s">
        <v>1433</v>
      </c>
      <c r="J318" t="s">
        <v>20</v>
      </c>
      <c r="K318" t="s">
        <v>21</v>
      </c>
    </row>
    <row r="319" spans="1:11" x14ac:dyDescent="0.45">
      <c r="A319" t="s">
        <v>615</v>
      </c>
      <c r="B319">
        <v>45399</v>
      </c>
      <c r="C319" t="s">
        <v>1901</v>
      </c>
      <c r="D319" t="s">
        <v>24</v>
      </c>
      <c r="E319">
        <v>4</v>
      </c>
      <c r="G319">
        <v>6.2</v>
      </c>
      <c r="H319" t="s">
        <v>476</v>
      </c>
      <c r="I319" t="s">
        <v>1775</v>
      </c>
      <c r="J319" t="s">
        <v>20</v>
      </c>
      <c r="K319" t="s">
        <v>28</v>
      </c>
    </row>
    <row r="320" spans="1:11" x14ac:dyDescent="0.45">
      <c r="A320" t="s">
        <v>616</v>
      </c>
      <c r="B320">
        <v>45399</v>
      </c>
      <c r="C320" t="s">
        <v>1902</v>
      </c>
      <c r="D320" t="s">
        <v>24</v>
      </c>
      <c r="E320">
        <v>4</v>
      </c>
      <c r="F320">
        <v>25</v>
      </c>
      <c r="G320">
        <v>7.53</v>
      </c>
      <c r="H320" t="s">
        <v>292</v>
      </c>
      <c r="I320" t="s">
        <v>1615</v>
      </c>
      <c r="J320" t="s">
        <v>27</v>
      </c>
      <c r="K320" t="s">
        <v>38</v>
      </c>
    </row>
    <row r="321" spans="1:11" x14ac:dyDescent="0.45">
      <c r="A321" t="s">
        <v>617</v>
      </c>
      <c r="B321">
        <v>45400</v>
      </c>
      <c r="C321" t="s">
        <v>1903</v>
      </c>
      <c r="D321" t="s">
        <v>24</v>
      </c>
      <c r="E321">
        <v>1</v>
      </c>
      <c r="F321">
        <v>25</v>
      </c>
      <c r="G321">
        <v>7.07</v>
      </c>
      <c r="H321" t="s">
        <v>510</v>
      </c>
      <c r="I321" t="s">
        <v>1805</v>
      </c>
      <c r="J321" t="s">
        <v>47</v>
      </c>
      <c r="K321" t="s">
        <v>70</v>
      </c>
    </row>
    <row r="322" spans="1:11" x14ac:dyDescent="0.45">
      <c r="A322" t="s">
        <v>618</v>
      </c>
      <c r="B322">
        <v>45401</v>
      </c>
      <c r="C322" t="s">
        <v>1904</v>
      </c>
      <c r="D322" t="s">
        <v>17</v>
      </c>
      <c r="E322">
        <v>7</v>
      </c>
      <c r="F322">
        <v>10</v>
      </c>
      <c r="G322">
        <v>3.53</v>
      </c>
      <c r="H322" t="s">
        <v>121</v>
      </c>
      <c r="I322" t="s">
        <v>1487</v>
      </c>
      <c r="J322" t="s">
        <v>27</v>
      </c>
      <c r="K322" t="s">
        <v>70</v>
      </c>
    </row>
    <row r="323" spans="1:11" x14ac:dyDescent="0.45">
      <c r="A323" t="s">
        <v>619</v>
      </c>
      <c r="B323">
        <v>45401</v>
      </c>
      <c r="C323" t="s">
        <v>1905</v>
      </c>
      <c r="D323" t="s">
        <v>31</v>
      </c>
      <c r="E323">
        <v>7</v>
      </c>
      <c r="F323">
        <v>40</v>
      </c>
      <c r="G323">
        <v>8.4</v>
      </c>
      <c r="H323" t="s">
        <v>482</v>
      </c>
      <c r="I323" t="s">
        <v>1779</v>
      </c>
      <c r="J323" t="s">
        <v>27</v>
      </c>
      <c r="K323" t="s">
        <v>21</v>
      </c>
    </row>
    <row r="324" spans="1:11" x14ac:dyDescent="0.45">
      <c r="A324" t="s">
        <v>620</v>
      </c>
      <c r="B324">
        <v>45401</v>
      </c>
      <c r="C324" t="s">
        <v>1906</v>
      </c>
      <c r="D324" t="s">
        <v>67</v>
      </c>
      <c r="E324">
        <v>7</v>
      </c>
      <c r="F324">
        <v>12</v>
      </c>
      <c r="G324">
        <v>4.59</v>
      </c>
      <c r="H324" t="s">
        <v>118</v>
      </c>
      <c r="I324" t="s">
        <v>1485</v>
      </c>
      <c r="J324" t="s">
        <v>27</v>
      </c>
      <c r="K324" t="s">
        <v>134</v>
      </c>
    </row>
    <row r="325" spans="1:11" x14ac:dyDescent="0.45">
      <c r="A325" t="s">
        <v>621</v>
      </c>
      <c r="B325">
        <v>45402</v>
      </c>
      <c r="C325" t="s">
        <v>1907</v>
      </c>
      <c r="D325" t="s">
        <v>67</v>
      </c>
      <c r="E325">
        <v>9</v>
      </c>
      <c r="F325">
        <v>12</v>
      </c>
      <c r="G325">
        <v>3.18</v>
      </c>
      <c r="H325" t="s">
        <v>436</v>
      </c>
      <c r="I325" t="s">
        <v>1743</v>
      </c>
      <c r="J325" t="s">
        <v>27</v>
      </c>
      <c r="K325" t="s">
        <v>43</v>
      </c>
    </row>
    <row r="326" spans="1:11" x14ac:dyDescent="0.45">
      <c r="A326" t="s">
        <v>622</v>
      </c>
      <c r="B326">
        <v>45402</v>
      </c>
      <c r="C326" t="s">
        <v>1908</v>
      </c>
      <c r="D326" t="s">
        <v>17</v>
      </c>
      <c r="E326">
        <v>8</v>
      </c>
      <c r="G326">
        <v>2.5499999999999998</v>
      </c>
      <c r="H326" t="s">
        <v>344</v>
      </c>
      <c r="I326" t="s">
        <v>1661</v>
      </c>
      <c r="J326" t="s">
        <v>20</v>
      </c>
      <c r="K326" t="s">
        <v>56</v>
      </c>
    </row>
    <row r="327" spans="1:11" x14ac:dyDescent="0.45">
      <c r="A327" t="s">
        <v>623</v>
      </c>
      <c r="B327">
        <v>45402</v>
      </c>
      <c r="C327" t="s">
        <v>1909</v>
      </c>
      <c r="D327" t="s">
        <v>24</v>
      </c>
      <c r="E327">
        <v>1</v>
      </c>
      <c r="F327">
        <v>25</v>
      </c>
      <c r="G327">
        <v>6.87</v>
      </c>
      <c r="H327" t="s">
        <v>405</v>
      </c>
      <c r="I327" t="s">
        <v>1713</v>
      </c>
      <c r="J327" t="s">
        <v>27</v>
      </c>
      <c r="K327" t="s">
        <v>43</v>
      </c>
    </row>
    <row r="328" spans="1:11" x14ac:dyDescent="0.45">
      <c r="A328" t="s">
        <v>624</v>
      </c>
      <c r="B328">
        <v>45403</v>
      </c>
      <c r="C328" t="s">
        <v>1910</v>
      </c>
      <c r="D328" t="s">
        <v>31</v>
      </c>
      <c r="E328">
        <v>2</v>
      </c>
      <c r="F328">
        <v>40</v>
      </c>
      <c r="G328">
        <v>14.17</v>
      </c>
      <c r="H328" t="s">
        <v>625</v>
      </c>
      <c r="I328" t="s">
        <v>1911</v>
      </c>
      <c r="J328" t="s">
        <v>27</v>
      </c>
      <c r="K328" t="s">
        <v>28</v>
      </c>
    </row>
    <row r="329" spans="1:11" x14ac:dyDescent="0.45">
      <c r="A329" t="s">
        <v>626</v>
      </c>
      <c r="B329">
        <v>45403</v>
      </c>
      <c r="C329" t="s">
        <v>1912</v>
      </c>
      <c r="D329" t="s">
        <v>24</v>
      </c>
      <c r="E329">
        <v>4</v>
      </c>
      <c r="F329">
        <v>25</v>
      </c>
      <c r="G329">
        <v>6.54</v>
      </c>
      <c r="H329" t="s">
        <v>434</v>
      </c>
      <c r="I329" t="s">
        <v>1741</v>
      </c>
      <c r="J329" t="s">
        <v>47</v>
      </c>
      <c r="K329" t="s">
        <v>134</v>
      </c>
    </row>
    <row r="330" spans="1:11" x14ac:dyDescent="0.45">
      <c r="A330" t="s">
        <v>627</v>
      </c>
      <c r="B330">
        <v>45403</v>
      </c>
      <c r="C330" t="s">
        <v>1913</v>
      </c>
      <c r="D330" t="s">
        <v>31</v>
      </c>
      <c r="E330">
        <v>9</v>
      </c>
      <c r="F330">
        <v>40</v>
      </c>
      <c r="G330">
        <v>13.64</v>
      </c>
      <c r="H330" t="s">
        <v>300</v>
      </c>
      <c r="I330" t="s">
        <v>1623</v>
      </c>
      <c r="J330" t="s">
        <v>27</v>
      </c>
      <c r="K330" t="s">
        <v>38</v>
      </c>
    </row>
    <row r="331" spans="1:11" x14ac:dyDescent="0.45">
      <c r="A331" t="s">
        <v>628</v>
      </c>
      <c r="B331">
        <v>45404</v>
      </c>
      <c r="C331" t="s">
        <v>1914</v>
      </c>
      <c r="D331" t="s">
        <v>24</v>
      </c>
      <c r="E331">
        <v>3</v>
      </c>
      <c r="F331">
        <v>25</v>
      </c>
      <c r="G331">
        <v>9.17</v>
      </c>
      <c r="H331" t="s">
        <v>414</v>
      </c>
      <c r="I331" t="s">
        <v>1722</v>
      </c>
      <c r="J331" t="s">
        <v>20</v>
      </c>
      <c r="K331" t="s">
        <v>28</v>
      </c>
    </row>
    <row r="332" spans="1:11" x14ac:dyDescent="0.45">
      <c r="A332" t="s">
        <v>629</v>
      </c>
      <c r="B332">
        <v>45404</v>
      </c>
      <c r="C332" t="s">
        <v>1915</v>
      </c>
      <c r="D332" t="s">
        <v>24</v>
      </c>
      <c r="E332">
        <v>9</v>
      </c>
      <c r="F332">
        <v>25</v>
      </c>
      <c r="G332">
        <v>7.13</v>
      </c>
      <c r="H332" t="s">
        <v>241</v>
      </c>
      <c r="I332" t="s">
        <v>1575</v>
      </c>
      <c r="J332" t="s">
        <v>27</v>
      </c>
      <c r="K332" t="s">
        <v>70</v>
      </c>
    </row>
    <row r="333" spans="1:11" x14ac:dyDescent="0.45">
      <c r="A333" t="s">
        <v>630</v>
      </c>
      <c r="B333">
        <v>45404</v>
      </c>
      <c r="C333" t="s">
        <v>1916</v>
      </c>
      <c r="D333" t="s">
        <v>50</v>
      </c>
      <c r="E333">
        <v>5</v>
      </c>
      <c r="F333">
        <v>15</v>
      </c>
      <c r="G333">
        <v>4.1100000000000003</v>
      </c>
      <c r="H333" t="s">
        <v>279</v>
      </c>
      <c r="I333" t="s">
        <v>1606</v>
      </c>
      <c r="J333" t="s">
        <v>27</v>
      </c>
      <c r="K333" t="s">
        <v>43</v>
      </c>
    </row>
    <row r="334" spans="1:11" x14ac:dyDescent="0.45">
      <c r="A334" t="s">
        <v>631</v>
      </c>
      <c r="B334">
        <v>45404</v>
      </c>
      <c r="C334" t="s">
        <v>1917</v>
      </c>
      <c r="D334" t="s">
        <v>24</v>
      </c>
      <c r="E334">
        <v>5</v>
      </c>
      <c r="F334">
        <v>25</v>
      </c>
      <c r="G334">
        <v>8.42</v>
      </c>
      <c r="H334" t="s">
        <v>61</v>
      </c>
      <c r="I334" t="s">
        <v>1447</v>
      </c>
      <c r="J334" t="s">
        <v>27</v>
      </c>
      <c r="K334" t="s">
        <v>59</v>
      </c>
    </row>
    <row r="335" spans="1:11" x14ac:dyDescent="0.45">
      <c r="A335" t="s">
        <v>632</v>
      </c>
      <c r="B335">
        <v>45405</v>
      </c>
      <c r="C335" t="s">
        <v>1918</v>
      </c>
      <c r="D335" t="s">
        <v>67</v>
      </c>
      <c r="E335">
        <v>5</v>
      </c>
      <c r="F335">
        <v>12</v>
      </c>
      <c r="G335">
        <v>3.23</v>
      </c>
      <c r="H335" t="s">
        <v>633</v>
      </c>
      <c r="I335" t="s">
        <v>1919</v>
      </c>
      <c r="J335" t="s">
        <v>27</v>
      </c>
      <c r="K335" t="s">
        <v>28</v>
      </c>
    </row>
    <row r="336" spans="1:11" x14ac:dyDescent="0.45">
      <c r="A336" t="s">
        <v>635</v>
      </c>
      <c r="B336">
        <v>45405</v>
      </c>
      <c r="C336" t="s">
        <v>1920</v>
      </c>
      <c r="D336" t="s">
        <v>67</v>
      </c>
      <c r="E336">
        <v>3</v>
      </c>
      <c r="F336">
        <v>12</v>
      </c>
      <c r="G336">
        <v>2.87</v>
      </c>
      <c r="H336" t="s">
        <v>363</v>
      </c>
      <c r="I336" t="s">
        <v>1677</v>
      </c>
      <c r="J336" t="s">
        <v>27</v>
      </c>
      <c r="K336" t="s">
        <v>56</v>
      </c>
    </row>
    <row r="337" spans="1:11" x14ac:dyDescent="0.45">
      <c r="A337" t="s">
        <v>636</v>
      </c>
      <c r="B337">
        <v>45405</v>
      </c>
      <c r="C337" t="s">
        <v>1921</v>
      </c>
      <c r="D337" t="s">
        <v>31</v>
      </c>
      <c r="E337">
        <v>9</v>
      </c>
      <c r="F337">
        <v>40</v>
      </c>
      <c r="G337">
        <v>12.44</v>
      </c>
      <c r="H337" t="s">
        <v>224</v>
      </c>
      <c r="I337" t="s">
        <v>1561</v>
      </c>
      <c r="J337" t="s">
        <v>27</v>
      </c>
      <c r="K337" t="s">
        <v>56</v>
      </c>
    </row>
    <row r="338" spans="1:11" x14ac:dyDescent="0.45">
      <c r="A338" t="s">
        <v>637</v>
      </c>
      <c r="B338">
        <v>45406</v>
      </c>
      <c r="C338" t="s">
        <v>1922</v>
      </c>
      <c r="D338" t="s">
        <v>67</v>
      </c>
      <c r="E338">
        <v>1</v>
      </c>
      <c r="F338">
        <v>12</v>
      </c>
      <c r="G338">
        <v>2.86</v>
      </c>
      <c r="H338" t="s">
        <v>230</v>
      </c>
      <c r="I338" t="s">
        <v>1566</v>
      </c>
      <c r="J338" t="s">
        <v>42</v>
      </c>
      <c r="K338" t="s">
        <v>70</v>
      </c>
    </row>
    <row r="339" spans="1:11" x14ac:dyDescent="0.45">
      <c r="A339" t="s">
        <v>638</v>
      </c>
      <c r="B339">
        <v>45407</v>
      </c>
      <c r="C339" t="s">
        <v>1923</v>
      </c>
      <c r="D339" t="s">
        <v>17</v>
      </c>
      <c r="E339">
        <v>2</v>
      </c>
      <c r="F339">
        <v>10</v>
      </c>
      <c r="G339">
        <v>3.23</v>
      </c>
      <c r="H339" t="s">
        <v>286</v>
      </c>
      <c r="I339" t="s">
        <v>1611</v>
      </c>
      <c r="J339" t="s">
        <v>20</v>
      </c>
      <c r="K339" t="s">
        <v>134</v>
      </c>
    </row>
    <row r="340" spans="1:11" x14ac:dyDescent="0.45">
      <c r="A340" t="s">
        <v>639</v>
      </c>
      <c r="B340">
        <v>45407</v>
      </c>
      <c r="C340" t="s">
        <v>1924</v>
      </c>
      <c r="D340" t="s">
        <v>31</v>
      </c>
      <c r="E340">
        <v>6</v>
      </c>
      <c r="F340">
        <v>40</v>
      </c>
      <c r="G340">
        <v>13.49</v>
      </c>
      <c r="H340" t="s">
        <v>136</v>
      </c>
      <c r="I340" t="s">
        <v>1497</v>
      </c>
      <c r="J340" t="s">
        <v>27</v>
      </c>
      <c r="K340" t="s">
        <v>74</v>
      </c>
    </row>
    <row r="341" spans="1:11" x14ac:dyDescent="0.45">
      <c r="A341" t="s">
        <v>640</v>
      </c>
      <c r="B341">
        <v>45408</v>
      </c>
      <c r="C341" t="s">
        <v>1925</v>
      </c>
      <c r="D341" t="s">
        <v>50</v>
      </c>
      <c r="E341">
        <v>8</v>
      </c>
      <c r="F341">
        <v>15</v>
      </c>
      <c r="G341">
        <v>3.88</v>
      </c>
      <c r="H341" t="s">
        <v>641</v>
      </c>
      <c r="I341" t="s">
        <v>1926</v>
      </c>
      <c r="J341" t="s">
        <v>20</v>
      </c>
      <c r="K341" t="s">
        <v>134</v>
      </c>
    </row>
    <row r="342" spans="1:11" x14ac:dyDescent="0.45">
      <c r="A342" t="s">
        <v>642</v>
      </c>
      <c r="B342">
        <v>45408</v>
      </c>
      <c r="C342" t="s">
        <v>1927</v>
      </c>
      <c r="D342" t="s">
        <v>24</v>
      </c>
      <c r="E342">
        <v>3</v>
      </c>
      <c r="F342">
        <v>25</v>
      </c>
      <c r="G342">
        <v>6.73</v>
      </c>
      <c r="H342" t="s">
        <v>40</v>
      </c>
      <c r="I342" t="s">
        <v>1437</v>
      </c>
      <c r="J342" t="s">
        <v>27</v>
      </c>
      <c r="K342" t="s">
        <v>21</v>
      </c>
    </row>
    <row r="343" spans="1:11" x14ac:dyDescent="0.45">
      <c r="A343" t="s">
        <v>643</v>
      </c>
      <c r="B343">
        <v>45408</v>
      </c>
      <c r="C343" t="s">
        <v>1928</v>
      </c>
      <c r="D343" t="s">
        <v>67</v>
      </c>
      <c r="E343">
        <v>3</v>
      </c>
      <c r="F343">
        <v>12</v>
      </c>
      <c r="G343">
        <v>4.47</v>
      </c>
      <c r="H343" t="s">
        <v>121</v>
      </c>
      <c r="I343" t="s">
        <v>1487</v>
      </c>
      <c r="J343" t="s">
        <v>20</v>
      </c>
      <c r="K343" t="s">
        <v>74</v>
      </c>
    </row>
    <row r="344" spans="1:11" x14ac:dyDescent="0.45">
      <c r="A344" t="s">
        <v>644</v>
      </c>
      <c r="B344">
        <v>45409</v>
      </c>
      <c r="C344" t="s">
        <v>1929</v>
      </c>
      <c r="D344" t="s">
        <v>67</v>
      </c>
      <c r="E344">
        <v>6</v>
      </c>
      <c r="F344">
        <v>12</v>
      </c>
      <c r="G344">
        <v>3.76</v>
      </c>
      <c r="H344" t="s">
        <v>221</v>
      </c>
      <c r="I344" t="s">
        <v>1559</v>
      </c>
      <c r="J344" t="s">
        <v>42</v>
      </c>
      <c r="K344" t="s">
        <v>34</v>
      </c>
    </row>
    <row r="345" spans="1:11" x14ac:dyDescent="0.45">
      <c r="A345" t="s">
        <v>645</v>
      </c>
      <c r="B345">
        <v>45409</v>
      </c>
      <c r="C345" t="s">
        <v>1930</v>
      </c>
      <c r="D345" t="s">
        <v>67</v>
      </c>
      <c r="E345">
        <v>10</v>
      </c>
      <c r="F345">
        <v>12</v>
      </c>
      <c r="G345">
        <v>4.42</v>
      </c>
      <c r="H345" t="s">
        <v>254</v>
      </c>
      <c r="I345" t="s">
        <v>1585</v>
      </c>
      <c r="J345" t="s">
        <v>27</v>
      </c>
      <c r="K345" t="s">
        <v>38</v>
      </c>
    </row>
    <row r="346" spans="1:11" x14ac:dyDescent="0.45">
      <c r="A346" t="s">
        <v>646</v>
      </c>
      <c r="B346">
        <v>45409</v>
      </c>
      <c r="C346" t="s">
        <v>1931</v>
      </c>
      <c r="D346" t="s">
        <v>17</v>
      </c>
      <c r="E346">
        <v>7</v>
      </c>
      <c r="F346">
        <v>10</v>
      </c>
      <c r="G346">
        <v>2.29</v>
      </c>
      <c r="H346" t="s">
        <v>647</v>
      </c>
      <c r="I346" t="s">
        <v>1932</v>
      </c>
      <c r="J346" t="s">
        <v>20</v>
      </c>
      <c r="K346" t="s">
        <v>28</v>
      </c>
    </row>
    <row r="347" spans="1:11" x14ac:dyDescent="0.45">
      <c r="A347" t="s">
        <v>649</v>
      </c>
      <c r="B347">
        <v>45410</v>
      </c>
      <c r="C347" t="s">
        <v>1933</v>
      </c>
      <c r="D347" t="s">
        <v>50</v>
      </c>
      <c r="E347">
        <v>6</v>
      </c>
      <c r="F347">
        <v>15</v>
      </c>
      <c r="G347">
        <v>5.4</v>
      </c>
      <c r="H347" t="s">
        <v>335</v>
      </c>
      <c r="I347" t="s">
        <v>1652</v>
      </c>
      <c r="J347" t="s">
        <v>27</v>
      </c>
      <c r="K347" t="s">
        <v>59</v>
      </c>
    </row>
    <row r="348" spans="1:11" x14ac:dyDescent="0.45">
      <c r="A348" t="s">
        <v>650</v>
      </c>
      <c r="B348">
        <v>45410</v>
      </c>
      <c r="C348" t="s">
        <v>1934</v>
      </c>
      <c r="D348" t="s">
        <v>31</v>
      </c>
      <c r="E348">
        <v>7</v>
      </c>
      <c r="F348">
        <v>40</v>
      </c>
      <c r="G348">
        <v>9.5</v>
      </c>
      <c r="H348" t="s">
        <v>286</v>
      </c>
      <c r="I348" t="s">
        <v>1611</v>
      </c>
      <c r="J348" t="s">
        <v>47</v>
      </c>
      <c r="K348" t="s">
        <v>38</v>
      </c>
    </row>
    <row r="349" spans="1:11" x14ac:dyDescent="0.45">
      <c r="A349" t="s">
        <v>651</v>
      </c>
      <c r="B349">
        <v>45410</v>
      </c>
      <c r="C349" t="s">
        <v>1935</v>
      </c>
      <c r="D349" t="s">
        <v>31</v>
      </c>
      <c r="E349">
        <v>7</v>
      </c>
      <c r="F349">
        <v>40</v>
      </c>
      <c r="G349">
        <v>13.33</v>
      </c>
      <c r="H349" t="s">
        <v>245</v>
      </c>
      <c r="I349" t="s">
        <v>1578</v>
      </c>
      <c r="J349" t="s">
        <v>20</v>
      </c>
      <c r="K349" t="s">
        <v>59</v>
      </c>
    </row>
    <row r="350" spans="1:11" x14ac:dyDescent="0.45">
      <c r="A350" t="s">
        <v>652</v>
      </c>
      <c r="B350">
        <v>45410</v>
      </c>
      <c r="C350" t="s">
        <v>1936</v>
      </c>
      <c r="D350" t="s">
        <v>31</v>
      </c>
      <c r="E350">
        <v>9</v>
      </c>
      <c r="F350">
        <v>40</v>
      </c>
      <c r="G350">
        <v>15.98</v>
      </c>
      <c r="H350" t="s">
        <v>598</v>
      </c>
      <c r="I350" t="s">
        <v>1884</v>
      </c>
      <c r="J350" t="s">
        <v>42</v>
      </c>
      <c r="K350" t="s">
        <v>70</v>
      </c>
    </row>
    <row r="351" spans="1:11" x14ac:dyDescent="0.45">
      <c r="A351" t="s">
        <v>653</v>
      </c>
      <c r="B351">
        <v>45410</v>
      </c>
      <c r="C351" t="s">
        <v>1937</v>
      </c>
      <c r="D351" t="s">
        <v>24</v>
      </c>
      <c r="E351">
        <v>3</v>
      </c>
      <c r="F351">
        <v>25</v>
      </c>
      <c r="G351">
        <v>8.76</v>
      </c>
      <c r="H351" t="s">
        <v>329</v>
      </c>
      <c r="I351" t="s">
        <v>1647</v>
      </c>
      <c r="J351" t="s">
        <v>20</v>
      </c>
      <c r="K351" t="s">
        <v>43</v>
      </c>
    </row>
    <row r="352" spans="1:11" x14ac:dyDescent="0.45">
      <c r="A352" t="s">
        <v>654</v>
      </c>
      <c r="B352">
        <v>45410</v>
      </c>
      <c r="C352" t="s">
        <v>1938</v>
      </c>
      <c r="D352" t="s">
        <v>24</v>
      </c>
      <c r="E352">
        <v>2</v>
      </c>
      <c r="F352">
        <v>25</v>
      </c>
      <c r="G352">
        <v>7.85</v>
      </c>
      <c r="H352" t="s">
        <v>145</v>
      </c>
      <c r="I352" t="s">
        <v>1503</v>
      </c>
      <c r="J352" t="s">
        <v>27</v>
      </c>
      <c r="K352" t="s">
        <v>56</v>
      </c>
    </row>
    <row r="353" spans="1:11" x14ac:dyDescent="0.45">
      <c r="A353" t="s">
        <v>655</v>
      </c>
      <c r="B353">
        <v>45411</v>
      </c>
      <c r="C353" t="s">
        <v>1939</v>
      </c>
      <c r="D353" t="s">
        <v>50</v>
      </c>
      <c r="E353">
        <v>10</v>
      </c>
      <c r="F353">
        <v>15</v>
      </c>
      <c r="G353">
        <v>3.96</v>
      </c>
      <c r="H353" t="s">
        <v>479</v>
      </c>
      <c r="I353" t="s">
        <v>1777</v>
      </c>
      <c r="J353" t="s">
        <v>27</v>
      </c>
      <c r="K353" t="s">
        <v>28</v>
      </c>
    </row>
    <row r="354" spans="1:11" x14ac:dyDescent="0.45">
      <c r="A354" t="s">
        <v>656</v>
      </c>
      <c r="B354">
        <v>45411</v>
      </c>
      <c r="C354" t="s">
        <v>1940</v>
      </c>
      <c r="D354" t="s">
        <v>31</v>
      </c>
      <c r="E354">
        <v>3</v>
      </c>
      <c r="F354">
        <v>40</v>
      </c>
      <c r="G354">
        <v>12.56</v>
      </c>
      <c r="H354" t="s">
        <v>169</v>
      </c>
      <c r="I354" t="s">
        <v>1522</v>
      </c>
      <c r="J354" t="s">
        <v>27</v>
      </c>
      <c r="K354" t="s">
        <v>59</v>
      </c>
    </row>
    <row r="355" spans="1:11" x14ac:dyDescent="0.45">
      <c r="A355" t="s">
        <v>657</v>
      </c>
      <c r="B355">
        <v>45411</v>
      </c>
      <c r="C355" t="s">
        <v>1941</v>
      </c>
      <c r="D355" t="s">
        <v>17</v>
      </c>
      <c r="E355">
        <v>5</v>
      </c>
      <c r="F355">
        <v>10</v>
      </c>
      <c r="G355">
        <v>2.34</v>
      </c>
      <c r="H355" t="s">
        <v>230</v>
      </c>
      <c r="I355" t="s">
        <v>1566</v>
      </c>
      <c r="J355" t="s">
        <v>27</v>
      </c>
      <c r="K355" t="s">
        <v>34</v>
      </c>
    </row>
    <row r="356" spans="1:11" x14ac:dyDescent="0.45">
      <c r="A356" t="s">
        <v>658</v>
      </c>
      <c r="B356">
        <v>45412</v>
      </c>
      <c r="C356" t="s">
        <v>1942</v>
      </c>
      <c r="D356" t="s">
        <v>31</v>
      </c>
      <c r="E356">
        <v>5</v>
      </c>
      <c r="F356">
        <v>40</v>
      </c>
      <c r="G356">
        <v>15.01</v>
      </c>
      <c r="H356" t="s">
        <v>169</v>
      </c>
      <c r="I356" t="s">
        <v>1522</v>
      </c>
      <c r="J356" t="s">
        <v>47</v>
      </c>
      <c r="K356" t="s">
        <v>134</v>
      </c>
    </row>
    <row r="357" spans="1:11" x14ac:dyDescent="0.45">
      <c r="A357" t="s">
        <v>659</v>
      </c>
      <c r="B357">
        <v>45412</v>
      </c>
      <c r="C357" t="s">
        <v>1943</v>
      </c>
      <c r="D357" t="s">
        <v>24</v>
      </c>
      <c r="E357">
        <v>3</v>
      </c>
      <c r="F357">
        <v>25</v>
      </c>
      <c r="G357">
        <v>5.86</v>
      </c>
      <c r="H357" t="s">
        <v>337</v>
      </c>
      <c r="I357" t="s">
        <v>1654</v>
      </c>
      <c r="J357" t="s">
        <v>27</v>
      </c>
      <c r="K357" t="s">
        <v>43</v>
      </c>
    </row>
    <row r="358" spans="1:11" x14ac:dyDescent="0.45">
      <c r="A358" t="s">
        <v>660</v>
      </c>
      <c r="B358">
        <v>45412</v>
      </c>
      <c r="C358" t="s">
        <v>1944</v>
      </c>
      <c r="D358" t="s">
        <v>31</v>
      </c>
      <c r="E358">
        <v>10</v>
      </c>
      <c r="F358">
        <v>40</v>
      </c>
      <c r="G358">
        <v>12.59</v>
      </c>
      <c r="H358" t="s">
        <v>578</v>
      </c>
      <c r="I358" t="s">
        <v>1864</v>
      </c>
      <c r="J358" t="s">
        <v>27</v>
      </c>
      <c r="K358" t="s">
        <v>38</v>
      </c>
    </row>
    <row r="359" spans="1:11" x14ac:dyDescent="0.45">
      <c r="A359" t="s">
        <v>661</v>
      </c>
      <c r="B359">
        <v>45414</v>
      </c>
      <c r="C359" t="s">
        <v>1945</v>
      </c>
      <c r="D359" t="s">
        <v>24</v>
      </c>
      <c r="E359">
        <v>2</v>
      </c>
      <c r="F359">
        <v>25</v>
      </c>
      <c r="G359">
        <v>8.5500000000000007</v>
      </c>
      <c r="H359" t="s">
        <v>662</v>
      </c>
      <c r="I359" t="s">
        <v>1946</v>
      </c>
      <c r="J359" t="s">
        <v>20</v>
      </c>
      <c r="K359" t="s">
        <v>74</v>
      </c>
    </row>
    <row r="360" spans="1:11" x14ac:dyDescent="0.45">
      <c r="A360" t="s">
        <v>664</v>
      </c>
      <c r="B360">
        <v>45414</v>
      </c>
      <c r="C360" t="s">
        <v>1947</v>
      </c>
      <c r="D360" t="s">
        <v>67</v>
      </c>
      <c r="E360">
        <v>1</v>
      </c>
      <c r="F360">
        <v>12</v>
      </c>
      <c r="G360">
        <v>3</v>
      </c>
      <c r="H360" t="s">
        <v>665</v>
      </c>
      <c r="I360" t="s">
        <v>1948</v>
      </c>
      <c r="J360" t="s">
        <v>27</v>
      </c>
      <c r="K360" t="s">
        <v>43</v>
      </c>
    </row>
    <row r="361" spans="1:11" x14ac:dyDescent="0.45">
      <c r="A361" t="s">
        <v>667</v>
      </c>
      <c r="B361">
        <v>45414</v>
      </c>
      <c r="C361" t="s">
        <v>1949</v>
      </c>
      <c r="D361" t="s">
        <v>17</v>
      </c>
      <c r="E361">
        <v>7</v>
      </c>
      <c r="F361">
        <v>10</v>
      </c>
      <c r="G361">
        <v>3.06</v>
      </c>
      <c r="H361" t="s">
        <v>668</v>
      </c>
      <c r="I361" t="s">
        <v>1950</v>
      </c>
      <c r="J361" t="s">
        <v>27</v>
      </c>
      <c r="K361" t="s">
        <v>74</v>
      </c>
    </row>
    <row r="362" spans="1:11" x14ac:dyDescent="0.45">
      <c r="A362" t="s">
        <v>670</v>
      </c>
      <c r="B362">
        <v>45414</v>
      </c>
      <c r="C362" t="s">
        <v>1951</v>
      </c>
      <c r="D362" t="s">
        <v>31</v>
      </c>
      <c r="E362">
        <v>9</v>
      </c>
      <c r="F362">
        <v>40</v>
      </c>
      <c r="G362">
        <v>9.19</v>
      </c>
      <c r="H362" t="s">
        <v>671</v>
      </c>
      <c r="I362" t="s">
        <v>1952</v>
      </c>
      <c r="J362" t="s">
        <v>20</v>
      </c>
      <c r="K362" t="s">
        <v>21</v>
      </c>
    </row>
    <row r="363" spans="1:11" x14ac:dyDescent="0.45">
      <c r="A363" t="s">
        <v>673</v>
      </c>
      <c r="B363">
        <v>45415</v>
      </c>
      <c r="C363" t="s">
        <v>1953</v>
      </c>
      <c r="D363" t="s">
        <v>31</v>
      </c>
      <c r="E363">
        <v>4</v>
      </c>
      <c r="F363">
        <v>40</v>
      </c>
      <c r="G363">
        <v>13.33</v>
      </c>
      <c r="H363" t="s">
        <v>674</v>
      </c>
      <c r="I363" t="s">
        <v>1954</v>
      </c>
      <c r="J363" t="s">
        <v>42</v>
      </c>
      <c r="K363" t="s">
        <v>74</v>
      </c>
    </row>
    <row r="364" spans="1:11" x14ac:dyDescent="0.45">
      <c r="A364" t="s">
        <v>675</v>
      </c>
      <c r="B364">
        <v>45415</v>
      </c>
      <c r="C364" t="s">
        <v>1955</v>
      </c>
      <c r="D364" t="s">
        <v>31</v>
      </c>
      <c r="E364">
        <v>1</v>
      </c>
      <c r="F364">
        <v>40</v>
      </c>
      <c r="G364">
        <v>9.2200000000000006</v>
      </c>
      <c r="H364" t="s">
        <v>332</v>
      </c>
      <c r="I364" t="s">
        <v>1650</v>
      </c>
      <c r="J364" t="s">
        <v>27</v>
      </c>
      <c r="K364" t="s">
        <v>38</v>
      </c>
    </row>
    <row r="365" spans="1:11" x14ac:dyDescent="0.45">
      <c r="A365" t="s">
        <v>676</v>
      </c>
      <c r="B365">
        <v>45415</v>
      </c>
      <c r="C365" t="s">
        <v>1956</v>
      </c>
      <c r="D365" t="s">
        <v>24</v>
      </c>
      <c r="E365">
        <v>7</v>
      </c>
      <c r="F365">
        <v>25</v>
      </c>
      <c r="G365">
        <v>7.3</v>
      </c>
      <c r="H365" t="s">
        <v>145</v>
      </c>
      <c r="I365" t="s">
        <v>1503</v>
      </c>
      <c r="J365" t="s">
        <v>27</v>
      </c>
      <c r="K365" t="s">
        <v>38</v>
      </c>
    </row>
    <row r="366" spans="1:11" x14ac:dyDescent="0.45">
      <c r="A366" t="s">
        <v>677</v>
      </c>
      <c r="B366">
        <v>45415</v>
      </c>
      <c r="C366" t="s">
        <v>1957</v>
      </c>
      <c r="D366" t="s">
        <v>50</v>
      </c>
      <c r="E366">
        <v>4</v>
      </c>
      <c r="F366">
        <v>15</v>
      </c>
      <c r="G366">
        <v>3.43</v>
      </c>
      <c r="H366" t="s">
        <v>145</v>
      </c>
      <c r="I366" t="s">
        <v>1503</v>
      </c>
      <c r="J366" t="s">
        <v>27</v>
      </c>
      <c r="K366" t="s">
        <v>70</v>
      </c>
    </row>
    <row r="367" spans="1:11" x14ac:dyDescent="0.45">
      <c r="A367" t="s">
        <v>678</v>
      </c>
      <c r="B367">
        <v>45415</v>
      </c>
      <c r="C367" t="s">
        <v>1958</v>
      </c>
      <c r="D367" t="s">
        <v>67</v>
      </c>
      <c r="E367">
        <v>5</v>
      </c>
      <c r="F367">
        <v>12</v>
      </c>
      <c r="G367">
        <v>3.51</v>
      </c>
      <c r="H367" t="s">
        <v>36</v>
      </c>
      <c r="I367" t="s">
        <v>1435</v>
      </c>
      <c r="J367" t="s">
        <v>47</v>
      </c>
      <c r="K367" t="s">
        <v>70</v>
      </c>
    </row>
    <row r="368" spans="1:11" x14ac:dyDescent="0.45">
      <c r="A368" t="s">
        <v>679</v>
      </c>
      <c r="B368">
        <v>45415</v>
      </c>
      <c r="C368" t="s">
        <v>1959</v>
      </c>
      <c r="D368" t="s">
        <v>50</v>
      </c>
      <c r="E368">
        <v>8</v>
      </c>
      <c r="G368">
        <v>4.95</v>
      </c>
      <c r="H368" t="s">
        <v>111</v>
      </c>
      <c r="I368" t="s">
        <v>1480</v>
      </c>
      <c r="J368" t="s">
        <v>27</v>
      </c>
      <c r="K368" t="s">
        <v>134</v>
      </c>
    </row>
    <row r="369" spans="1:11" x14ac:dyDescent="0.45">
      <c r="A369" t="s">
        <v>680</v>
      </c>
      <c r="B369">
        <v>45416</v>
      </c>
      <c r="C369" t="s">
        <v>1960</v>
      </c>
      <c r="D369" t="s">
        <v>50</v>
      </c>
      <c r="E369">
        <v>1</v>
      </c>
      <c r="F369">
        <v>15</v>
      </c>
      <c r="G369">
        <v>4</v>
      </c>
      <c r="H369" t="s">
        <v>282</v>
      </c>
      <c r="I369" t="s">
        <v>1608</v>
      </c>
      <c r="J369" t="s">
        <v>47</v>
      </c>
      <c r="K369" t="s">
        <v>56</v>
      </c>
    </row>
    <row r="370" spans="1:11" x14ac:dyDescent="0.45">
      <c r="A370" t="s">
        <v>681</v>
      </c>
      <c r="B370">
        <v>45416</v>
      </c>
      <c r="C370" t="s">
        <v>1961</v>
      </c>
      <c r="D370" t="s">
        <v>24</v>
      </c>
      <c r="E370">
        <v>3</v>
      </c>
      <c r="F370">
        <v>25</v>
      </c>
      <c r="G370">
        <v>5.04</v>
      </c>
      <c r="H370" t="s">
        <v>662</v>
      </c>
      <c r="I370" t="s">
        <v>1946</v>
      </c>
      <c r="J370" t="s">
        <v>20</v>
      </c>
      <c r="K370" t="s">
        <v>56</v>
      </c>
    </row>
    <row r="371" spans="1:11" x14ac:dyDescent="0.45">
      <c r="A371" t="s">
        <v>682</v>
      </c>
      <c r="B371">
        <v>45416</v>
      </c>
      <c r="C371" t="s">
        <v>1962</v>
      </c>
      <c r="D371" t="s">
        <v>67</v>
      </c>
      <c r="E371">
        <v>3</v>
      </c>
      <c r="F371">
        <v>12</v>
      </c>
      <c r="G371">
        <v>4.1399999999999997</v>
      </c>
      <c r="H371" t="s">
        <v>573</v>
      </c>
      <c r="I371" t="s">
        <v>1860</v>
      </c>
      <c r="J371" t="s">
        <v>20</v>
      </c>
      <c r="K371" t="s">
        <v>59</v>
      </c>
    </row>
    <row r="372" spans="1:11" x14ac:dyDescent="0.45">
      <c r="A372" t="s">
        <v>683</v>
      </c>
      <c r="B372">
        <v>45417</v>
      </c>
      <c r="C372" t="s">
        <v>1963</v>
      </c>
      <c r="D372" t="s">
        <v>24</v>
      </c>
      <c r="E372">
        <v>2</v>
      </c>
      <c r="F372">
        <v>25</v>
      </c>
      <c r="G372">
        <v>9.6199999999999992</v>
      </c>
      <c r="H372" t="s">
        <v>684</v>
      </c>
      <c r="I372" t="s">
        <v>1964</v>
      </c>
      <c r="J372" t="s">
        <v>20</v>
      </c>
      <c r="K372" t="s">
        <v>43</v>
      </c>
    </row>
    <row r="373" spans="1:11" x14ac:dyDescent="0.45">
      <c r="A373" t="s">
        <v>685</v>
      </c>
      <c r="B373">
        <v>45417</v>
      </c>
      <c r="C373" t="s">
        <v>1965</v>
      </c>
      <c r="D373" t="s">
        <v>31</v>
      </c>
      <c r="E373">
        <v>6</v>
      </c>
      <c r="F373">
        <v>40</v>
      </c>
      <c r="G373">
        <v>15.42</v>
      </c>
      <c r="H373" t="s">
        <v>40</v>
      </c>
      <c r="I373" t="s">
        <v>1437</v>
      </c>
      <c r="J373" t="s">
        <v>27</v>
      </c>
      <c r="K373" t="s">
        <v>43</v>
      </c>
    </row>
    <row r="374" spans="1:11" x14ac:dyDescent="0.45">
      <c r="A374" t="s">
        <v>686</v>
      </c>
      <c r="B374">
        <v>45417</v>
      </c>
      <c r="C374" t="s">
        <v>1966</v>
      </c>
      <c r="D374" t="s">
        <v>17</v>
      </c>
      <c r="E374">
        <v>9</v>
      </c>
      <c r="G374">
        <v>3.13</v>
      </c>
      <c r="H374" t="s">
        <v>337</v>
      </c>
      <c r="I374" t="s">
        <v>1654</v>
      </c>
      <c r="J374" t="s">
        <v>27</v>
      </c>
      <c r="K374" t="s">
        <v>38</v>
      </c>
    </row>
    <row r="375" spans="1:11" x14ac:dyDescent="0.45">
      <c r="A375" t="s">
        <v>687</v>
      </c>
      <c r="B375">
        <v>45417</v>
      </c>
      <c r="C375" t="s">
        <v>1967</v>
      </c>
      <c r="D375" t="s">
        <v>50</v>
      </c>
      <c r="E375">
        <v>10</v>
      </c>
      <c r="F375">
        <v>15</v>
      </c>
      <c r="G375">
        <v>4.9800000000000004</v>
      </c>
      <c r="H375" t="s">
        <v>36</v>
      </c>
      <c r="I375" t="s">
        <v>1435</v>
      </c>
      <c r="J375" t="s">
        <v>27</v>
      </c>
      <c r="K375" t="s">
        <v>38</v>
      </c>
    </row>
    <row r="376" spans="1:11" x14ac:dyDescent="0.45">
      <c r="A376" t="s">
        <v>688</v>
      </c>
      <c r="B376">
        <v>45418</v>
      </c>
      <c r="C376" t="s">
        <v>1968</v>
      </c>
      <c r="D376" t="s">
        <v>24</v>
      </c>
      <c r="E376">
        <v>2</v>
      </c>
      <c r="F376">
        <v>25</v>
      </c>
      <c r="G376">
        <v>9.25</v>
      </c>
      <c r="H376" t="s">
        <v>40</v>
      </c>
      <c r="I376" t="s">
        <v>1437</v>
      </c>
      <c r="J376" t="s">
        <v>47</v>
      </c>
      <c r="K376" t="s">
        <v>28</v>
      </c>
    </row>
    <row r="377" spans="1:11" x14ac:dyDescent="0.45">
      <c r="A377" t="s">
        <v>689</v>
      </c>
      <c r="B377">
        <v>45419</v>
      </c>
      <c r="C377" t="s">
        <v>1969</v>
      </c>
      <c r="D377" t="s">
        <v>67</v>
      </c>
      <c r="E377">
        <v>4</v>
      </c>
      <c r="F377">
        <v>12</v>
      </c>
      <c r="G377">
        <v>4.3600000000000003</v>
      </c>
      <c r="H377" t="s">
        <v>424</v>
      </c>
      <c r="I377" t="s">
        <v>1732</v>
      </c>
      <c r="J377" t="s">
        <v>47</v>
      </c>
      <c r="K377" t="s">
        <v>38</v>
      </c>
    </row>
    <row r="378" spans="1:11" x14ac:dyDescent="0.45">
      <c r="A378" t="s">
        <v>690</v>
      </c>
      <c r="B378">
        <v>45419</v>
      </c>
      <c r="C378" t="s">
        <v>1970</v>
      </c>
      <c r="D378" t="s">
        <v>24</v>
      </c>
      <c r="E378">
        <v>7</v>
      </c>
      <c r="F378">
        <v>25</v>
      </c>
      <c r="G378">
        <v>5.6</v>
      </c>
      <c r="H378" t="s">
        <v>691</v>
      </c>
      <c r="I378" t="s">
        <v>1971</v>
      </c>
      <c r="J378" t="s">
        <v>20</v>
      </c>
      <c r="K378" t="s">
        <v>28</v>
      </c>
    </row>
    <row r="379" spans="1:11" x14ac:dyDescent="0.45">
      <c r="A379" t="s">
        <v>693</v>
      </c>
      <c r="B379">
        <v>45419</v>
      </c>
      <c r="C379" t="s">
        <v>1972</v>
      </c>
      <c r="D379" t="s">
        <v>31</v>
      </c>
      <c r="E379">
        <v>5</v>
      </c>
      <c r="F379">
        <v>40</v>
      </c>
      <c r="G379">
        <v>13.32</v>
      </c>
      <c r="H379" t="s">
        <v>279</v>
      </c>
      <c r="I379" t="s">
        <v>1606</v>
      </c>
      <c r="J379" t="s">
        <v>27</v>
      </c>
      <c r="K379" t="s">
        <v>70</v>
      </c>
    </row>
    <row r="380" spans="1:11" x14ac:dyDescent="0.45">
      <c r="A380" t="s">
        <v>694</v>
      </c>
      <c r="B380">
        <v>45419</v>
      </c>
      <c r="C380" t="s">
        <v>1973</v>
      </c>
      <c r="D380" t="s">
        <v>67</v>
      </c>
      <c r="E380">
        <v>7</v>
      </c>
      <c r="F380">
        <v>12</v>
      </c>
      <c r="G380">
        <v>3.05</v>
      </c>
      <c r="H380" t="s">
        <v>321</v>
      </c>
      <c r="I380" t="s">
        <v>1641</v>
      </c>
      <c r="J380" t="s">
        <v>27</v>
      </c>
      <c r="K380" t="s">
        <v>34</v>
      </c>
    </row>
    <row r="381" spans="1:11" x14ac:dyDescent="0.45">
      <c r="A381" t="s">
        <v>695</v>
      </c>
      <c r="B381">
        <v>45420</v>
      </c>
      <c r="C381" t="s">
        <v>1974</v>
      </c>
      <c r="D381" t="s">
        <v>67</v>
      </c>
      <c r="E381">
        <v>8</v>
      </c>
      <c r="F381">
        <v>12</v>
      </c>
      <c r="G381">
        <v>4.37</v>
      </c>
      <c r="H381" t="s">
        <v>641</v>
      </c>
      <c r="I381" t="s">
        <v>1926</v>
      </c>
      <c r="J381" t="s">
        <v>27</v>
      </c>
      <c r="K381" t="s">
        <v>21</v>
      </c>
    </row>
    <row r="382" spans="1:11" x14ac:dyDescent="0.45">
      <c r="A382" t="s">
        <v>696</v>
      </c>
      <c r="B382">
        <v>45420</v>
      </c>
      <c r="C382" t="s">
        <v>1975</v>
      </c>
      <c r="D382" t="s">
        <v>31</v>
      </c>
      <c r="E382">
        <v>2</v>
      </c>
      <c r="F382">
        <v>40</v>
      </c>
      <c r="G382">
        <v>13.53</v>
      </c>
      <c r="H382" t="s">
        <v>139</v>
      </c>
      <c r="I382" t="s">
        <v>1499</v>
      </c>
      <c r="J382" t="s">
        <v>27</v>
      </c>
      <c r="K382" t="s">
        <v>70</v>
      </c>
    </row>
    <row r="383" spans="1:11" x14ac:dyDescent="0.45">
      <c r="A383" t="s">
        <v>697</v>
      </c>
      <c r="B383">
        <v>45421</v>
      </c>
      <c r="C383" t="s">
        <v>1976</v>
      </c>
      <c r="D383" t="s">
        <v>31</v>
      </c>
      <c r="E383">
        <v>6</v>
      </c>
      <c r="F383">
        <v>40</v>
      </c>
      <c r="G383">
        <v>13.84</v>
      </c>
      <c r="H383" t="s">
        <v>305</v>
      </c>
      <c r="I383" t="s">
        <v>1628</v>
      </c>
      <c r="J383" t="s">
        <v>27</v>
      </c>
      <c r="K383" t="s">
        <v>74</v>
      </c>
    </row>
    <row r="384" spans="1:11" x14ac:dyDescent="0.45">
      <c r="A384" t="s">
        <v>698</v>
      </c>
      <c r="B384">
        <v>45421</v>
      </c>
      <c r="C384" t="s">
        <v>1977</v>
      </c>
      <c r="D384" t="s">
        <v>17</v>
      </c>
      <c r="E384">
        <v>8</v>
      </c>
      <c r="F384">
        <v>10</v>
      </c>
      <c r="G384">
        <v>2.94</v>
      </c>
      <c r="H384" t="s">
        <v>321</v>
      </c>
      <c r="I384" t="s">
        <v>1641</v>
      </c>
      <c r="J384" t="s">
        <v>27</v>
      </c>
      <c r="K384" t="s">
        <v>59</v>
      </c>
    </row>
    <row r="385" spans="1:11" x14ac:dyDescent="0.45">
      <c r="A385" t="s">
        <v>699</v>
      </c>
      <c r="B385">
        <v>45421</v>
      </c>
      <c r="C385" t="s">
        <v>1978</v>
      </c>
      <c r="D385" t="s">
        <v>17</v>
      </c>
      <c r="E385">
        <v>9</v>
      </c>
      <c r="F385">
        <v>10</v>
      </c>
      <c r="G385">
        <v>2.81</v>
      </c>
      <c r="H385" t="s">
        <v>684</v>
      </c>
      <c r="I385" t="s">
        <v>1964</v>
      </c>
      <c r="J385" t="s">
        <v>20</v>
      </c>
      <c r="K385" t="s">
        <v>28</v>
      </c>
    </row>
    <row r="386" spans="1:11" x14ac:dyDescent="0.45">
      <c r="A386" t="s">
        <v>700</v>
      </c>
      <c r="B386">
        <v>45422</v>
      </c>
      <c r="C386" t="s">
        <v>1979</v>
      </c>
      <c r="D386" t="s">
        <v>50</v>
      </c>
      <c r="E386">
        <v>1</v>
      </c>
      <c r="F386">
        <v>15</v>
      </c>
      <c r="G386">
        <v>4.66</v>
      </c>
      <c r="H386" t="s">
        <v>102</v>
      </c>
      <c r="I386" t="s">
        <v>1473</v>
      </c>
      <c r="J386" t="s">
        <v>27</v>
      </c>
      <c r="K386" t="s">
        <v>43</v>
      </c>
    </row>
    <row r="387" spans="1:11" x14ac:dyDescent="0.45">
      <c r="A387" t="s">
        <v>701</v>
      </c>
      <c r="B387">
        <v>45422</v>
      </c>
      <c r="C387" t="s">
        <v>1980</v>
      </c>
      <c r="D387" t="s">
        <v>17</v>
      </c>
      <c r="E387">
        <v>3</v>
      </c>
      <c r="F387">
        <v>10</v>
      </c>
      <c r="G387">
        <v>3.02</v>
      </c>
      <c r="H387" t="s">
        <v>674</v>
      </c>
      <c r="I387" t="s">
        <v>1954</v>
      </c>
      <c r="J387" t="s">
        <v>20</v>
      </c>
      <c r="K387" t="s">
        <v>59</v>
      </c>
    </row>
    <row r="388" spans="1:11" x14ac:dyDescent="0.45">
      <c r="A388" t="s">
        <v>702</v>
      </c>
      <c r="B388">
        <v>45422</v>
      </c>
      <c r="C388" t="s">
        <v>1981</v>
      </c>
      <c r="D388" t="s">
        <v>50</v>
      </c>
      <c r="E388">
        <v>6</v>
      </c>
      <c r="F388">
        <v>15</v>
      </c>
      <c r="G388">
        <v>4.8</v>
      </c>
      <c r="H388" t="s">
        <v>703</v>
      </c>
      <c r="I388" t="s">
        <v>1982</v>
      </c>
      <c r="J388" t="s">
        <v>27</v>
      </c>
      <c r="K388" t="s">
        <v>134</v>
      </c>
    </row>
    <row r="389" spans="1:11" x14ac:dyDescent="0.45">
      <c r="A389" t="s">
        <v>704</v>
      </c>
      <c r="B389">
        <v>45422</v>
      </c>
      <c r="C389" t="s">
        <v>1983</v>
      </c>
      <c r="D389" t="s">
        <v>31</v>
      </c>
      <c r="E389">
        <v>9</v>
      </c>
      <c r="G389">
        <v>14.62</v>
      </c>
      <c r="H389" t="s">
        <v>418</v>
      </c>
      <c r="I389" t="s">
        <v>1726</v>
      </c>
      <c r="J389" t="s">
        <v>42</v>
      </c>
      <c r="K389" t="s">
        <v>59</v>
      </c>
    </row>
    <row r="390" spans="1:11" x14ac:dyDescent="0.45">
      <c r="A390" t="s">
        <v>705</v>
      </c>
      <c r="B390">
        <v>45423</v>
      </c>
      <c r="C390" t="s">
        <v>1984</v>
      </c>
      <c r="D390" t="s">
        <v>50</v>
      </c>
      <c r="E390">
        <v>5</v>
      </c>
      <c r="F390">
        <v>15</v>
      </c>
      <c r="G390">
        <v>3.13</v>
      </c>
      <c r="H390" t="s">
        <v>124</v>
      </c>
      <c r="I390" t="s">
        <v>1489</v>
      </c>
      <c r="J390" t="s">
        <v>27</v>
      </c>
      <c r="K390" t="s">
        <v>59</v>
      </c>
    </row>
    <row r="391" spans="1:11" x14ac:dyDescent="0.45">
      <c r="A391" t="s">
        <v>706</v>
      </c>
      <c r="B391">
        <v>45423</v>
      </c>
      <c r="C391" t="s">
        <v>1985</v>
      </c>
      <c r="D391" t="s">
        <v>31</v>
      </c>
      <c r="E391">
        <v>1</v>
      </c>
      <c r="F391">
        <v>40</v>
      </c>
      <c r="G391">
        <v>13.15</v>
      </c>
      <c r="H391" t="s">
        <v>337</v>
      </c>
      <c r="I391" t="s">
        <v>1654</v>
      </c>
      <c r="J391" t="s">
        <v>27</v>
      </c>
      <c r="K391" t="s">
        <v>21</v>
      </c>
    </row>
    <row r="392" spans="1:11" x14ac:dyDescent="0.45">
      <c r="A392" t="s">
        <v>707</v>
      </c>
      <c r="B392">
        <v>45423</v>
      </c>
      <c r="C392" t="s">
        <v>1986</v>
      </c>
      <c r="D392" t="s">
        <v>31</v>
      </c>
      <c r="E392">
        <v>9</v>
      </c>
      <c r="F392">
        <v>40</v>
      </c>
      <c r="G392">
        <v>13.31</v>
      </c>
      <c r="H392" t="s">
        <v>332</v>
      </c>
      <c r="I392" t="s">
        <v>1650</v>
      </c>
      <c r="J392" t="s">
        <v>27</v>
      </c>
      <c r="K392" t="s">
        <v>56</v>
      </c>
    </row>
    <row r="393" spans="1:11" x14ac:dyDescent="0.45">
      <c r="A393" t="s">
        <v>708</v>
      </c>
      <c r="B393">
        <v>45423</v>
      </c>
      <c r="C393" t="s">
        <v>1987</v>
      </c>
      <c r="D393" t="s">
        <v>67</v>
      </c>
      <c r="E393">
        <v>10</v>
      </c>
      <c r="F393">
        <v>12</v>
      </c>
      <c r="G393">
        <v>3.7</v>
      </c>
      <c r="H393" t="s">
        <v>124</v>
      </c>
      <c r="I393" t="s">
        <v>1489</v>
      </c>
      <c r="J393" t="s">
        <v>27</v>
      </c>
      <c r="K393" t="s">
        <v>43</v>
      </c>
    </row>
    <row r="394" spans="1:11" x14ac:dyDescent="0.45">
      <c r="A394" t="s">
        <v>709</v>
      </c>
      <c r="B394">
        <v>45423</v>
      </c>
      <c r="C394" t="s">
        <v>1988</v>
      </c>
      <c r="D394" t="s">
        <v>17</v>
      </c>
      <c r="E394">
        <v>3</v>
      </c>
      <c r="F394">
        <v>10</v>
      </c>
      <c r="G394">
        <v>3.68</v>
      </c>
      <c r="H394" t="s">
        <v>241</v>
      </c>
      <c r="I394" t="s">
        <v>1575</v>
      </c>
      <c r="J394" t="s">
        <v>47</v>
      </c>
      <c r="K394" t="s">
        <v>134</v>
      </c>
    </row>
    <row r="395" spans="1:11" x14ac:dyDescent="0.45">
      <c r="A395" t="s">
        <v>710</v>
      </c>
      <c r="B395">
        <v>45424</v>
      </c>
      <c r="C395" t="s">
        <v>1989</v>
      </c>
      <c r="D395" t="s">
        <v>24</v>
      </c>
      <c r="E395">
        <v>7</v>
      </c>
      <c r="F395">
        <v>25</v>
      </c>
      <c r="G395">
        <v>5.54</v>
      </c>
      <c r="H395" t="s">
        <v>51</v>
      </c>
      <c r="I395" t="s">
        <v>1441</v>
      </c>
      <c r="J395" t="s">
        <v>27</v>
      </c>
      <c r="K395" t="s">
        <v>21</v>
      </c>
    </row>
    <row r="396" spans="1:11" x14ac:dyDescent="0.45">
      <c r="A396" t="s">
        <v>711</v>
      </c>
      <c r="B396">
        <v>45424</v>
      </c>
      <c r="C396" t="s">
        <v>1990</v>
      </c>
      <c r="D396" t="s">
        <v>50</v>
      </c>
      <c r="E396">
        <v>2</v>
      </c>
      <c r="F396">
        <v>15</v>
      </c>
      <c r="G396">
        <v>3.17</v>
      </c>
      <c r="H396" t="s">
        <v>96</v>
      </c>
      <c r="I396" t="s">
        <v>1469</v>
      </c>
      <c r="J396" t="s">
        <v>20</v>
      </c>
      <c r="K396" t="s">
        <v>74</v>
      </c>
    </row>
    <row r="397" spans="1:11" x14ac:dyDescent="0.45">
      <c r="A397" t="s">
        <v>712</v>
      </c>
      <c r="B397">
        <v>45424</v>
      </c>
      <c r="C397" t="s">
        <v>1991</v>
      </c>
      <c r="D397" t="s">
        <v>31</v>
      </c>
      <c r="E397">
        <v>8</v>
      </c>
      <c r="G397">
        <v>13.61</v>
      </c>
      <c r="H397" t="s">
        <v>662</v>
      </c>
      <c r="I397" t="s">
        <v>1946</v>
      </c>
      <c r="J397" t="s">
        <v>27</v>
      </c>
      <c r="K397" t="s">
        <v>134</v>
      </c>
    </row>
    <row r="398" spans="1:11" x14ac:dyDescent="0.45">
      <c r="A398" t="s">
        <v>713</v>
      </c>
      <c r="B398">
        <v>45425</v>
      </c>
      <c r="C398" t="s">
        <v>1992</v>
      </c>
      <c r="D398" t="s">
        <v>17</v>
      </c>
      <c r="E398">
        <v>1</v>
      </c>
      <c r="F398">
        <v>10</v>
      </c>
      <c r="G398">
        <v>2.72</v>
      </c>
      <c r="H398" t="s">
        <v>578</v>
      </c>
      <c r="I398" t="s">
        <v>1864</v>
      </c>
      <c r="J398" t="s">
        <v>42</v>
      </c>
      <c r="K398" t="s">
        <v>21</v>
      </c>
    </row>
    <row r="399" spans="1:11" x14ac:dyDescent="0.45">
      <c r="A399" t="s">
        <v>714</v>
      </c>
      <c r="B399">
        <v>45425</v>
      </c>
      <c r="C399" t="s">
        <v>1993</v>
      </c>
      <c r="D399" t="s">
        <v>17</v>
      </c>
      <c r="E399">
        <v>3</v>
      </c>
      <c r="F399">
        <v>10</v>
      </c>
      <c r="G399">
        <v>2.4700000000000002</v>
      </c>
      <c r="H399" t="s">
        <v>282</v>
      </c>
      <c r="I399" t="s">
        <v>1608</v>
      </c>
      <c r="J399" t="s">
        <v>27</v>
      </c>
      <c r="K399" t="s">
        <v>28</v>
      </c>
    </row>
    <row r="400" spans="1:11" x14ac:dyDescent="0.45">
      <c r="A400" t="s">
        <v>715</v>
      </c>
      <c r="B400">
        <v>45426</v>
      </c>
      <c r="C400" t="s">
        <v>1994</v>
      </c>
      <c r="D400" t="s">
        <v>50</v>
      </c>
      <c r="E400">
        <v>6</v>
      </c>
      <c r="F400">
        <v>15</v>
      </c>
      <c r="G400">
        <v>5.97</v>
      </c>
      <c r="H400" t="s">
        <v>45</v>
      </c>
      <c r="I400" t="s">
        <v>1439</v>
      </c>
      <c r="J400" t="s">
        <v>27</v>
      </c>
      <c r="K400" t="s">
        <v>74</v>
      </c>
    </row>
    <row r="401" spans="1:11" x14ac:dyDescent="0.45">
      <c r="A401" t="s">
        <v>716</v>
      </c>
      <c r="B401">
        <v>45426</v>
      </c>
      <c r="C401" t="s">
        <v>1995</v>
      </c>
      <c r="D401" t="s">
        <v>17</v>
      </c>
      <c r="E401">
        <v>7</v>
      </c>
      <c r="F401">
        <v>10</v>
      </c>
      <c r="G401">
        <v>2.06</v>
      </c>
      <c r="H401" t="s">
        <v>174</v>
      </c>
      <c r="I401" t="s">
        <v>1526</v>
      </c>
      <c r="J401" t="s">
        <v>27</v>
      </c>
      <c r="K401" t="s">
        <v>38</v>
      </c>
    </row>
    <row r="402" spans="1:11" x14ac:dyDescent="0.45">
      <c r="A402" t="s">
        <v>717</v>
      </c>
      <c r="B402">
        <v>45426</v>
      </c>
      <c r="C402" t="s">
        <v>1996</v>
      </c>
      <c r="D402" t="s">
        <v>31</v>
      </c>
      <c r="E402">
        <v>3</v>
      </c>
      <c r="F402">
        <v>40</v>
      </c>
      <c r="G402">
        <v>9.3000000000000007</v>
      </c>
      <c r="H402" t="s">
        <v>221</v>
      </c>
      <c r="I402" t="s">
        <v>1559</v>
      </c>
      <c r="J402" t="s">
        <v>27</v>
      </c>
      <c r="K402" t="s">
        <v>43</v>
      </c>
    </row>
    <row r="403" spans="1:11" x14ac:dyDescent="0.45">
      <c r="A403" t="s">
        <v>718</v>
      </c>
      <c r="B403">
        <v>45426</v>
      </c>
      <c r="C403" t="s">
        <v>1997</v>
      </c>
      <c r="D403" t="s">
        <v>24</v>
      </c>
      <c r="E403">
        <v>9</v>
      </c>
      <c r="F403">
        <v>25</v>
      </c>
      <c r="G403">
        <v>8.24</v>
      </c>
      <c r="H403" t="s">
        <v>241</v>
      </c>
      <c r="I403" t="s">
        <v>1575</v>
      </c>
      <c r="J403" t="s">
        <v>20</v>
      </c>
      <c r="K403" t="s">
        <v>70</v>
      </c>
    </row>
    <row r="404" spans="1:11" x14ac:dyDescent="0.45">
      <c r="A404" t="s">
        <v>719</v>
      </c>
      <c r="B404">
        <v>45426</v>
      </c>
      <c r="C404" t="s">
        <v>1998</v>
      </c>
      <c r="D404" t="s">
        <v>67</v>
      </c>
      <c r="E404">
        <v>2</v>
      </c>
      <c r="F404">
        <v>12</v>
      </c>
      <c r="G404">
        <v>4.5999999999999996</v>
      </c>
      <c r="H404" t="s">
        <v>502</v>
      </c>
      <c r="I404" t="s">
        <v>1797</v>
      </c>
      <c r="J404" t="s">
        <v>27</v>
      </c>
      <c r="K404" t="s">
        <v>28</v>
      </c>
    </row>
    <row r="405" spans="1:11" x14ac:dyDescent="0.45">
      <c r="A405" t="s">
        <v>720</v>
      </c>
      <c r="B405">
        <v>45426</v>
      </c>
      <c r="C405" t="s">
        <v>1999</v>
      </c>
      <c r="D405" t="s">
        <v>31</v>
      </c>
      <c r="E405">
        <v>4</v>
      </c>
      <c r="F405">
        <v>40</v>
      </c>
      <c r="G405">
        <v>14.68</v>
      </c>
      <c r="H405" t="s">
        <v>368</v>
      </c>
      <c r="I405" t="s">
        <v>1682</v>
      </c>
      <c r="J405" t="s">
        <v>27</v>
      </c>
      <c r="K405" t="s">
        <v>34</v>
      </c>
    </row>
    <row r="406" spans="1:11" x14ac:dyDescent="0.45">
      <c r="A406" t="s">
        <v>721</v>
      </c>
      <c r="B406">
        <v>45426</v>
      </c>
      <c r="C406" t="s">
        <v>2000</v>
      </c>
      <c r="D406" t="s">
        <v>67</v>
      </c>
      <c r="E406">
        <v>6</v>
      </c>
      <c r="F406">
        <v>12</v>
      </c>
      <c r="G406">
        <v>3.84</v>
      </c>
      <c r="H406" t="s">
        <v>108</v>
      </c>
      <c r="I406" t="s">
        <v>1478</v>
      </c>
      <c r="J406" t="s">
        <v>42</v>
      </c>
      <c r="K406" t="s">
        <v>70</v>
      </c>
    </row>
    <row r="407" spans="1:11" x14ac:dyDescent="0.45">
      <c r="A407" t="s">
        <v>722</v>
      </c>
      <c r="B407">
        <v>45427</v>
      </c>
      <c r="C407" t="s">
        <v>2001</v>
      </c>
      <c r="D407" t="s">
        <v>31</v>
      </c>
      <c r="E407">
        <v>7</v>
      </c>
      <c r="F407">
        <v>40</v>
      </c>
      <c r="G407">
        <v>11.74</v>
      </c>
      <c r="H407" t="s">
        <v>108</v>
      </c>
      <c r="I407" t="s">
        <v>1478</v>
      </c>
      <c r="J407" t="s">
        <v>27</v>
      </c>
      <c r="K407" t="s">
        <v>43</v>
      </c>
    </row>
    <row r="408" spans="1:11" x14ac:dyDescent="0.45">
      <c r="A408" t="s">
        <v>723</v>
      </c>
      <c r="B408">
        <v>45428</v>
      </c>
      <c r="C408" t="s">
        <v>2002</v>
      </c>
      <c r="D408" t="s">
        <v>17</v>
      </c>
      <c r="E408">
        <v>2</v>
      </c>
      <c r="F408">
        <v>10</v>
      </c>
      <c r="G408">
        <v>2.6</v>
      </c>
      <c r="H408" t="s">
        <v>102</v>
      </c>
      <c r="I408" t="s">
        <v>1473</v>
      </c>
      <c r="J408" t="s">
        <v>27</v>
      </c>
      <c r="K408" t="s">
        <v>43</v>
      </c>
    </row>
    <row r="409" spans="1:11" x14ac:dyDescent="0.45">
      <c r="A409" t="s">
        <v>724</v>
      </c>
      <c r="B409">
        <v>45428</v>
      </c>
      <c r="C409" t="s">
        <v>2003</v>
      </c>
      <c r="D409" t="s">
        <v>24</v>
      </c>
      <c r="E409">
        <v>6</v>
      </c>
      <c r="F409">
        <v>25</v>
      </c>
      <c r="G409">
        <v>5.69</v>
      </c>
      <c r="H409" t="s">
        <v>51</v>
      </c>
      <c r="I409" t="s">
        <v>1441</v>
      </c>
      <c r="J409" t="s">
        <v>27</v>
      </c>
      <c r="K409" t="s">
        <v>43</v>
      </c>
    </row>
    <row r="410" spans="1:11" x14ac:dyDescent="0.45">
      <c r="A410" t="s">
        <v>725</v>
      </c>
      <c r="B410">
        <v>45428</v>
      </c>
      <c r="C410" t="s">
        <v>2004</v>
      </c>
      <c r="D410" t="s">
        <v>24</v>
      </c>
      <c r="E410">
        <v>10</v>
      </c>
      <c r="G410">
        <v>9.11</v>
      </c>
      <c r="H410" t="s">
        <v>424</v>
      </c>
      <c r="I410" t="s">
        <v>1732</v>
      </c>
      <c r="J410" t="s">
        <v>27</v>
      </c>
      <c r="K410" t="s">
        <v>28</v>
      </c>
    </row>
    <row r="411" spans="1:11" x14ac:dyDescent="0.45">
      <c r="A411" t="s">
        <v>726</v>
      </c>
      <c r="B411">
        <v>45429</v>
      </c>
      <c r="C411" t="s">
        <v>2005</v>
      </c>
      <c r="D411" t="s">
        <v>31</v>
      </c>
      <c r="E411">
        <v>8</v>
      </c>
      <c r="F411">
        <v>40</v>
      </c>
      <c r="G411">
        <v>14.14</v>
      </c>
      <c r="H411" t="s">
        <v>378</v>
      </c>
      <c r="I411" t="s">
        <v>1690</v>
      </c>
      <c r="J411" t="s">
        <v>20</v>
      </c>
      <c r="K411" t="s">
        <v>38</v>
      </c>
    </row>
    <row r="412" spans="1:11" x14ac:dyDescent="0.45">
      <c r="A412" t="s">
        <v>727</v>
      </c>
      <c r="B412">
        <v>45430</v>
      </c>
      <c r="C412" t="s">
        <v>2006</v>
      </c>
      <c r="D412" t="s">
        <v>17</v>
      </c>
      <c r="E412">
        <v>8</v>
      </c>
      <c r="F412">
        <v>10</v>
      </c>
      <c r="G412">
        <v>3.2</v>
      </c>
      <c r="H412" t="s">
        <v>191</v>
      </c>
      <c r="I412" t="s">
        <v>1538</v>
      </c>
      <c r="J412" t="s">
        <v>42</v>
      </c>
      <c r="K412" t="s">
        <v>56</v>
      </c>
    </row>
    <row r="413" spans="1:11" x14ac:dyDescent="0.45">
      <c r="A413" t="s">
        <v>728</v>
      </c>
      <c r="B413">
        <v>45430</v>
      </c>
      <c r="C413" t="s">
        <v>2007</v>
      </c>
      <c r="D413" t="s">
        <v>50</v>
      </c>
      <c r="E413">
        <v>8</v>
      </c>
      <c r="F413">
        <v>15</v>
      </c>
      <c r="G413">
        <v>5.1100000000000003</v>
      </c>
      <c r="H413" t="s">
        <v>612</v>
      </c>
      <c r="I413" t="s">
        <v>1898</v>
      </c>
      <c r="J413" t="s">
        <v>20</v>
      </c>
      <c r="K413" t="s">
        <v>134</v>
      </c>
    </row>
    <row r="414" spans="1:11" x14ac:dyDescent="0.45">
      <c r="A414" t="s">
        <v>729</v>
      </c>
      <c r="B414">
        <v>45430</v>
      </c>
      <c r="C414" t="s">
        <v>2008</v>
      </c>
      <c r="D414" t="s">
        <v>50</v>
      </c>
      <c r="E414">
        <v>1</v>
      </c>
      <c r="F414">
        <v>15</v>
      </c>
      <c r="G414">
        <v>3.13</v>
      </c>
      <c r="H414" t="s">
        <v>194</v>
      </c>
      <c r="I414" t="s">
        <v>1540</v>
      </c>
      <c r="J414" t="s">
        <v>27</v>
      </c>
      <c r="K414" t="s">
        <v>43</v>
      </c>
    </row>
    <row r="415" spans="1:11" x14ac:dyDescent="0.45">
      <c r="A415" t="s">
        <v>730</v>
      </c>
      <c r="B415">
        <v>45430</v>
      </c>
      <c r="C415" t="s">
        <v>2009</v>
      </c>
      <c r="D415" t="s">
        <v>24</v>
      </c>
      <c r="E415">
        <v>3</v>
      </c>
      <c r="F415">
        <v>25</v>
      </c>
      <c r="G415">
        <v>5.8</v>
      </c>
      <c r="H415" t="s">
        <v>731</v>
      </c>
      <c r="I415" t="s">
        <v>2010</v>
      </c>
      <c r="J415" t="s">
        <v>27</v>
      </c>
      <c r="K415" t="s">
        <v>74</v>
      </c>
    </row>
    <row r="416" spans="1:11" x14ac:dyDescent="0.45">
      <c r="A416" t="s">
        <v>733</v>
      </c>
      <c r="B416">
        <v>45430</v>
      </c>
      <c r="C416" t="s">
        <v>2011</v>
      </c>
      <c r="D416" t="s">
        <v>17</v>
      </c>
      <c r="E416">
        <v>10</v>
      </c>
      <c r="F416">
        <v>10</v>
      </c>
      <c r="G416">
        <v>3.45</v>
      </c>
      <c r="H416" t="s">
        <v>734</v>
      </c>
      <c r="I416" t="s">
        <v>2012</v>
      </c>
      <c r="J416" t="s">
        <v>27</v>
      </c>
      <c r="K416" t="s">
        <v>59</v>
      </c>
    </row>
    <row r="417" spans="1:11" x14ac:dyDescent="0.45">
      <c r="A417" t="s">
        <v>735</v>
      </c>
      <c r="B417">
        <v>45431</v>
      </c>
      <c r="C417" t="s">
        <v>2013</v>
      </c>
      <c r="D417" t="s">
        <v>31</v>
      </c>
      <c r="E417">
        <v>8</v>
      </c>
      <c r="F417">
        <v>40</v>
      </c>
      <c r="G417">
        <v>11.29</v>
      </c>
      <c r="H417" t="s">
        <v>82</v>
      </c>
      <c r="I417" t="s">
        <v>1459</v>
      </c>
      <c r="J417" t="s">
        <v>47</v>
      </c>
      <c r="K417" t="s">
        <v>70</v>
      </c>
    </row>
    <row r="418" spans="1:11" x14ac:dyDescent="0.45">
      <c r="A418" t="s">
        <v>736</v>
      </c>
      <c r="B418">
        <v>45431</v>
      </c>
      <c r="C418" t="s">
        <v>2014</v>
      </c>
      <c r="D418" t="s">
        <v>67</v>
      </c>
      <c r="E418">
        <v>6</v>
      </c>
      <c r="F418">
        <v>12</v>
      </c>
      <c r="G418">
        <v>3.5</v>
      </c>
      <c r="H418" t="s">
        <v>428</v>
      </c>
      <c r="I418" t="s">
        <v>1736</v>
      </c>
      <c r="J418" t="s">
        <v>27</v>
      </c>
      <c r="K418" t="s">
        <v>56</v>
      </c>
    </row>
    <row r="419" spans="1:11" x14ac:dyDescent="0.45">
      <c r="A419" t="s">
        <v>737</v>
      </c>
      <c r="B419">
        <v>45431</v>
      </c>
      <c r="C419" t="s">
        <v>2015</v>
      </c>
      <c r="D419" t="s">
        <v>50</v>
      </c>
      <c r="E419">
        <v>8</v>
      </c>
      <c r="F419">
        <v>15</v>
      </c>
      <c r="G419">
        <v>5.56</v>
      </c>
      <c r="H419" t="s">
        <v>216</v>
      </c>
      <c r="I419" t="s">
        <v>1555</v>
      </c>
      <c r="J419" t="s">
        <v>20</v>
      </c>
      <c r="K419" t="s">
        <v>56</v>
      </c>
    </row>
    <row r="420" spans="1:11" x14ac:dyDescent="0.45">
      <c r="A420" t="s">
        <v>738</v>
      </c>
      <c r="B420">
        <v>45431</v>
      </c>
      <c r="C420" t="s">
        <v>2016</v>
      </c>
      <c r="D420" t="s">
        <v>67</v>
      </c>
      <c r="E420">
        <v>3</v>
      </c>
      <c r="G420">
        <v>3.51</v>
      </c>
      <c r="H420" t="s">
        <v>476</v>
      </c>
      <c r="I420" t="s">
        <v>1775</v>
      </c>
      <c r="J420" t="s">
        <v>27</v>
      </c>
      <c r="K420" t="s">
        <v>43</v>
      </c>
    </row>
    <row r="421" spans="1:11" x14ac:dyDescent="0.45">
      <c r="A421" t="s">
        <v>739</v>
      </c>
      <c r="B421">
        <v>45431</v>
      </c>
      <c r="C421" t="s">
        <v>2017</v>
      </c>
      <c r="D421" t="s">
        <v>24</v>
      </c>
      <c r="E421">
        <v>6</v>
      </c>
      <c r="F421">
        <v>25</v>
      </c>
      <c r="G421">
        <v>6.75</v>
      </c>
      <c r="H421" t="s">
        <v>96</v>
      </c>
      <c r="I421" t="s">
        <v>1469</v>
      </c>
      <c r="J421" t="s">
        <v>20</v>
      </c>
      <c r="K421" t="s">
        <v>59</v>
      </c>
    </row>
    <row r="422" spans="1:11" x14ac:dyDescent="0.45">
      <c r="A422" t="s">
        <v>740</v>
      </c>
      <c r="B422">
        <v>45432</v>
      </c>
      <c r="C422" t="s">
        <v>2018</v>
      </c>
      <c r="D422" t="s">
        <v>67</v>
      </c>
      <c r="E422">
        <v>1</v>
      </c>
      <c r="F422">
        <v>12</v>
      </c>
      <c r="G422">
        <v>4</v>
      </c>
      <c r="H422" t="s">
        <v>72</v>
      </c>
      <c r="I422" t="s">
        <v>1453</v>
      </c>
      <c r="J422" t="s">
        <v>20</v>
      </c>
      <c r="K422" t="s">
        <v>59</v>
      </c>
    </row>
    <row r="423" spans="1:11" x14ac:dyDescent="0.45">
      <c r="A423" t="s">
        <v>741</v>
      </c>
      <c r="B423">
        <v>45433</v>
      </c>
      <c r="C423" t="s">
        <v>2019</v>
      </c>
      <c r="D423" t="s">
        <v>31</v>
      </c>
      <c r="E423">
        <v>7</v>
      </c>
      <c r="F423">
        <v>40</v>
      </c>
      <c r="G423">
        <v>14.84</v>
      </c>
      <c r="H423" t="s">
        <v>373</v>
      </c>
      <c r="I423" t="s">
        <v>1686</v>
      </c>
      <c r="J423" t="s">
        <v>27</v>
      </c>
      <c r="K423" t="s">
        <v>70</v>
      </c>
    </row>
    <row r="424" spans="1:11" x14ac:dyDescent="0.45">
      <c r="A424" t="s">
        <v>742</v>
      </c>
      <c r="B424">
        <v>45433</v>
      </c>
      <c r="C424" t="s">
        <v>2020</v>
      </c>
      <c r="D424" t="s">
        <v>31</v>
      </c>
      <c r="E424">
        <v>5</v>
      </c>
      <c r="G424">
        <v>10.58</v>
      </c>
      <c r="H424" t="s">
        <v>743</v>
      </c>
      <c r="I424" t="s">
        <v>2021</v>
      </c>
      <c r="J424" t="s">
        <v>27</v>
      </c>
      <c r="K424" t="s">
        <v>43</v>
      </c>
    </row>
    <row r="425" spans="1:11" x14ac:dyDescent="0.45">
      <c r="A425" t="s">
        <v>744</v>
      </c>
      <c r="B425">
        <v>45433</v>
      </c>
      <c r="C425" t="s">
        <v>2022</v>
      </c>
      <c r="D425" t="s">
        <v>50</v>
      </c>
      <c r="E425">
        <v>9</v>
      </c>
      <c r="F425">
        <v>15</v>
      </c>
      <c r="G425">
        <v>5.77</v>
      </c>
      <c r="H425" t="s">
        <v>216</v>
      </c>
      <c r="I425" t="s">
        <v>1555</v>
      </c>
      <c r="J425" t="s">
        <v>27</v>
      </c>
      <c r="K425" t="s">
        <v>21</v>
      </c>
    </row>
    <row r="426" spans="1:11" x14ac:dyDescent="0.45">
      <c r="A426" t="s">
        <v>745</v>
      </c>
      <c r="B426">
        <v>45434</v>
      </c>
      <c r="C426" t="s">
        <v>2023</v>
      </c>
      <c r="D426" t="s">
        <v>50</v>
      </c>
      <c r="E426">
        <v>5</v>
      </c>
      <c r="F426">
        <v>15</v>
      </c>
      <c r="G426">
        <v>5.92</v>
      </c>
      <c r="H426" t="s">
        <v>510</v>
      </c>
      <c r="I426" t="s">
        <v>1805</v>
      </c>
      <c r="J426" t="s">
        <v>27</v>
      </c>
      <c r="K426" t="s">
        <v>74</v>
      </c>
    </row>
    <row r="427" spans="1:11" x14ac:dyDescent="0.45">
      <c r="A427" t="s">
        <v>746</v>
      </c>
      <c r="B427">
        <v>45435</v>
      </c>
      <c r="C427" t="s">
        <v>2024</v>
      </c>
      <c r="D427" t="s">
        <v>31</v>
      </c>
      <c r="E427">
        <v>9</v>
      </c>
      <c r="F427">
        <v>40</v>
      </c>
      <c r="G427">
        <v>10.53</v>
      </c>
      <c r="H427" t="s">
        <v>439</v>
      </c>
      <c r="I427" t="s">
        <v>1745</v>
      </c>
      <c r="J427" t="s">
        <v>20</v>
      </c>
      <c r="K427" t="s">
        <v>21</v>
      </c>
    </row>
    <row r="428" spans="1:11" x14ac:dyDescent="0.45">
      <c r="A428" t="s">
        <v>747</v>
      </c>
      <c r="B428">
        <v>45435</v>
      </c>
      <c r="C428" t="s">
        <v>2025</v>
      </c>
      <c r="D428" t="s">
        <v>50</v>
      </c>
      <c r="E428">
        <v>10</v>
      </c>
      <c r="F428">
        <v>15</v>
      </c>
      <c r="G428">
        <v>3.43</v>
      </c>
      <c r="H428" t="s">
        <v>748</v>
      </c>
      <c r="I428" t="s">
        <v>2026</v>
      </c>
      <c r="J428" t="s">
        <v>27</v>
      </c>
      <c r="K428" t="s">
        <v>43</v>
      </c>
    </row>
    <row r="429" spans="1:11" x14ac:dyDescent="0.45">
      <c r="A429" t="s">
        <v>750</v>
      </c>
      <c r="B429">
        <v>45435</v>
      </c>
      <c r="C429" t="s">
        <v>2027</v>
      </c>
      <c r="D429" t="s">
        <v>31</v>
      </c>
      <c r="E429">
        <v>1</v>
      </c>
      <c r="F429">
        <v>40</v>
      </c>
      <c r="G429">
        <v>12.59</v>
      </c>
      <c r="H429" t="s">
        <v>457</v>
      </c>
      <c r="I429" t="s">
        <v>1759</v>
      </c>
      <c r="J429" t="s">
        <v>27</v>
      </c>
      <c r="K429" t="s">
        <v>59</v>
      </c>
    </row>
    <row r="430" spans="1:11" x14ac:dyDescent="0.45">
      <c r="A430" t="s">
        <v>751</v>
      </c>
      <c r="B430">
        <v>45435</v>
      </c>
      <c r="C430" t="s">
        <v>2028</v>
      </c>
      <c r="D430" t="s">
        <v>67</v>
      </c>
      <c r="E430">
        <v>3</v>
      </c>
      <c r="F430">
        <v>12</v>
      </c>
      <c r="G430">
        <v>3.18</v>
      </c>
      <c r="H430" t="s">
        <v>344</v>
      </c>
      <c r="I430" t="s">
        <v>1661</v>
      </c>
      <c r="J430" t="s">
        <v>27</v>
      </c>
      <c r="K430" t="s">
        <v>34</v>
      </c>
    </row>
    <row r="431" spans="1:11" x14ac:dyDescent="0.45">
      <c r="A431" t="s">
        <v>752</v>
      </c>
      <c r="B431">
        <v>45435</v>
      </c>
      <c r="C431" t="s">
        <v>2029</v>
      </c>
      <c r="D431" t="s">
        <v>31</v>
      </c>
      <c r="E431">
        <v>9</v>
      </c>
      <c r="F431">
        <v>40</v>
      </c>
      <c r="G431">
        <v>8.0399999999999991</v>
      </c>
      <c r="H431" t="s">
        <v>517</v>
      </c>
      <c r="I431" t="s">
        <v>1811</v>
      </c>
      <c r="J431" t="s">
        <v>47</v>
      </c>
      <c r="K431" t="s">
        <v>70</v>
      </c>
    </row>
    <row r="432" spans="1:11" x14ac:dyDescent="0.45">
      <c r="A432" t="s">
        <v>753</v>
      </c>
      <c r="B432">
        <v>45436</v>
      </c>
      <c r="C432" t="s">
        <v>2030</v>
      </c>
      <c r="D432" t="s">
        <v>24</v>
      </c>
      <c r="E432">
        <v>6</v>
      </c>
      <c r="F432">
        <v>25</v>
      </c>
      <c r="G432">
        <v>6.37</v>
      </c>
      <c r="H432" t="s">
        <v>54</v>
      </c>
      <c r="I432" t="s">
        <v>1443</v>
      </c>
      <c r="J432" t="s">
        <v>20</v>
      </c>
      <c r="K432" t="s">
        <v>28</v>
      </c>
    </row>
    <row r="433" spans="1:11" x14ac:dyDescent="0.45">
      <c r="A433" t="s">
        <v>754</v>
      </c>
      <c r="B433">
        <v>45436</v>
      </c>
      <c r="C433" t="s">
        <v>2031</v>
      </c>
      <c r="D433" t="s">
        <v>24</v>
      </c>
      <c r="E433">
        <v>2</v>
      </c>
      <c r="G433">
        <v>9.68</v>
      </c>
      <c r="H433" t="s">
        <v>734</v>
      </c>
      <c r="I433" t="s">
        <v>2012</v>
      </c>
      <c r="J433" t="s">
        <v>20</v>
      </c>
      <c r="K433" t="s">
        <v>34</v>
      </c>
    </row>
    <row r="434" spans="1:11" x14ac:dyDescent="0.45">
      <c r="A434" t="s">
        <v>755</v>
      </c>
      <c r="B434">
        <v>45437</v>
      </c>
      <c r="C434" t="s">
        <v>2032</v>
      </c>
      <c r="D434" t="s">
        <v>24</v>
      </c>
      <c r="E434">
        <v>4</v>
      </c>
      <c r="F434">
        <v>25</v>
      </c>
      <c r="G434">
        <v>6.63</v>
      </c>
      <c r="H434" t="s">
        <v>671</v>
      </c>
      <c r="I434" t="s">
        <v>1952</v>
      </c>
      <c r="J434" t="s">
        <v>20</v>
      </c>
      <c r="K434" t="s">
        <v>43</v>
      </c>
    </row>
    <row r="435" spans="1:11" x14ac:dyDescent="0.45">
      <c r="A435" t="s">
        <v>756</v>
      </c>
      <c r="B435">
        <v>45437</v>
      </c>
      <c r="C435" t="s">
        <v>2033</v>
      </c>
      <c r="D435" t="s">
        <v>50</v>
      </c>
      <c r="E435">
        <v>5</v>
      </c>
      <c r="G435">
        <v>5.99</v>
      </c>
      <c r="H435" t="s">
        <v>565</v>
      </c>
      <c r="I435" t="s">
        <v>1853</v>
      </c>
      <c r="J435" t="s">
        <v>27</v>
      </c>
      <c r="K435" t="s">
        <v>56</v>
      </c>
    </row>
    <row r="436" spans="1:11" x14ac:dyDescent="0.45">
      <c r="A436" t="s">
        <v>757</v>
      </c>
      <c r="B436">
        <v>45437</v>
      </c>
      <c r="C436" t="s">
        <v>2034</v>
      </c>
      <c r="D436" t="s">
        <v>50</v>
      </c>
      <c r="E436">
        <v>8</v>
      </c>
      <c r="F436">
        <v>15</v>
      </c>
      <c r="G436">
        <v>4.1100000000000003</v>
      </c>
      <c r="H436" t="s">
        <v>127</v>
      </c>
      <c r="I436" t="s">
        <v>1491</v>
      </c>
      <c r="J436" t="s">
        <v>42</v>
      </c>
      <c r="K436" t="s">
        <v>21</v>
      </c>
    </row>
    <row r="437" spans="1:11" x14ac:dyDescent="0.45">
      <c r="A437" t="s">
        <v>758</v>
      </c>
      <c r="B437">
        <v>45438</v>
      </c>
      <c r="C437" t="s">
        <v>2035</v>
      </c>
      <c r="D437" t="s">
        <v>17</v>
      </c>
      <c r="E437">
        <v>1</v>
      </c>
      <c r="F437">
        <v>10</v>
      </c>
      <c r="G437">
        <v>2.81</v>
      </c>
      <c r="H437" t="s">
        <v>238</v>
      </c>
      <c r="I437" t="s">
        <v>1573</v>
      </c>
      <c r="J437" t="s">
        <v>27</v>
      </c>
      <c r="K437" t="s">
        <v>21</v>
      </c>
    </row>
    <row r="438" spans="1:11" x14ac:dyDescent="0.45">
      <c r="A438" t="s">
        <v>759</v>
      </c>
      <c r="B438">
        <v>45439</v>
      </c>
      <c r="C438" t="s">
        <v>2036</v>
      </c>
      <c r="D438" t="s">
        <v>31</v>
      </c>
      <c r="E438">
        <v>5</v>
      </c>
      <c r="F438">
        <v>40</v>
      </c>
      <c r="G438">
        <v>9.7200000000000006</v>
      </c>
      <c r="H438" t="s">
        <v>200</v>
      </c>
      <c r="I438" t="s">
        <v>1544</v>
      </c>
      <c r="J438" t="s">
        <v>47</v>
      </c>
      <c r="K438" t="s">
        <v>70</v>
      </c>
    </row>
    <row r="439" spans="1:11" x14ac:dyDescent="0.45">
      <c r="A439" t="s">
        <v>760</v>
      </c>
      <c r="B439">
        <v>45439</v>
      </c>
      <c r="C439" t="s">
        <v>2037</v>
      </c>
      <c r="D439" t="s">
        <v>67</v>
      </c>
      <c r="E439">
        <v>8</v>
      </c>
      <c r="F439">
        <v>12</v>
      </c>
      <c r="G439">
        <v>4.46</v>
      </c>
      <c r="H439" t="s">
        <v>188</v>
      </c>
      <c r="I439" t="s">
        <v>1536</v>
      </c>
      <c r="J439" t="s">
        <v>47</v>
      </c>
      <c r="K439" t="s">
        <v>134</v>
      </c>
    </row>
    <row r="440" spans="1:11" x14ac:dyDescent="0.45">
      <c r="A440" t="s">
        <v>761</v>
      </c>
      <c r="B440">
        <v>45440</v>
      </c>
      <c r="C440" t="s">
        <v>2038</v>
      </c>
      <c r="D440" t="s">
        <v>24</v>
      </c>
      <c r="E440">
        <v>5</v>
      </c>
      <c r="F440">
        <v>25</v>
      </c>
      <c r="G440">
        <v>7.88</v>
      </c>
      <c r="H440" t="s">
        <v>743</v>
      </c>
      <c r="I440" t="s">
        <v>2021</v>
      </c>
      <c r="J440" t="s">
        <v>27</v>
      </c>
      <c r="K440" t="s">
        <v>70</v>
      </c>
    </row>
    <row r="441" spans="1:11" x14ac:dyDescent="0.45">
      <c r="A441" t="s">
        <v>762</v>
      </c>
      <c r="B441">
        <v>45440</v>
      </c>
      <c r="C441" t="s">
        <v>2039</v>
      </c>
      <c r="D441" t="s">
        <v>50</v>
      </c>
      <c r="E441">
        <v>1</v>
      </c>
      <c r="F441">
        <v>15</v>
      </c>
      <c r="G441">
        <v>4.3499999999999996</v>
      </c>
      <c r="H441" t="s">
        <v>763</v>
      </c>
      <c r="I441" t="s">
        <v>2040</v>
      </c>
      <c r="J441" t="s">
        <v>27</v>
      </c>
      <c r="K441" t="s">
        <v>34</v>
      </c>
    </row>
    <row r="442" spans="1:11" x14ac:dyDescent="0.45">
      <c r="A442" t="s">
        <v>764</v>
      </c>
      <c r="B442">
        <v>45440</v>
      </c>
      <c r="C442" t="s">
        <v>2041</v>
      </c>
      <c r="D442" t="s">
        <v>24</v>
      </c>
      <c r="E442">
        <v>2</v>
      </c>
      <c r="G442">
        <v>6.85</v>
      </c>
      <c r="H442" t="s">
        <v>203</v>
      </c>
      <c r="I442" t="s">
        <v>1546</v>
      </c>
      <c r="J442" t="s">
        <v>20</v>
      </c>
      <c r="K442" t="s">
        <v>70</v>
      </c>
    </row>
    <row r="443" spans="1:11" x14ac:dyDescent="0.45">
      <c r="A443" t="s">
        <v>765</v>
      </c>
      <c r="B443">
        <v>45440</v>
      </c>
      <c r="C443" t="s">
        <v>2042</v>
      </c>
      <c r="D443" t="s">
        <v>67</v>
      </c>
      <c r="E443">
        <v>9</v>
      </c>
      <c r="F443">
        <v>12</v>
      </c>
      <c r="G443">
        <v>4.32</v>
      </c>
      <c r="H443" t="s">
        <v>766</v>
      </c>
      <c r="I443" t="s">
        <v>2043</v>
      </c>
      <c r="J443" t="s">
        <v>27</v>
      </c>
      <c r="K443" t="s">
        <v>28</v>
      </c>
    </row>
    <row r="444" spans="1:11" x14ac:dyDescent="0.45">
      <c r="A444" t="s">
        <v>768</v>
      </c>
      <c r="B444">
        <v>45440</v>
      </c>
      <c r="C444" t="s">
        <v>2044</v>
      </c>
      <c r="D444" t="s">
        <v>50</v>
      </c>
      <c r="E444">
        <v>4</v>
      </c>
      <c r="F444">
        <v>15</v>
      </c>
      <c r="G444">
        <v>5.41</v>
      </c>
      <c r="H444" t="s">
        <v>420</v>
      </c>
      <c r="I444" t="s">
        <v>1728</v>
      </c>
      <c r="J444" t="s">
        <v>20</v>
      </c>
      <c r="K444" t="s">
        <v>28</v>
      </c>
    </row>
    <row r="445" spans="1:11" x14ac:dyDescent="0.45">
      <c r="A445" t="s">
        <v>769</v>
      </c>
      <c r="B445">
        <v>45441</v>
      </c>
      <c r="C445" t="s">
        <v>2045</v>
      </c>
      <c r="D445" t="s">
        <v>31</v>
      </c>
      <c r="E445">
        <v>6</v>
      </c>
      <c r="F445">
        <v>40</v>
      </c>
      <c r="G445">
        <v>9.43</v>
      </c>
      <c r="H445" t="s">
        <v>565</v>
      </c>
      <c r="I445" t="s">
        <v>1853</v>
      </c>
      <c r="J445" t="s">
        <v>27</v>
      </c>
      <c r="K445" t="s">
        <v>38</v>
      </c>
    </row>
    <row r="446" spans="1:11" x14ac:dyDescent="0.45">
      <c r="A446" t="s">
        <v>770</v>
      </c>
      <c r="B446">
        <v>45441</v>
      </c>
      <c r="C446" t="s">
        <v>2046</v>
      </c>
      <c r="D446" t="s">
        <v>31</v>
      </c>
      <c r="E446">
        <v>4</v>
      </c>
      <c r="F446">
        <v>40</v>
      </c>
      <c r="G446">
        <v>13.02</v>
      </c>
      <c r="H446" t="s">
        <v>32</v>
      </c>
      <c r="I446" t="s">
        <v>1433</v>
      </c>
      <c r="J446" t="s">
        <v>27</v>
      </c>
      <c r="K446" t="s">
        <v>21</v>
      </c>
    </row>
    <row r="447" spans="1:11" x14ac:dyDescent="0.45">
      <c r="A447" t="s">
        <v>771</v>
      </c>
      <c r="B447">
        <v>45442</v>
      </c>
      <c r="C447" t="s">
        <v>2047</v>
      </c>
      <c r="D447" t="s">
        <v>50</v>
      </c>
      <c r="E447">
        <v>1</v>
      </c>
      <c r="F447">
        <v>15</v>
      </c>
      <c r="G447">
        <v>3.05</v>
      </c>
      <c r="H447" t="s">
        <v>420</v>
      </c>
      <c r="I447" t="s">
        <v>1728</v>
      </c>
      <c r="J447" t="s">
        <v>27</v>
      </c>
      <c r="K447" t="s">
        <v>43</v>
      </c>
    </row>
    <row r="448" spans="1:11" x14ac:dyDescent="0.45">
      <c r="A448" t="s">
        <v>772</v>
      </c>
      <c r="B448">
        <v>45442</v>
      </c>
      <c r="C448" t="s">
        <v>2048</v>
      </c>
      <c r="D448" t="s">
        <v>67</v>
      </c>
      <c r="E448">
        <v>7</v>
      </c>
      <c r="F448">
        <v>12</v>
      </c>
      <c r="G448">
        <v>4.2</v>
      </c>
      <c r="H448" t="s">
        <v>773</v>
      </c>
      <c r="I448" t="s">
        <v>2049</v>
      </c>
      <c r="J448" t="s">
        <v>27</v>
      </c>
      <c r="K448" t="s">
        <v>56</v>
      </c>
    </row>
    <row r="449" spans="1:11" x14ac:dyDescent="0.45">
      <c r="A449" t="s">
        <v>774</v>
      </c>
      <c r="B449">
        <v>45443</v>
      </c>
      <c r="C449" t="s">
        <v>2050</v>
      </c>
      <c r="D449" t="s">
        <v>31</v>
      </c>
      <c r="E449">
        <v>3</v>
      </c>
      <c r="F449">
        <v>40</v>
      </c>
      <c r="G449">
        <v>14.46</v>
      </c>
      <c r="H449" t="s">
        <v>743</v>
      </c>
      <c r="I449" t="s">
        <v>2021</v>
      </c>
      <c r="J449" t="s">
        <v>27</v>
      </c>
      <c r="K449" t="s">
        <v>56</v>
      </c>
    </row>
    <row r="450" spans="1:11" x14ac:dyDescent="0.45">
      <c r="A450" t="s">
        <v>775</v>
      </c>
      <c r="B450">
        <v>45443</v>
      </c>
      <c r="C450" t="s">
        <v>2051</v>
      </c>
      <c r="D450" t="s">
        <v>67</v>
      </c>
      <c r="E450">
        <v>10</v>
      </c>
      <c r="F450">
        <v>12</v>
      </c>
      <c r="G450">
        <v>4.5999999999999996</v>
      </c>
      <c r="H450" t="s">
        <v>216</v>
      </c>
      <c r="I450" t="s">
        <v>1555</v>
      </c>
      <c r="J450" t="s">
        <v>27</v>
      </c>
      <c r="K450" t="s">
        <v>21</v>
      </c>
    </row>
    <row r="451" spans="1:11" x14ac:dyDescent="0.45">
      <c r="A451" t="s">
        <v>776</v>
      </c>
      <c r="B451">
        <v>45445</v>
      </c>
      <c r="C451" t="s">
        <v>2052</v>
      </c>
      <c r="D451" t="s">
        <v>67</v>
      </c>
      <c r="E451">
        <v>4</v>
      </c>
      <c r="F451">
        <v>12</v>
      </c>
      <c r="G451">
        <v>4.3899999999999997</v>
      </c>
      <c r="H451" t="s">
        <v>300</v>
      </c>
      <c r="I451" t="s">
        <v>1623</v>
      </c>
      <c r="J451" t="s">
        <v>20</v>
      </c>
      <c r="K451" t="s">
        <v>59</v>
      </c>
    </row>
    <row r="452" spans="1:11" x14ac:dyDescent="0.45">
      <c r="A452" t="s">
        <v>777</v>
      </c>
      <c r="B452">
        <v>45445</v>
      </c>
      <c r="C452" t="s">
        <v>2053</v>
      </c>
      <c r="D452" t="s">
        <v>31</v>
      </c>
      <c r="E452">
        <v>10</v>
      </c>
      <c r="F452">
        <v>40</v>
      </c>
      <c r="G452">
        <v>9.85</v>
      </c>
      <c r="H452" t="s">
        <v>54</v>
      </c>
      <c r="I452" t="s">
        <v>1443</v>
      </c>
      <c r="J452" t="s">
        <v>27</v>
      </c>
      <c r="K452" t="s">
        <v>21</v>
      </c>
    </row>
    <row r="453" spans="1:11" x14ac:dyDescent="0.45">
      <c r="A453" t="s">
        <v>778</v>
      </c>
      <c r="B453">
        <v>45446</v>
      </c>
      <c r="C453" t="s">
        <v>2054</v>
      </c>
      <c r="D453" t="s">
        <v>67</v>
      </c>
      <c r="E453">
        <v>5</v>
      </c>
      <c r="F453">
        <v>12</v>
      </c>
      <c r="G453">
        <v>3.43</v>
      </c>
      <c r="H453" t="s">
        <v>743</v>
      </c>
      <c r="I453" t="s">
        <v>2021</v>
      </c>
      <c r="J453" t="s">
        <v>27</v>
      </c>
      <c r="K453" t="s">
        <v>134</v>
      </c>
    </row>
    <row r="454" spans="1:11" x14ac:dyDescent="0.45">
      <c r="A454" t="s">
        <v>779</v>
      </c>
      <c r="B454">
        <v>45446</v>
      </c>
      <c r="C454" t="s">
        <v>2055</v>
      </c>
      <c r="D454" t="s">
        <v>17</v>
      </c>
      <c r="E454">
        <v>5</v>
      </c>
      <c r="F454">
        <v>10</v>
      </c>
      <c r="G454">
        <v>3.46</v>
      </c>
      <c r="H454" t="s">
        <v>356</v>
      </c>
      <c r="I454" t="s">
        <v>1671</v>
      </c>
      <c r="J454" t="s">
        <v>27</v>
      </c>
      <c r="K454" t="s">
        <v>21</v>
      </c>
    </row>
    <row r="455" spans="1:11" x14ac:dyDescent="0.45">
      <c r="A455" t="s">
        <v>780</v>
      </c>
      <c r="B455">
        <v>45446</v>
      </c>
      <c r="C455" t="s">
        <v>2056</v>
      </c>
      <c r="D455" t="s">
        <v>24</v>
      </c>
      <c r="E455">
        <v>1</v>
      </c>
      <c r="F455">
        <v>25</v>
      </c>
      <c r="G455">
        <v>9.2100000000000009</v>
      </c>
      <c r="H455" t="s">
        <v>378</v>
      </c>
      <c r="I455" t="s">
        <v>1690</v>
      </c>
      <c r="J455" t="s">
        <v>20</v>
      </c>
      <c r="K455" t="s">
        <v>21</v>
      </c>
    </row>
    <row r="456" spans="1:11" x14ac:dyDescent="0.45">
      <c r="A456" t="s">
        <v>781</v>
      </c>
      <c r="B456">
        <v>45446</v>
      </c>
      <c r="C456" t="s">
        <v>2057</v>
      </c>
      <c r="D456" t="s">
        <v>67</v>
      </c>
      <c r="E456">
        <v>7</v>
      </c>
      <c r="F456">
        <v>12</v>
      </c>
      <c r="G456">
        <v>3.5</v>
      </c>
      <c r="H456" t="s">
        <v>371</v>
      </c>
      <c r="I456" t="s">
        <v>1684</v>
      </c>
      <c r="J456" t="s">
        <v>27</v>
      </c>
      <c r="K456" t="s">
        <v>34</v>
      </c>
    </row>
    <row r="457" spans="1:11" x14ac:dyDescent="0.45">
      <c r="A457" t="s">
        <v>782</v>
      </c>
      <c r="B457">
        <v>45446</v>
      </c>
      <c r="C457" t="s">
        <v>2058</v>
      </c>
      <c r="D457" t="s">
        <v>50</v>
      </c>
      <c r="E457">
        <v>6</v>
      </c>
      <c r="F457">
        <v>15</v>
      </c>
      <c r="G457">
        <v>5.4</v>
      </c>
      <c r="H457" t="s">
        <v>783</v>
      </c>
      <c r="I457" t="s">
        <v>2059</v>
      </c>
      <c r="J457" t="s">
        <v>27</v>
      </c>
      <c r="K457" t="s">
        <v>21</v>
      </c>
    </row>
    <row r="458" spans="1:11" x14ac:dyDescent="0.45">
      <c r="A458" t="s">
        <v>785</v>
      </c>
      <c r="B458">
        <v>45447</v>
      </c>
      <c r="C458" t="s">
        <v>2060</v>
      </c>
      <c r="D458" t="s">
        <v>24</v>
      </c>
      <c r="E458">
        <v>6</v>
      </c>
      <c r="F458">
        <v>25</v>
      </c>
      <c r="G458">
        <v>6.04</v>
      </c>
      <c r="H458" t="s">
        <v>263</v>
      </c>
      <c r="I458" t="s">
        <v>1592</v>
      </c>
      <c r="J458" t="s">
        <v>27</v>
      </c>
      <c r="K458" t="s">
        <v>74</v>
      </c>
    </row>
    <row r="459" spans="1:11" x14ac:dyDescent="0.45">
      <c r="A459" t="s">
        <v>786</v>
      </c>
      <c r="B459">
        <v>45447</v>
      </c>
      <c r="C459" t="s">
        <v>2061</v>
      </c>
      <c r="D459" t="s">
        <v>17</v>
      </c>
      <c r="E459">
        <v>10</v>
      </c>
      <c r="F459">
        <v>10</v>
      </c>
      <c r="G459">
        <v>3.34</v>
      </c>
      <c r="H459" t="s">
        <v>200</v>
      </c>
      <c r="I459" t="s">
        <v>1544</v>
      </c>
      <c r="J459" t="s">
        <v>47</v>
      </c>
      <c r="K459" t="s">
        <v>34</v>
      </c>
    </row>
    <row r="460" spans="1:11" x14ac:dyDescent="0.45">
      <c r="A460" t="s">
        <v>787</v>
      </c>
      <c r="B460">
        <v>45447</v>
      </c>
      <c r="C460" t="s">
        <v>2062</v>
      </c>
      <c r="D460" t="s">
        <v>67</v>
      </c>
      <c r="E460">
        <v>3</v>
      </c>
      <c r="F460">
        <v>12</v>
      </c>
      <c r="G460">
        <v>3.94</v>
      </c>
      <c r="H460" t="s">
        <v>578</v>
      </c>
      <c r="I460" t="s">
        <v>1864</v>
      </c>
      <c r="J460" t="s">
        <v>42</v>
      </c>
      <c r="K460" t="s">
        <v>70</v>
      </c>
    </row>
    <row r="461" spans="1:11" x14ac:dyDescent="0.45">
      <c r="A461" t="s">
        <v>788</v>
      </c>
      <c r="B461">
        <v>45448</v>
      </c>
      <c r="C461" t="s">
        <v>2063</v>
      </c>
      <c r="D461" t="s">
        <v>17</v>
      </c>
      <c r="E461">
        <v>3</v>
      </c>
      <c r="F461">
        <v>10</v>
      </c>
      <c r="G461">
        <v>3.12</v>
      </c>
      <c r="H461" t="s">
        <v>494</v>
      </c>
      <c r="I461" t="s">
        <v>1790</v>
      </c>
      <c r="J461" t="s">
        <v>20</v>
      </c>
      <c r="K461" t="s">
        <v>134</v>
      </c>
    </row>
    <row r="462" spans="1:11" x14ac:dyDescent="0.45">
      <c r="A462" t="s">
        <v>789</v>
      </c>
      <c r="B462">
        <v>45450</v>
      </c>
      <c r="C462" t="s">
        <v>2064</v>
      </c>
      <c r="D462" t="s">
        <v>67</v>
      </c>
      <c r="E462">
        <v>7</v>
      </c>
      <c r="F462">
        <v>12</v>
      </c>
      <c r="G462">
        <v>4.5599999999999996</v>
      </c>
      <c r="H462" t="s">
        <v>142</v>
      </c>
      <c r="I462" t="s">
        <v>1501</v>
      </c>
      <c r="J462" t="s">
        <v>27</v>
      </c>
      <c r="K462" t="s">
        <v>43</v>
      </c>
    </row>
    <row r="463" spans="1:11" x14ac:dyDescent="0.45">
      <c r="A463" t="s">
        <v>790</v>
      </c>
      <c r="B463">
        <v>45450</v>
      </c>
      <c r="C463" t="s">
        <v>2065</v>
      </c>
      <c r="D463" t="s">
        <v>24</v>
      </c>
      <c r="E463">
        <v>3</v>
      </c>
      <c r="F463">
        <v>25</v>
      </c>
      <c r="G463">
        <v>6.29</v>
      </c>
      <c r="H463" t="s">
        <v>684</v>
      </c>
      <c r="I463" t="s">
        <v>1964</v>
      </c>
      <c r="J463" t="s">
        <v>27</v>
      </c>
      <c r="K463" t="s">
        <v>38</v>
      </c>
    </row>
    <row r="464" spans="1:11" x14ac:dyDescent="0.45">
      <c r="A464" t="s">
        <v>791</v>
      </c>
      <c r="B464">
        <v>45450</v>
      </c>
      <c r="C464" t="s">
        <v>2066</v>
      </c>
      <c r="D464" t="s">
        <v>31</v>
      </c>
      <c r="E464">
        <v>2</v>
      </c>
      <c r="F464">
        <v>40</v>
      </c>
      <c r="G464">
        <v>8.93</v>
      </c>
      <c r="H464" t="s">
        <v>405</v>
      </c>
      <c r="I464" t="s">
        <v>1713</v>
      </c>
      <c r="J464" t="s">
        <v>47</v>
      </c>
      <c r="K464" t="s">
        <v>38</v>
      </c>
    </row>
    <row r="465" spans="1:11" x14ac:dyDescent="0.45">
      <c r="A465" t="s">
        <v>792</v>
      </c>
      <c r="B465">
        <v>45451</v>
      </c>
      <c r="C465" t="s">
        <v>2067</v>
      </c>
      <c r="D465" t="s">
        <v>24</v>
      </c>
      <c r="E465">
        <v>3</v>
      </c>
      <c r="F465">
        <v>25</v>
      </c>
      <c r="G465">
        <v>9.02</v>
      </c>
      <c r="H465" t="s">
        <v>482</v>
      </c>
      <c r="I465" t="s">
        <v>1779</v>
      </c>
      <c r="J465" t="s">
        <v>20</v>
      </c>
      <c r="K465" t="s">
        <v>34</v>
      </c>
    </row>
    <row r="466" spans="1:11" x14ac:dyDescent="0.45">
      <c r="A466" t="s">
        <v>793</v>
      </c>
      <c r="B466">
        <v>45451</v>
      </c>
      <c r="C466" t="s">
        <v>2068</v>
      </c>
      <c r="D466" t="s">
        <v>67</v>
      </c>
      <c r="E466">
        <v>2</v>
      </c>
      <c r="F466">
        <v>12</v>
      </c>
      <c r="G466">
        <v>4.6100000000000003</v>
      </c>
      <c r="H466" t="s">
        <v>241</v>
      </c>
      <c r="I466" t="s">
        <v>1575</v>
      </c>
      <c r="J466" t="s">
        <v>20</v>
      </c>
      <c r="K466" t="s">
        <v>59</v>
      </c>
    </row>
    <row r="467" spans="1:11" x14ac:dyDescent="0.45">
      <c r="A467" t="s">
        <v>794</v>
      </c>
      <c r="B467">
        <v>45451</v>
      </c>
      <c r="C467" t="s">
        <v>2069</v>
      </c>
      <c r="D467" t="s">
        <v>17</v>
      </c>
      <c r="E467">
        <v>6</v>
      </c>
      <c r="F467">
        <v>10</v>
      </c>
      <c r="G467">
        <v>3.13</v>
      </c>
      <c r="H467" t="s">
        <v>795</v>
      </c>
      <c r="I467" t="s">
        <v>2070</v>
      </c>
      <c r="J467" t="s">
        <v>27</v>
      </c>
      <c r="K467" t="s">
        <v>43</v>
      </c>
    </row>
    <row r="468" spans="1:11" x14ac:dyDescent="0.45">
      <c r="A468" t="s">
        <v>796</v>
      </c>
      <c r="B468">
        <v>45451</v>
      </c>
      <c r="C468" t="s">
        <v>2071</v>
      </c>
      <c r="D468" t="s">
        <v>31</v>
      </c>
      <c r="E468">
        <v>4</v>
      </c>
      <c r="F468">
        <v>40</v>
      </c>
      <c r="G468">
        <v>10.47</v>
      </c>
      <c r="H468" t="s">
        <v>18</v>
      </c>
      <c r="I468" t="s">
        <v>1429</v>
      </c>
      <c r="J468" t="s">
        <v>20</v>
      </c>
      <c r="K468" t="s">
        <v>70</v>
      </c>
    </row>
    <row r="469" spans="1:11" x14ac:dyDescent="0.45">
      <c r="A469" t="s">
        <v>797</v>
      </c>
      <c r="B469">
        <v>45452</v>
      </c>
      <c r="C469" t="s">
        <v>2072</v>
      </c>
      <c r="D469" t="s">
        <v>50</v>
      </c>
      <c r="E469">
        <v>9</v>
      </c>
      <c r="F469">
        <v>15</v>
      </c>
      <c r="G469">
        <v>4.75</v>
      </c>
      <c r="H469" t="s">
        <v>86</v>
      </c>
      <c r="I469" t="s">
        <v>1462</v>
      </c>
      <c r="J469" t="s">
        <v>42</v>
      </c>
      <c r="K469" t="s">
        <v>43</v>
      </c>
    </row>
    <row r="470" spans="1:11" x14ac:dyDescent="0.45">
      <c r="A470" t="s">
        <v>798</v>
      </c>
      <c r="B470">
        <v>45453</v>
      </c>
      <c r="C470" t="s">
        <v>2073</v>
      </c>
      <c r="D470" t="s">
        <v>50</v>
      </c>
      <c r="E470">
        <v>5</v>
      </c>
      <c r="F470">
        <v>15</v>
      </c>
      <c r="G470">
        <v>4.28</v>
      </c>
      <c r="H470" t="s">
        <v>530</v>
      </c>
      <c r="I470" t="s">
        <v>1822</v>
      </c>
      <c r="J470" t="s">
        <v>27</v>
      </c>
      <c r="K470" t="s">
        <v>56</v>
      </c>
    </row>
    <row r="471" spans="1:11" x14ac:dyDescent="0.45">
      <c r="A471" t="s">
        <v>799</v>
      </c>
      <c r="B471">
        <v>45455</v>
      </c>
      <c r="C471" t="s">
        <v>2074</v>
      </c>
      <c r="D471" t="s">
        <v>67</v>
      </c>
      <c r="E471">
        <v>1</v>
      </c>
      <c r="F471">
        <v>12</v>
      </c>
      <c r="G471">
        <v>3.81</v>
      </c>
      <c r="H471" t="s">
        <v>182</v>
      </c>
      <c r="I471" t="s">
        <v>1532</v>
      </c>
      <c r="J471" t="s">
        <v>27</v>
      </c>
      <c r="K471" t="s">
        <v>34</v>
      </c>
    </row>
    <row r="472" spans="1:11" x14ac:dyDescent="0.45">
      <c r="A472" t="s">
        <v>800</v>
      </c>
      <c r="B472">
        <v>45455</v>
      </c>
      <c r="C472" t="s">
        <v>2075</v>
      </c>
      <c r="D472" t="s">
        <v>67</v>
      </c>
      <c r="E472">
        <v>3</v>
      </c>
      <c r="F472">
        <v>12</v>
      </c>
      <c r="G472">
        <v>4.78</v>
      </c>
      <c r="H472" t="s">
        <v>238</v>
      </c>
      <c r="I472" t="s">
        <v>1573</v>
      </c>
      <c r="J472" t="s">
        <v>27</v>
      </c>
      <c r="K472" t="s">
        <v>70</v>
      </c>
    </row>
    <row r="473" spans="1:11" x14ac:dyDescent="0.45">
      <c r="A473" t="s">
        <v>801</v>
      </c>
      <c r="B473">
        <v>45456</v>
      </c>
      <c r="C473" t="s">
        <v>2076</v>
      </c>
      <c r="D473" t="s">
        <v>24</v>
      </c>
      <c r="E473">
        <v>5</v>
      </c>
      <c r="F473">
        <v>25</v>
      </c>
      <c r="G473">
        <v>6.67</v>
      </c>
      <c r="H473" t="s">
        <v>802</v>
      </c>
      <c r="I473" t="s">
        <v>2077</v>
      </c>
      <c r="J473" t="s">
        <v>20</v>
      </c>
      <c r="K473" t="s">
        <v>56</v>
      </c>
    </row>
    <row r="474" spans="1:11" x14ac:dyDescent="0.45">
      <c r="A474" t="s">
        <v>803</v>
      </c>
      <c r="B474">
        <v>45457</v>
      </c>
      <c r="C474" t="s">
        <v>2078</v>
      </c>
      <c r="D474" t="s">
        <v>67</v>
      </c>
      <c r="E474">
        <v>2</v>
      </c>
      <c r="G474">
        <v>3.25</v>
      </c>
      <c r="H474" t="s">
        <v>494</v>
      </c>
      <c r="I474" t="s">
        <v>1790</v>
      </c>
      <c r="J474" t="s">
        <v>20</v>
      </c>
      <c r="K474" t="s">
        <v>28</v>
      </c>
    </row>
    <row r="475" spans="1:11" x14ac:dyDescent="0.45">
      <c r="A475" t="s">
        <v>804</v>
      </c>
      <c r="B475">
        <v>45457</v>
      </c>
      <c r="C475" t="s">
        <v>2079</v>
      </c>
      <c r="D475" t="s">
        <v>50</v>
      </c>
      <c r="E475">
        <v>6</v>
      </c>
      <c r="F475">
        <v>15</v>
      </c>
      <c r="G475">
        <v>5.6</v>
      </c>
      <c r="H475" t="s">
        <v>241</v>
      </c>
      <c r="I475" t="s">
        <v>1575</v>
      </c>
      <c r="J475" t="s">
        <v>27</v>
      </c>
      <c r="K475" t="s">
        <v>70</v>
      </c>
    </row>
    <row r="476" spans="1:11" x14ac:dyDescent="0.45">
      <c r="A476" t="s">
        <v>805</v>
      </c>
      <c r="B476">
        <v>45457</v>
      </c>
      <c r="C476" t="s">
        <v>2080</v>
      </c>
      <c r="D476" t="s">
        <v>17</v>
      </c>
      <c r="E476">
        <v>8</v>
      </c>
      <c r="F476">
        <v>10</v>
      </c>
      <c r="G476">
        <v>2.0699999999999998</v>
      </c>
      <c r="H476" t="s">
        <v>318</v>
      </c>
      <c r="I476" t="s">
        <v>1639</v>
      </c>
      <c r="J476" t="s">
        <v>20</v>
      </c>
      <c r="K476" t="s">
        <v>74</v>
      </c>
    </row>
    <row r="477" spans="1:11" x14ac:dyDescent="0.45">
      <c r="A477" t="s">
        <v>806</v>
      </c>
      <c r="B477">
        <v>45458</v>
      </c>
      <c r="C477" t="s">
        <v>2081</v>
      </c>
      <c r="D477" t="s">
        <v>50</v>
      </c>
      <c r="E477">
        <v>6</v>
      </c>
      <c r="F477">
        <v>15</v>
      </c>
      <c r="G477">
        <v>4.13</v>
      </c>
      <c r="H477" t="s">
        <v>160</v>
      </c>
      <c r="I477" t="s">
        <v>1515</v>
      </c>
      <c r="J477" t="s">
        <v>47</v>
      </c>
      <c r="K477" t="s">
        <v>28</v>
      </c>
    </row>
    <row r="478" spans="1:11" x14ac:dyDescent="0.45">
      <c r="A478" t="s">
        <v>807</v>
      </c>
      <c r="B478">
        <v>45459</v>
      </c>
      <c r="C478" t="s">
        <v>2082</v>
      </c>
      <c r="D478" t="s">
        <v>50</v>
      </c>
      <c r="E478">
        <v>4</v>
      </c>
      <c r="F478">
        <v>15</v>
      </c>
      <c r="G478">
        <v>4.33</v>
      </c>
      <c r="H478" t="s">
        <v>773</v>
      </c>
      <c r="I478" t="s">
        <v>2049</v>
      </c>
      <c r="J478" t="s">
        <v>27</v>
      </c>
      <c r="K478" t="s">
        <v>59</v>
      </c>
    </row>
    <row r="479" spans="1:11" x14ac:dyDescent="0.45">
      <c r="A479" t="s">
        <v>808</v>
      </c>
      <c r="B479">
        <v>45459</v>
      </c>
      <c r="C479" t="s">
        <v>2083</v>
      </c>
      <c r="D479" t="s">
        <v>24</v>
      </c>
      <c r="E479">
        <v>5</v>
      </c>
      <c r="F479">
        <v>25</v>
      </c>
      <c r="G479">
        <v>9.07</v>
      </c>
      <c r="H479" t="s">
        <v>296</v>
      </c>
      <c r="I479" t="s">
        <v>1619</v>
      </c>
      <c r="J479" t="s">
        <v>27</v>
      </c>
      <c r="K479" t="s">
        <v>28</v>
      </c>
    </row>
    <row r="480" spans="1:11" x14ac:dyDescent="0.45">
      <c r="A480" t="s">
        <v>809</v>
      </c>
      <c r="B480">
        <v>45460</v>
      </c>
      <c r="C480" t="s">
        <v>2084</v>
      </c>
      <c r="D480" t="s">
        <v>50</v>
      </c>
      <c r="E480">
        <v>9</v>
      </c>
      <c r="F480">
        <v>15</v>
      </c>
      <c r="G480">
        <v>5.65</v>
      </c>
      <c r="H480" t="s">
        <v>111</v>
      </c>
      <c r="I480" t="s">
        <v>1480</v>
      </c>
      <c r="J480" t="s">
        <v>27</v>
      </c>
      <c r="K480" t="s">
        <v>56</v>
      </c>
    </row>
    <row r="481" spans="1:11" x14ac:dyDescent="0.45">
      <c r="A481" t="s">
        <v>810</v>
      </c>
      <c r="B481">
        <v>45460</v>
      </c>
      <c r="C481" t="s">
        <v>2085</v>
      </c>
      <c r="D481" t="s">
        <v>67</v>
      </c>
      <c r="E481">
        <v>2</v>
      </c>
      <c r="F481">
        <v>12</v>
      </c>
      <c r="G481">
        <v>3.36</v>
      </c>
      <c r="H481" t="s">
        <v>552</v>
      </c>
      <c r="I481" t="s">
        <v>1843</v>
      </c>
      <c r="J481" t="s">
        <v>27</v>
      </c>
      <c r="K481" t="s">
        <v>43</v>
      </c>
    </row>
    <row r="482" spans="1:11" x14ac:dyDescent="0.45">
      <c r="A482" t="s">
        <v>811</v>
      </c>
      <c r="B482">
        <v>45460</v>
      </c>
      <c r="C482" t="s">
        <v>2086</v>
      </c>
      <c r="D482" t="s">
        <v>17</v>
      </c>
      <c r="E482">
        <v>10</v>
      </c>
      <c r="F482">
        <v>10</v>
      </c>
      <c r="G482">
        <v>2.37</v>
      </c>
      <c r="H482" t="s">
        <v>473</v>
      </c>
      <c r="I482" t="s">
        <v>1773</v>
      </c>
      <c r="J482" t="s">
        <v>27</v>
      </c>
      <c r="K482" t="s">
        <v>34</v>
      </c>
    </row>
    <row r="483" spans="1:11" x14ac:dyDescent="0.45">
      <c r="A483" t="s">
        <v>812</v>
      </c>
      <c r="B483">
        <v>45461</v>
      </c>
      <c r="C483" t="s">
        <v>2087</v>
      </c>
      <c r="D483" t="s">
        <v>50</v>
      </c>
      <c r="E483">
        <v>9</v>
      </c>
      <c r="F483">
        <v>15</v>
      </c>
      <c r="G483">
        <v>3.76</v>
      </c>
      <c r="H483" t="s">
        <v>160</v>
      </c>
      <c r="I483" t="s">
        <v>1515</v>
      </c>
      <c r="J483" t="s">
        <v>20</v>
      </c>
      <c r="K483" t="s">
        <v>70</v>
      </c>
    </row>
    <row r="484" spans="1:11" x14ac:dyDescent="0.45">
      <c r="A484" t="s">
        <v>813</v>
      </c>
      <c r="B484">
        <v>45461</v>
      </c>
      <c r="C484" t="s">
        <v>2088</v>
      </c>
      <c r="D484" t="s">
        <v>31</v>
      </c>
      <c r="E484">
        <v>3</v>
      </c>
      <c r="F484">
        <v>40</v>
      </c>
      <c r="G484">
        <v>11.38</v>
      </c>
      <c r="H484" t="s">
        <v>814</v>
      </c>
      <c r="I484" t="s">
        <v>2089</v>
      </c>
      <c r="J484" t="s">
        <v>47</v>
      </c>
      <c r="K484" t="s">
        <v>74</v>
      </c>
    </row>
    <row r="485" spans="1:11" x14ac:dyDescent="0.45">
      <c r="A485" t="s">
        <v>816</v>
      </c>
      <c r="B485">
        <v>45461</v>
      </c>
      <c r="C485" t="s">
        <v>2090</v>
      </c>
      <c r="D485" t="s">
        <v>17</v>
      </c>
      <c r="E485">
        <v>8</v>
      </c>
      <c r="F485">
        <v>10</v>
      </c>
      <c r="G485">
        <v>3.88</v>
      </c>
      <c r="H485" t="s">
        <v>773</v>
      </c>
      <c r="I485" t="s">
        <v>2049</v>
      </c>
      <c r="J485" t="s">
        <v>27</v>
      </c>
      <c r="K485" t="s">
        <v>21</v>
      </c>
    </row>
    <row r="486" spans="1:11" x14ac:dyDescent="0.45">
      <c r="A486" t="s">
        <v>817</v>
      </c>
      <c r="B486">
        <v>45461</v>
      </c>
      <c r="C486" t="s">
        <v>2091</v>
      </c>
      <c r="D486" t="s">
        <v>31</v>
      </c>
      <c r="E486">
        <v>10</v>
      </c>
      <c r="G486">
        <v>13.77</v>
      </c>
      <c r="H486" t="s">
        <v>300</v>
      </c>
      <c r="I486" t="s">
        <v>1623</v>
      </c>
      <c r="J486" t="s">
        <v>47</v>
      </c>
      <c r="K486" t="s">
        <v>34</v>
      </c>
    </row>
    <row r="487" spans="1:11" x14ac:dyDescent="0.45">
      <c r="A487" t="s">
        <v>818</v>
      </c>
      <c r="B487">
        <v>45462</v>
      </c>
      <c r="C487" t="s">
        <v>2092</v>
      </c>
      <c r="D487" t="s">
        <v>31</v>
      </c>
      <c r="E487">
        <v>6</v>
      </c>
      <c r="F487">
        <v>40</v>
      </c>
      <c r="G487">
        <v>8.89</v>
      </c>
      <c r="H487" t="s">
        <v>203</v>
      </c>
      <c r="I487" t="s">
        <v>1546</v>
      </c>
      <c r="J487" t="s">
        <v>27</v>
      </c>
      <c r="K487" t="s">
        <v>56</v>
      </c>
    </row>
    <row r="488" spans="1:11" x14ac:dyDescent="0.45">
      <c r="A488" t="s">
        <v>819</v>
      </c>
      <c r="B488">
        <v>45462</v>
      </c>
      <c r="C488" t="s">
        <v>2093</v>
      </c>
      <c r="D488" t="s">
        <v>31</v>
      </c>
      <c r="E488">
        <v>3</v>
      </c>
      <c r="F488">
        <v>40</v>
      </c>
      <c r="G488">
        <v>11.64</v>
      </c>
      <c r="H488" t="s">
        <v>409</v>
      </c>
      <c r="I488" t="s">
        <v>1717</v>
      </c>
      <c r="J488" t="s">
        <v>27</v>
      </c>
      <c r="K488" t="s">
        <v>70</v>
      </c>
    </row>
    <row r="489" spans="1:11" x14ac:dyDescent="0.45">
      <c r="A489" t="s">
        <v>820</v>
      </c>
      <c r="B489">
        <v>45462</v>
      </c>
      <c r="C489" t="s">
        <v>2094</v>
      </c>
      <c r="D489" t="s">
        <v>50</v>
      </c>
      <c r="E489">
        <v>6</v>
      </c>
      <c r="F489">
        <v>15</v>
      </c>
      <c r="G489">
        <v>4.5599999999999996</v>
      </c>
      <c r="H489" t="s">
        <v>153</v>
      </c>
      <c r="I489" t="s">
        <v>1509</v>
      </c>
      <c r="J489" t="s">
        <v>42</v>
      </c>
      <c r="K489" t="s">
        <v>34</v>
      </c>
    </row>
    <row r="490" spans="1:11" x14ac:dyDescent="0.45">
      <c r="A490" t="s">
        <v>821</v>
      </c>
      <c r="B490">
        <v>45462</v>
      </c>
      <c r="C490" t="s">
        <v>2095</v>
      </c>
      <c r="D490" t="s">
        <v>67</v>
      </c>
      <c r="E490">
        <v>5</v>
      </c>
      <c r="F490">
        <v>12</v>
      </c>
      <c r="G490">
        <v>4.3499999999999996</v>
      </c>
      <c r="H490" t="s">
        <v>203</v>
      </c>
      <c r="I490" t="s">
        <v>1546</v>
      </c>
      <c r="J490" t="s">
        <v>27</v>
      </c>
      <c r="K490" t="s">
        <v>74</v>
      </c>
    </row>
    <row r="491" spans="1:11" x14ac:dyDescent="0.45">
      <c r="A491" t="s">
        <v>822</v>
      </c>
      <c r="B491">
        <v>45463</v>
      </c>
      <c r="C491" t="s">
        <v>2096</v>
      </c>
      <c r="D491" t="s">
        <v>24</v>
      </c>
      <c r="E491">
        <v>10</v>
      </c>
      <c r="F491">
        <v>25</v>
      </c>
      <c r="G491">
        <v>6.8</v>
      </c>
      <c r="H491" t="s">
        <v>99</v>
      </c>
      <c r="I491" t="s">
        <v>1471</v>
      </c>
      <c r="J491" t="s">
        <v>27</v>
      </c>
      <c r="K491" t="s">
        <v>38</v>
      </c>
    </row>
    <row r="492" spans="1:11" x14ac:dyDescent="0.45">
      <c r="A492" t="s">
        <v>823</v>
      </c>
      <c r="B492">
        <v>45464</v>
      </c>
      <c r="C492" t="s">
        <v>2097</v>
      </c>
      <c r="D492" t="s">
        <v>67</v>
      </c>
      <c r="E492">
        <v>4</v>
      </c>
      <c r="F492">
        <v>12</v>
      </c>
      <c r="G492">
        <v>3.38</v>
      </c>
      <c r="H492" t="s">
        <v>506</v>
      </c>
      <c r="I492" t="s">
        <v>1801</v>
      </c>
      <c r="J492" t="s">
        <v>42</v>
      </c>
      <c r="K492" t="s">
        <v>134</v>
      </c>
    </row>
    <row r="493" spans="1:11" x14ac:dyDescent="0.45">
      <c r="A493" t="s">
        <v>824</v>
      </c>
      <c r="B493">
        <v>45464</v>
      </c>
      <c r="C493" t="s">
        <v>2098</v>
      </c>
      <c r="D493" t="s">
        <v>17</v>
      </c>
      <c r="E493">
        <v>4</v>
      </c>
      <c r="F493">
        <v>10</v>
      </c>
      <c r="G493">
        <v>3.23</v>
      </c>
      <c r="H493" t="s">
        <v>734</v>
      </c>
      <c r="I493" t="s">
        <v>2012</v>
      </c>
      <c r="J493" t="s">
        <v>42</v>
      </c>
      <c r="K493" t="s">
        <v>134</v>
      </c>
    </row>
    <row r="494" spans="1:11" x14ac:dyDescent="0.45">
      <c r="A494" t="s">
        <v>825</v>
      </c>
      <c r="B494">
        <v>45465</v>
      </c>
      <c r="C494" t="s">
        <v>2099</v>
      </c>
      <c r="D494" t="s">
        <v>67</v>
      </c>
      <c r="E494">
        <v>8</v>
      </c>
      <c r="F494">
        <v>12</v>
      </c>
      <c r="G494">
        <v>4.22</v>
      </c>
      <c r="H494" t="s">
        <v>221</v>
      </c>
      <c r="I494" t="s">
        <v>1559</v>
      </c>
      <c r="J494" t="s">
        <v>42</v>
      </c>
      <c r="K494" t="s">
        <v>43</v>
      </c>
    </row>
    <row r="495" spans="1:11" x14ac:dyDescent="0.45">
      <c r="A495" t="s">
        <v>826</v>
      </c>
      <c r="B495">
        <v>45465</v>
      </c>
      <c r="C495" t="s">
        <v>2100</v>
      </c>
      <c r="D495" t="s">
        <v>67</v>
      </c>
      <c r="E495">
        <v>9</v>
      </c>
      <c r="F495">
        <v>12</v>
      </c>
      <c r="G495">
        <v>4.3</v>
      </c>
      <c r="H495" t="s">
        <v>68</v>
      </c>
      <c r="I495" t="s">
        <v>1451</v>
      </c>
      <c r="J495" t="s">
        <v>20</v>
      </c>
      <c r="K495" t="s">
        <v>28</v>
      </c>
    </row>
    <row r="496" spans="1:11" x14ac:dyDescent="0.45">
      <c r="A496" t="s">
        <v>827</v>
      </c>
      <c r="B496">
        <v>45465</v>
      </c>
      <c r="C496" t="s">
        <v>2101</v>
      </c>
      <c r="D496" t="s">
        <v>67</v>
      </c>
      <c r="E496">
        <v>7</v>
      </c>
      <c r="F496">
        <v>12</v>
      </c>
      <c r="G496">
        <v>2.96</v>
      </c>
      <c r="H496" t="s">
        <v>276</v>
      </c>
      <c r="I496" t="s">
        <v>1604</v>
      </c>
      <c r="J496" t="s">
        <v>27</v>
      </c>
      <c r="K496" t="s">
        <v>134</v>
      </c>
    </row>
    <row r="497" spans="1:11" x14ac:dyDescent="0.45">
      <c r="A497" t="s">
        <v>828</v>
      </c>
      <c r="B497">
        <v>45466</v>
      </c>
      <c r="C497" t="s">
        <v>2102</v>
      </c>
      <c r="D497" t="s">
        <v>17</v>
      </c>
      <c r="E497">
        <v>9</v>
      </c>
      <c r="F497">
        <v>10</v>
      </c>
      <c r="G497">
        <v>2.59</v>
      </c>
      <c r="H497" t="s">
        <v>405</v>
      </c>
      <c r="I497" t="s">
        <v>1713</v>
      </c>
      <c r="J497" t="s">
        <v>27</v>
      </c>
      <c r="K497" t="s">
        <v>70</v>
      </c>
    </row>
    <row r="498" spans="1:11" x14ac:dyDescent="0.45">
      <c r="A498" t="s">
        <v>829</v>
      </c>
      <c r="B498">
        <v>45466</v>
      </c>
      <c r="C498" t="s">
        <v>2103</v>
      </c>
      <c r="D498" t="s">
        <v>67</v>
      </c>
      <c r="E498">
        <v>10</v>
      </c>
      <c r="F498">
        <v>12</v>
      </c>
      <c r="G498">
        <v>4.32</v>
      </c>
      <c r="H498" t="s">
        <v>221</v>
      </c>
      <c r="I498" t="s">
        <v>1559</v>
      </c>
      <c r="J498" t="s">
        <v>27</v>
      </c>
      <c r="K498" t="s">
        <v>59</v>
      </c>
    </row>
    <row r="499" spans="1:11" x14ac:dyDescent="0.45">
      <c r="A499" t="s">
        <v>830</v>
      </c>
      <c r="B499">
        <v>45466</v>
      </c>
      <c r="C499" t="s">
        <v>2104</v>
      </c>
      <c r="D499" t="s">
        <v>31</v>
      </c>
      <c r="E499">
        <v>1</v>
      </c>
      <c r="F499">
        <v>40</v>
      </c>
      <c r="G499">
        <v>10.67</v>
      </c>
      <c r="H499" t="s">
        <v>185</v>
      </c>
      <c r="I499" t="s">
        <v>1534</v>
      </c>
      <c r="J499" t="s">
        <v>27</v>
      </c>
      <c r="K499" t="s">
        <v>134</v>
      </c>
    </row>
    <row r="500" spans="1:11" x14ac:dyDescent="0.45">
      <c r="A500" t="s">
        <v>831</v>
      </c>
      <c r="B500">
        <v>45466</v>
      </c>
      <c r="C500" t="s">
        <v>2105</v>
      </c>
      <c r="D500" t="s">
        <v>31</v>
      </c>
      <c r="E500">
        <v>3</v>
      </c>
      <c r="F500">
        <v>40</v>
      </c>
      <c r="G500">
        <v>9.52</v>
      </c>
      <c r="H500" t="s">
        <v>248</v>
      </c>
      <c r="I500" t="s">
        <v>1581</v>
      </c>
      <c r="J500" t="s">
        <v>27</v>
      </c>
      <c r="K500" t="s">
        <v>59</v>
      </c>
    </row>
    <row r="501" spans="1:11" x14ac:dyDescent="0.45">
      <c r="A501" t="s">
        <v>832</v>
      </c>
      <c r="B501">
        <v>45466</v>
      </c>
      <c r="C501" t="s">
        <v>2106</v>
      </c>
      <c r="D501" t="s">
        <v>31</v>
      </c>
      <c r="E501">
        <v>8</v>
      </c>
      <c r="F501">
        <v>40</v>
      </c>
      <c r="G501">
        <v>13.53</v>
      </c>
      <c r="H501" t="s">
        <v>92</v>
      </c>
      <c r="I501" t="s">
        <v>1466</v>
      </c>
      <c r="J501" t="s">
        <v>27</v>
      </c>
      <c r="K501" t="s">
        <v>56</v>
      </c>
    </row>
    <row r="502" spans="1:11" x14ac:dyDescent="0.45">
      <c r="A502" t="s">
        <v>833</v>
      </c>
      <c r="B502">
        <v>45467</v>
      </c>
      <c r="C502" t="s">
        <v>2107</v>
      </c>
      <c r="D502" t="s">
        <v>31</v>
      </c>
      <c r="E502">
        <v>2</v>
      </c>
      <c r="F502">
        <v>40</v>
      </c>
      <c r="G502">
        <v>11.47</v>
      </c>
      <c r="H502" t="s">
        <v>263</v>
      </c>
      <c r="I502" t="s">
        <v>1592</v>
      </c>
      <c r="J502" t="s">
        <v>27</v>
      </c>
      <c r="K502" t="s">
        <v>74</v>
      </c>
    </row>
    <row r="503" spans="1:11" x14ac:dyDescent="0.45">
      <c r="A503" t="s">
        <v>834</v>
      </c>
      <c r="B503">
        <v>45467</v>
      </c>
      <c r="C503" t="s">
        <v>2108</v>
      </c>
      <c r="D503" t="s">
        <v>24</v>
      </c>
      <c r="E503">
        <v>4</v>
      </c>
      <c r="F503">
        <v>25</v>
      </c>
      <c r="G503">
        <v>6.06</v>
      </c>
      <c r="H503" t="s">
        <v>835</v>
      </c>
      <c r="I503" t="s">
        <v>2109</v>
      </c>
      <c r="J503" t="s">
        <v>20</v>
      </c>
      <c r="K503" t="s">
        <v>70</v>
      </c>
    </row>
    <row r="504" spans="1:11" x14ac:dyDescent="0.45">
      <c r="A504" t="s">
        <v>836</v>
      </c>
      <c r="B504">
        <v>45468</v>
      </c>
      <c r="C504" t="s">
        <v>2110</v>
      </c>
      <c r="D504" t="s">
        <v>50</v>
      </c>
      <c r="E504">
        <v>5</v>
      </c>
      <c r="F504">
        <v>15</v>
      </c>
      <c r="G504">
        <v>3.29</v>
      </c>
      <c r="H504" t="s">
        <v>502</v>
      </c>
      <c r="I504" t="s">
        <v>1797</v>
      </c>
      <c r="J504" t="s">
        <v>27</v>
      </c>
      <c r="K504" t="s">
        <v>74</v>
      </c>
    </row>
    <row r="505" spans="1:11" x14ac:dyDescent="0.45">
      <c r="A505" t="s">
        <v>837</v>
      </c>
      <c r="B505">
        <v>45468</v>
      </c>
      <c r="C505" t="s">
        <v>2111</v>
      </c>
      <c r="D505" t="s">
        <v>67</v>
      </c>
      <c r="E505">
        <v>9</v>
      </c>
      <c r="F505">
        <v>12</v>
      </c>
      <c r="G505">
        <v>4.29</v>
      </c>
      <c r="H505" t="s">
        <v>436</v>
      </c>
      <c r="I505" t="s">
        <v>1743</v>
      </c>
      <c r="J505" t="s">
        <v>27</v>
      </c>
      <c r="K505" t="s">
        <v>28</v>
      </c>
    </row>
    <row r="506" spans="1:11" x14ac:dyDescent="0.45">
      <c r="A506" t="s">
        <v>838</v>
      </c>
      <c r="B506">
        <v>45468</v>
      </c>
      <c r="C506" t="s">
        <v>2112</v>
      </c>
      <c r="D506" t="s">
        <v>67</v>
      </c>
      <c r="E506">
        <v>4</v>
      </c>
      <c r="F506">
        <v>12</v>
      </c>
      <c r="G506">
        <v>3.42</v>
      </c>
      <c r="H506" t="s">
        <v>348</v>
      </c>
      <c r="I506" t="s">
        <v>1665</v>
      </c>
      <c r="J506" t="s">
        <v>27</v>
      </c>
      <c r="K506" t="s">
        <v>74</v>
      </c>
    </row>
    <row r="507" spans="1:11" x14ac:dyDescent="0.45">
      <c r="A507" t="s">
        <v>839</v>
      </c>
      <c r="B507">
        <v>45469</v>
      </c>
      <c r="C507" t="s">
        <v>2113</v>
      </c>
      <c r="D507" t="s">
        <v>50</v>
      </c>
      <c r="E507">
        <v>6</v>
      </c>
      <c r="F507">
        <v>15</v>
      </c>
      <c r="G507">
        <v>5.73</v>
      </c>
      <c r="H507" t="s">
        <v>840</v>
      </c>
      <c r="I507" t="s">
        <v>2114</v>
      </c>
      <c r="J507" t="s">
        <v>20</v>
      </c>
      <c r="K507" t="s">
        <v>43</v>
      </c>
    </row>
    <row r="508" spans="1:11" x14ac:dyDescent="0.45">
      <c r="A508" t="s">
        <v>841</v>
      </c>
      <c r="B508">
        <v>45470</v>
      </c>
      <c r="C508" t="s">
        <v>2115</v>
      </c>
      <c r="D508" t="s">
        <v>67</v>
      </c>
      <c r="E508">
        <v>7</v>
      </c>
      <c r="F508">
        <v>12</v>
      </c>
      <c r="G508">
        <v>4.74</v>
      </c>
      <c r="H508" t="s">
        <v>254</v>
      </c>
      <c r="I508" t="s">
        <v>1585</v>
      </c>
      <c r="J508" t="s">
        <v>27</v>
      </c>
      <c r="K508" t="s">
        <v>38</v>
      </c>
    </row>
    <row r="509" spans="1:11" x14ac:dyDescent="0.45">
      <c r="A509" t="s">
        <v>842</v>
      </c>
      <c r="B509">
        <v>45470</v>
      </c>
      <c r="C509" t="s">
        <v>2116</v>
      </c>
      <c r="D509" t="s">
        <v>67</v>
      </c>
      <c r="E509">
        <v>3</v>
      </c>
      <c r="F509">
        <v>12</v>
      </c>
      <c r="G509">
        <v>2.81</v>
      </c>
      <c r="H509" t="s">
        <v>104</v>
      </c>
      <c r="I509" t="s">
        <v>1475</v>
      </c>
      <c r="J509" t="s">
        <v>27</v>
      </c>
      <c r="K509" t="s">
        <v>56</v>
      </c>
    </row>
    <row r="510" spans="1:11" x14ac:dyDescent="0.45">
      <c r="A510" t="s">
        <v>843</v>
      </c>
      <c r="B510">
        <v>45470</v>
      </c>
      <c r="C510" t="s">
        <v>2117</v>
      </c>
      <c r="D510" t="s">
        <v>31</v>
      </c>
      <c r="E510">
        <v>6</v>
      </c>
      <c r="F510">
        <v>40</v>
      </c>
      <c r="G510">
        <v>12.24</v>
      </c>
      <c r="H510" t="s">
        <v>179</v>
      </c>
      <c r="I510" t="s">
        <v>1530</v>
      </c>
      <c r="J510" t="s">
        <v>27</v>
      </c>
      <c r="K510" t="s">
        <v>59</v>
      </c>
    </row>
    <row r="511" spans="1:11" x14ac:dyDescent="0.45">
      <c r="A511" t="s">
        <v>844</v>
      </c>
      <c r="B511">
        <v>45472</v>
      </c>
      <c r="C511" t="s">
        <v>2118</v>
      </c>
      <c r="D511" t="s">
        <v>67</v>
      </c>
      <c r="E511">
        <v>10</v>
      </c>
      <c r="F511">
        <v>12</v>
      </c>
      <c r="G511">
        <v>4.72</v>
      </c>
      <c r="H511" t="s">
        <v>259</v>
      </c>
      <c r="I511" t="s">
        <v>1589</v>
      </c>
      <c r="J511" t="s">
        <v>27</v>
      </c>
      <c r="K511" t="s">
        <v>56</v>
      </c>
    </row>
    <row r="512" spans="1:11" x14ac:dyDescent="0.45">
      <c r="A512" t="s">
        <v>845</v>
      </c>
      <c r="B512">
        <v>45473</v>
      </c>
      <c r="C512" t="s">
        <v>2119</v>
      </c>
      <c r="D512" t="s">
        <v>67</v>
      </c>
      <c r="E512">
        <v>4</v>
      </c>
      <c r="F512">
        <v>12</v>
      </c>
      <c r="G512">
        <v>2.85</v>
      </c>
      <c r="H512" t="s">
        <v>846</v>
      </c>
      <c r="I512" t="s">
        <v>2120</v>
      </c>
      <c r="J512" t="s">
        <v>27</v>
      </c>
      <c r="K512" t="s">
        <v>56</v>
      </c>
    </row>
    <row r="513" spans="1:11" x14ac:dyDescent="0.45">
      <c r="A513" t="s">
        <v>847</v>
      </c>
      <c r="B513">
        <v>45473</v>
      </c>
      <c r="C513" t="s">
        <v>2121</v>
      </c>
      <c r="D513" t="s">
        <v>50</v>
      </c>
      <c r="E513">
        <v>4</v>
      </c>
      <c r="F513">
        <v>15</v>
      </c>
      <c r="G513">
        <v>5.4</v>
      </c>
      <c r="H513" t="s">
        <v>625</v>
      </c>
      <c r="I513" t="s">
        <v>1911</v>
      </c>
      <c r="J513" t="s">
        <v>27</v>
      </c>
      <c r="K513" t="s">
        <v>21</v>
      </c>
    </row>
    <row r="514" spans="1:11" x14ac:dyDescent="0.45">
      <c r="A514" t="s">
        <v>848</v>
      </c>
      <c r="B514">
        <v>45473</v>
      </c>
      <c r="C514" t="s">
        <v>2122</v>
      </c>
      <c r="D514" t="s">
        <v>17</v>
      </c>
      <c r="E514">
        <v>6</v>
      </c>
      <c r="F514">
        <v>10</v>
      </c>
      <c r="G514">
        <v>3.63</v>
      </c>
      <c r="H514" t="s">
        <v>371</v>
      </c>
      <c r="I514" t="s">
        <v>1684</v>
      </c>
      <c r="J514" t="s">
        <v>20</v>
      </c>
      <c r="K514" t="s">
        <v>38</v>
      </c>
    </row>
    <row r="515" spans="1:11" x14ac:dyDescent="0.45">
      <c r="A515" t="s">
        <v>849</v>
      </c>
      <c r="B515">
        <v>45473</v>
      </c>
      <c r="C515" t="s">
        <v>2123</v>
      </c>
      <c r="D515" t="s">
        <v>31</v>
      </c>
      <c r="E515">
        <v>9</v>
      </c>
      <c r="F515">
        <v>40</v>
      </c>
      <c r="G515">
        <v>10.5</v>
      </c>
      <c r="H515" t="s">
        <v>502</v>
      </c>
      <c r="I515" t="s">
        <v>1797</v>
      </c>
      <c r="J515" t="s">
        <v>20</v>
      </c>
      <c r="K515" t="s">
        <v>134</v>
      </c>
    </row>
    <row r="516" spans="1:11" x14ac:dyDescent="0.45">
      <c r="A516" t="s">
        <v>850</v>
      </c>
      <c r="B516">
        <v>45473</v>
      </c>
      <c r="C516" t="s">
        <v>2124</v>
      </c>
      <c r="D516" t="s">
        <v>24</v>
      </c>
      <c r="E516">
        <v>10</v>
      </c>
      <c r="F516">
        <v>25</v>
      </c>
      <c r="G516">
        <v>9.86</v>
      </c>
      <c r="H516" t="s">
        <v>851</v>
      </c>
      <c r="I516" t="s">
        <v>2125</v>
      </c>
      <c r="J516" t="s">
        <v>27</v>
      </c>
      <c r="K516" t="s">
        <v>134</v>
      </c>
    </row>
    <row r="517" spans="1:11" x14ac:dyDescent="0.45">
      <c r="A517" t="s">
        <v>853</v>
      </c>
      <c r="B517">
        <v>45474</v>
      </c>
      <c r="C517" t="s">
        <v>2126</v>
      </c>
      <c r="D517" t="s">
        <v>24</v>
      </c>
      <c r="E517">
        <v>6</v>
      </c>
      <c r="F517">
        <v>25</v>
      </c>
      <c r="G517">
        <v>9.43</v>
      </c>
      <c r="H517" t="s">
        <v>282</v>
      </c>
      <c r="I517" t="s">
        <v>1608</v>
      </c>
      <c r="J517" t="s">
        <v>27</v>
      </c>
      <c r="K517" t="s">
        <v>70</v>
      </c>
    </row>
    <row r="518" spans="1:11" x14ac:dyDescent="0.45">
      <c r="A518" t="s">
        <v>854</v>
      </c>
      <c r="B518">
        <v>45474</v>
      </c>
      <c r="C518" t="s">
        <v>2127</v>
      </c>
      <c r="D518" t="s">
        <v>24</v>
      </c>
      <c r="E518">
        <v>10</v>
      </c>
      <c r="F518">
        <v>25</v>
      </c>
      <c r="G518">
        <v>6.74</v>
      </c>
      <c r="H518" t="s">
        <v>142</v>
      </c>
      <c r="I518" t="s">
        <v>1501</v>
      </c>
      <c r="J518" t="s">
        <v>27</v>
      </c>
      <c r="K518" t="s">
        <v>28</v>
      </c>
    </row>
    <row r="519" spans="1:11" x14ac:dyDescent="0.45">
      <c r="A519" t="s">
        <v>855</v>
      </c>
      <c r="B519">
        <v>45474</v>
      </c>
      <c r="C519" t="s">
        <v>2128</v>
      </c>
      <c r="D519" t="s">
        <v>17</v>
      </c>
      <c r="E519">
        <v>3</v>
      </c>
      <c r="F519">
        <v>10</v>
      </c>
      <c r="G519">
        <v>2.65</v>
      </c>
      <c r="H519" t="s">
        <v>272</v>
      </c>
      <c r="I519" t="s">
        <v>1601</v>
      </c>
      <c r="J519" t="s">
        <v>27</v>
      </c>
      <c r="K519" t="s">
        <v>43</v>
      </c>
    </row>
    <row r="520" spans="1:11" x14ac:dyDescent="0.45">
      <c r="A520" t="s">
        <v>856</v>
      </c>
      <c r="B520">
        <v>45474</v>
      </c>
      <c r="C520" t="s">
        <v>2129</v>
      </c>
      <c r="D520" t="s">
        <v>24</v>
      </c>
      <c r="E520">
        <v>4</v>
      </c>
      <c r="F520">
        <v>25</v>
      </c>
      <c r="G520">
        <v>6.09</v>
      </c>
      <c r="H520" t="s">
        <v>150</v>
      </c>
      <c r="I520" t="s">
        <v>1507</v>
      </c>
      <c r="J520" t="s">
        <v>27</v>
      </c>
      <c r="K520" t="s">
        <v>34</v>
      </c>
    </row>
    <row r="521" spans="1:11" x14ac:dyDescent="0.45">
      <c r="A521" t="s">
        <v>857</v>
      </c>
      <c r="B521">
        <v>45475</v>
      </c>
      <c r="C521" t="s">
        <v>2130</v>
      </c>
      <c r="D521" t="s">
        <v>17</v>
      </c>
      <c r="E521">
        <v>4</v>
      </c>
      <c r="F521">
        <v>10</v>
      </c>
      <c r="G521">
        <v>3.41</v>
      </c>
      <c r="H521" t="s">
        <v>858</v>
      </c>
      <c r="I521" t="s">
        <v>2131</v>
      </c>
      <c r="J521" t="s">
        <v>27</v>
      </c>
      <c r="K521" t="s">
        <v>74</v>
      </c>
    </row>
    <row r="522" spans="1:11" x14ac:dyDescent="0.45">
      <c r="A522" t="s">
        <v>860</v>
      </c>
      <c r="B522">
        <v>45475</v>
      </c>
      <c r="C522" t="s">
        <v>2132</v>
      </c>
      <c r="D522" t="s">
        <v>31</v>
      </c>
      <c r="E522">
        <v>10</v>
      </c>
      <c r="F522">
        <v>40</v>
      </c>
      <c r="G522">
        <v>14.88</v>
      </c>
      <c r="H522" t="s">
        <v>148</v>
      </c>
      <c r="I522" t="s">
        <v>1505</v>
      </c>
      <c r="J522" t="s">
        <v>47</v>
      </c>
      <c r="K522" t="s">
        <v>43</v>
      </c>
    </row>
    <row r="523" spans="1:11" x14ac:dyDescent="0.45">
      <c r="A523" t="s">
        <v>861</v>
      </c>
      <c r="B523">
        <v>45476</v>
      </c>
      <c r="C523" t="s">
        <v>2133</v>
      </c>
      <c r="D523" t="s">
        <v>31</v>
      </c>
      <c r="E523">
        <v>8</v>
      </c>
      <c r="F523">
        <v>40</v>
      </c>
      <c r="G523">
        <v>13.65</v>
      </c>
      <c r="H523" t="s">
        <v>326</v>
      </c>
      <c r="I523" t="s">
        <v>1645</v>
      </c>
      <c r="J523" t="s">
        <v>20</v>
      </c>
      <c r="K523" t="s">
        <v>74</v>
      </c>
    </row>
    <row r="524" spans="1:11" x14ac:dyDescent="0.45">
      <c r="A524" t="s">
        <v>862</v>
      </c>
      <c r="B524">
        <v>45476</v>
      </c>
      <c r="C524" t="s">
        <v>2134</v>
      </c>
      <c r="D524" t="s">
        <v>24</v>
      </c>
      <c r="E524">
        <v>6</v>
      </c>
      <c r="F524">
        <v>25</v>
      </c>
      <c r="G524">
        <v>5.28</v>
      </c>
      <c r="H524" t="s">
        <v>439</v>
      </c>
      <c r="I524" t="s">
        <v>1745</v>
      </c>
      <c r="J524" t="s">
        <v>47</v>
      </c>
      <c r="K524" t="s">
        <v>134</v>
      </c>
    </row>
    <row r="525" spans="1:11" x14ac:dyDescent="0.45">
      <c r="A525" t="s">
        <v>863</v>
      </c>
      <c r="B525">
        <v>45476</v>
      </c>
      <c r="C525" t="s">
        <v>2135</v>
      </c>
      <c r="D525" t="s">
        <v>24</v>
      </c>
      <c r="E525">
        <v>2</v>
      </c>
      <c r="F525">
        <v>25</v>
      </c>
      <c r="G525">
        <v>8.89</v>
      </c>
      <c r="H525" t="s">
        <v>502</v>
      </c>
      <c r="I525" t="s">
        <v>1797</v>
      </c>
      <c r="J525" t="s">
        <v>27</v>
      </c>
      <c r="K525" t="s">
        <v>56</v>
      </c>
    </row>
    <row r="526" spans="1:11" x14ac:dyDescent="0.45">
      <c r="A526" t="s">
        <v>864</v>
      </c>
      <c r="B526">
        <v>45476</v>
      </c>
      <c r="C526" t="s">
        <v>2136</v>
      </c>
      <c r="D526" t="s">
        <v>67</v>
      </c>
      <c r="E526">
        <v>6</v>
      </c>
      <c r="F526">
        <v>12</v>
      </c>
      <c r="G526">
        <v>4.28</v>
      </c>
      <c r="H526" t="s">
        <v>251</v>
      </c>
      <c r="I526" t="s">
        <v>1583</v>
      </c>
      <c r="J526" t="s">
        <v>42</v>
      </c>
      <c r="K526" t="s">
        <v>28</v>
      </c>
    </row>
    <row r="527" spans="1:11" x14ac:dyDescent="0.45">
      <c r="A527" t="s">
        <v>865</v>
      </c>
      <c r="B527">
        <v>45477</v>
      </c>
      <c r="C527" t="s">
        <v>2137</v>
      </c>
      <c r="D527" t="s">
        <v>17</v>
      </c>
      <c r="E527">
        <v>8</v>
      </c>
      <c r="F527">
        <v>10</v>
      </c>
      <c r="G527">
        <v>3.74</v>
      </c>
      <c r="H527" t="s">
        <v>292</v>
      </c>
      <c r="I527" t="s">
        <v>1615</v>
      </c>
      <c r="J527" t="s">
        <v>20</v>
      </c>
      <c r="K527" t="s">
        <v>43</v>
      </c>
    </row>
    <row r="528" spans="1:11" x14ac:dyDescent="0.45">
      <c r="A528" t="s">
        <v>866</v>
      </c>
      <c r="B528">
        <v>45477</v>
      </c>
      <c r="C528" t="s">
        <v>2138</v>
      </c>
      <c r="D528" t="s">
        <v>24</v>
      </c>
      <c r="E528">
        <v>3</v>
      </c>
      <c r="F528">
        <v>25</v>
      </c>
      <c r="G528">
        <v>5.52</v>
      </c>
      <c r="H528" t="s">
        <v>424</v>
      </c>
      <c r="I528" t="s">
        <v>1732</v>
      </c>
      <c r="J528" t="s">
        <v>27</v>
      </c>
      <c r="K528" t="s">
        <v>59</v>
      </c>
    </row>
    <row r="529" spans="1:11" x14ac:dyDescent="0.45">
      <c r="A529" t="s">
        <v>867</v>
      </c>
      <c r="B529">
        <v>45477</v>
      </c>
      <c r="C529" t="s">
        <v>2139</v>
      </c>
      <c r="D529" t="s">
        <v>31</v>
      </c>
      <c r="E529">
        <v>6</v>
      </c>
      <c r="F529">
        <v>40</v>
      </c>
      <c r="G529">
        <v>11.74</v>
      </c>
      <c r="H529" t="s">
        <v>158</v>
      </c>
      <c r="I529" t="s">
        <v>1513</v>
      </c>
      <c r="J529" t="s">
        <v>27</v>
      </c>
      <c r="K529" t="s">
        <v>21</v>
      </c>
    </row>
    <row r="530" spans="1:11" x14ac:dyDescent="0.45">
      <c r="A530" t="s">
        <v>868</v>
      </c>
      <c r="B530">
        <v>45478</v>
      </c>
      <c r="C530" t="s">
        <v>2140</v>
      </c>
      <c r="D530" t="s">
        <v>50</v>
      </c>
      <c r="E530">
        <v>2</v>
      </c>
      <c r="F530">
        <v>15</v>
      </c>
      <c r="G530">
        <v>4.2699999999999996</v>
      </c>
      <c r="H530" t="s">
        <v>389</v>
      </c>
      <c r="I530" t="s">
        <v>1699</v>
      </c>
      <c r="J530" t="s">
        <v>20</v>
      </c>
      <c r="K530" t="s">
        <v>59</v>
      </c>
    </row>
    <row r="531" spans="1:11" x14ac:dyDescent="0.45">
      <c r="A531" t="s">
        <v>869</v>
      </c>
      <c r="B531">
        <v>45478</v>
      </c>
      <c r="C531" t="s">
        <v>2141</v>
      </c>
      <c r="D531" t="s">
        <v>24</v>
      </c>
      <c r="E531">
        <v>10</v>
      </c>
      <c r="F531">
        <v>25</v>
      </c>
      <c r="G531">
        <v>9.14</v>
      </c>
      <c r="H531" t="s">
        <v>365</v>
      </c>
      <c r="I531" t="s">
        <v>1679</v>
      </c>
      <c r="J531" t="s">
        <v>20</v>
      </c>
      <c r="K531" t="s">
        <v>43</v>
      </c>
    </row>
    <row r="532" spans="1:11" x14ac:dyDescent="0.45">
      <c r="A532" t="s">
        <v>870</v>
      </c>
      <c r="B532">
        <v>45478</v>
      </c>
      <c r="C532" t="s">
        <v>2142</v>
      </c>
      <c r="D532" t="s">
        <v>31</v>
      </c>
      <c r="E532">
        <v>9</v>
      </c>
      <c r="F532">
        <v>40</v>
      </c>
      <c r="G532">
        <v>15.55</v>
      </c>
      <c r="H532" t="s">
        <v>289</v>
      </c>
      <c r="I532" t="s">
        <v>1613</v>
      </c>
      <c r="J532" t="s">
        <v>27</v>
      </c>
      <c r="K532" t="s">
        <v>43</v>
      </c>
    </row>
    <row r="533" spans="1:11" x14ac:dyDescent="0.45">
      <c r="A533" t="s">
        <v>871</v>
      </c>
      <c r="B533">
        <v>45478</v>
      </c>
      <c r="C533" t="s">
        <v>2143</v>
      </c>
      <c r="D533" t="s">
        <v>31</v>
      </c>
      <c r="E533">
        <v>7</v>
      </c>
      <c r="G533">
        <v>11.99</v>
      </c>
      <c r="H533" t="s">
        <v>550</v>
      </c>
      <c r="I533" t="s">
        <v>1841</v>
      </c>
      <c r="J533" t="s">
        <v>27</v>
      </c>
      <c r="K533" t="s">
        <v>59</v>
      </c>
    </row>
    <row r="534" spans="1:11" x14ac:dyDescent="0.45">
      <c r="A534" t="s">
        <v>872</v>
      </c>
      <c r="B534">
        <v>45479</v>
      </c>
      <c r="C534" t="s">
        <v>2144</v>
      </c>
      <c r="D534" t="s">
        <v>50</v>
      </c>
      <c r="E534">
        <v>4</v>
      </c>
      <c r="F534">
        <v>15</v>
      </c>
      <c r="G534">
        <v>4.22</v>
      </c>
      <c r="H534" t="s">
        <v>79</v>
      </c>
      <c r="I534" t="s">
        <v>1457</v>
      </c>
      <c r="J534" t="s">
        <v>47</v>
      </c>
      <c r="K534" t="s">
        <v>34</v>
      </c>
    </row>
    <row r="535" spans="1:11" x14ac:dyDescent="0.45">
      <c r="A535" t="s">
        <v>873</v>
      </c>
      <c r="B535">
        <v>45480</v>
      </c>
      <c r="C535" t="s">
        <v>2145</v>
      </c>
      <c r="D535" t="s">
        <v>67</v>
      </c>
      <c r="E535">
        <v>5</v>
      </c>
      <c r="F535">
        <v>12</v>
      </c>
      <c r="G535">
        <v>4.4800000000000004</v>
      </c>
      <c r="H535" t="s">
        <v>305</v>
      </c>
      <c r="I535" t="s">
        <v>1628</v>
      </c>
      <c r="J535" t="s">
        <v>47</v>
      </c>
      <c r="K535" t="s">
        <v>34</v>
      </c>
    </row>
    <row r="536" spans="1:11" x14ac:dyDescent="0.45">
      <c r="A536" t="s">
        <v>874</v>
      </c>
      <c r="B536">
        <v>45480</v>
      </c>
      <c r="C536" t="s">
        <v>2146</v>
      </c>
      <c r="D536" t="s">
        <v>50</v>
      </c>
      <c r="E536">
        <v>2</v>
      </c>
      <c r="F536">
        <v>15</v>
      </c>
      <c r="G536">
        <v>4.96</v>
      </c>
      <c r="H536" t="s">
        <v>434</v>
      </c>
      <c r="I536" t="s">
        <v>1741</v>
      </c>
      <c r="J536" t="s">
        <v>20</v>
      </c>
      <c r="K536" t="s">
        <v>34</v>
      </c>
    </row>
    <row r="537" spans="1:11" x14ac:dyDescent="0.45">
      <c r="A537" t="s">
        <v>875</v>
      </c>
      <c r="B537">
        <v>45482</v>
      </c>
      <c r="C537" t="s">
        <v>2147</v>
      </c>
      <c r="D537" t="s">
        <v>24</v>
      </c>
      <c r="E537">
        <v>5</v>
      </c>
      <c r="F537">
        <v>25</v>
      </c>
      <c r="G537">
        <v>7.6</v>
      </c>
      <c r="H537" t="s">
        <v>171</v>
      </c>
      <c r="I537" t="s">
        <v>1524</v>
      </c>
      <c r="J537" t="s">
        <v>27</v>
      </c>
      <c r="K537" t="s">
        <v>28</v>
      </c>
    </row>
    <row r="538" spans="1:11" x14ac:dyDescent="0.45">
      <c r="A538" t="s">
        <v>876</v>
      </c>
      <c r="B538">
        <v>45483</v>
      </c>
      <c r="C538" t="s">
        <v>2148</v>
      </c>
      <c r="D538" t="s">
        <v>67</v>
      </c>
      <c r="E538">
        <v>5</v>
      </c>
      <c r="F538">
        <v>12</v>
      </c>
      <c r="G538">
        <v>3.87</v>
      </c>
      <c r="H538" t="s">
        <v>576</v>
      </c>
      <c r="I538" t="s">
        <v>1862</v>
      </c>
      <c r="J538" t="s">
        <v>20</v>
      </c>
      <c r="K538" t="s">
        <v>56</v>
      </c>
    </row>
    <row r="539" spans="1:11" x14ac:dyDescent="0.45">
      <c r="A539" t="s">
        <v>877</v>
      </c>
      <c r="B539">
        <v>45483</v>
      </c>
      <c r="C539" t="s">
        <v>2149</v>
      </c>
      <c r="D539" t="s">
        <v>50</v>
      </c>
      <c r="E539">
        <v>6</v>
      </c>
      <c r="F539">
        <v>15</v>
      </c>
      <c r="G539">
        <v>3.58</v>
      </c>
      <c r="H539" t="s">
        <v>578</v>
      </c>
      <c r="I539" t="s">
        <v>1864</v>
      </c>
      <c r="J539" t="s">
        <v>27</v>
      </c>
      <c r="K539" t="s">
        <v>74</v>
      </c>
    </row>
    <row r="540" spans="1:11" x14ac:dyDescent="0.45">
      <c r="A540" t="s">
        <v>878</v>
      </c>
      <c r="B540">
        <v>45484</v>
      </c>
      <c r="C540" t="s">
        <v>2150</v>
      </c>
      <c r="D540" t="s">
        <v>50</v>
      </c>
      <c r="E540">
        <v>10</v>
      </c>
      <c r="G540">
        <v>5.77</v>
      </c>
      <c r="H540" t="s">
        <v>382</v>
      </c>
      <c r="I540" t="s">
        <v>1693</v>
      </c>
      <c r="J540" t="s">
        <v>27</v>
      </c>
      <c r="K540" t="s">
        <v>74</v>
      </c>
    </row>
    <row r="541" spans="1:11" x14ac:dyDescent="0.45">
      <c r="A541" t="s">
        <v>879</v>
      </c>
      <c r="B541">
        <v>45485</v>
      </c>
      <c r="C541" t="s">
        <v>2151</v>
      </c>
      <c r="D541" t="s">
        <v>31</v>
      </c>
      <c r="E541">
        <v>3</v>
      </c>
      <c r="F541">
        <v>40</v>
      </c>
      <c r="G541">
        <v>12.58</v>
      </c>
      <c r="H541" t="s">
        <v>691</v>
      </c>
      <c r="I541" t="s">
        <v>1971</v>
      </c>
      <c r="J541" t="s">
        <v>27</v>
      </c>
      <c r="K541" t="s">
        <v>21</v>
      </c>
    </row>
    <row r="542" spans="1:11" x14ac:dyDescent="0.45">
      <c r="A542" t="s">
        <v>880</v>
      </c>
      <c r="B542">
        <v>45485</v>
      </c>
      <c r="C542" t="s">
        <v>2152</v>
      </c>
      <c r="D542" t="s">
        <v>50</v>
      </c>
      <c r="E542">
        <v>9</v>
      </c>
      <c r="F542">
        <v>15</v>
      </c>
      <c r="G542">
        <v>5.0599999999999996</v>
      </c>
      <c r="H542" t="s">
        <v>286</v>
      </c>
      <c r="I542" t="s">
        <v>1611</v>
      </c>
      <c r="J542" t="s">
        <v>47</v>
      </c>
      <c r="K542" t="s">
        <v>21</v>
      </c>
    </row>
    <row r="543" spans="1:11" x14ac:dyDescent="0.45">
      <c r="A543" t="s">
        <v>881</v>
      </c>
      <c r="B543">
        <v>45485</v>
      </c>
      <c r="C543" t="s">
        <v>2153</v>
      </c>
      <c r="D543" t="s">
        <v>50</v>
      </c>
      <c r="E543">
        <v>9</v>
      </c>
      <c r="F543">
        <v>15</v>
      </c>
      <c r="G543">
        <v>4.67</v>
      </c>
      <c r="H543" t="s">
        <v>439</v>
      </c>
      <c r="I543" t="s">
        <v>1745</v>
      </c>
      <c r="J543" t="s">
        <v>27</v>
      </c>
      <c r="K543" t="s">
        <v>134</v>
      </c>
    </row>
    <row r="544" spans="1:11" x14ac:dyDescent="0.45">
      <c r="A544" t="s">
        <v>882</v>
      </c>
      <c r="B544">
        <v>45486</v>
      </c>
      <c r="C544" t="s">
        <v>2154</v>
      </c>
      <c r="D544" t="s">
        <v>17</v>
      </c>
      <c r="E544">
        <v>10</v>
      </c>
      <c r="F544">
        <v>10</v>
      </c>
      <c r="G544">
        <v>2.2200000000000002</v>
      </c>
      <c r="H544" t="s">
        <v>443</v>
      </c>
      <c r="I544" t="s">
        <v>1748</v>
      </c>
      <c r="J544" t="s">
        <v>42</v>
      </c>
      <c r="K544" t="s">
        <v>34</v>
      </c>
    </row>
    <row r="545" spans="1:11" x14ac:dyDescent="0.45">
      <c r="A545" t="s">
        <v>883</v>
      </c>
      <c r="B545">
        <v>45487</v>
      </c>
      <c r="C545" t="s">
        <v>2155</v>
      </c>
      <c r="D545" t="s">
        <v>17</v>
      </c>
      <c r="E545">
        <v>2</v>
      </c>
      <c r="F545">
        <v>10</v>
      </c>
      <c r="G545">
        <v>2.02</v>
      </c>
      <c r="H545" t="s">
        <v>884</v>
      </c>
      <c r="I545" t="s">
        <v>2156</v>
      </c>
      <c r="J545" t="s">
        <v>20</v>
      </c>
      <c r="K545" t="s">
        <v>70</v>
      </c>
    </row>
    <row r="546" spans="1:11" x14ac:dyDescent="0.45">
      <c r="A546" t="s">
        <v>886</v>
      </c>
      <c r="B546">
        <v>45487</v>
      </c>
      <c r="C546" t="s">
        <v>2157</v>
      </c>
      <c r="D546" t="s">
        <v>67</v>
      </c>
      <c r="E546">
        <v>5</v>
      </c>
      <c r="F546">
        <v>12</v>
      </c>
      <c r="G546">
        <v>2.5099999999999998</v>
      </c>
      <c r="H546" t="s">
        <v>36</v>
      </c>
      <c r="I546" t="s">
        <v>1435</v>
      </c>
      <c r="J546" t="s">
        <v>27</v>
      </c>
      <c r="K546" t="s">
        <v>59</v>
      </c>
    </row>
    <row r="547" spans="1:11" x14ac:dyDescent="0.45">
      <c r="A547" t="s">
        <v>887</v>
      </c>
      <c r="B547">
        <v>45487</v>
      </c>
      <c r="C547" t="s">
        <v>2158</v>
      </c>
      <c r="D547" t="s">
        <v>17</v>
      </c>
      <c r="E547">
        <v>4</v>
      </c>
      <c r="F547">
        <v>10</v>
      </c>
      <c r="G547">
        <v>3.9</v>
      </c>
      <c r="H547" t="s">
        <v>256</v>
      </c>
      <c r="I547" t="s">
        <v>1587</v>
      </c>
      <c r="J547" t="s">
        <v>20</v>
      </c>
      <c r="K547" t="s">
        <v>34</v>
      </c>
    </row>
    <row r="548" spans="1:11" x14ac:dyDescent="0.45">
      <c r="A548" t="s">
        <v>888</v>
      </c>
      <c r="B548">
        <v>45487</v>
      </c>
      <c r="C548" t="s">
        <v>2159</v>
      </c>
      <c r="D548" t="s">
        <v>31</v>
      </c>
      <c r="E548">
        <v>10</v>
      </c>
      <c r="F548">
        <v>40</v>
      </c>
      <c r="G548">
        <v>14.94</v>
      </c>
      <c r="H548" t="s">
        <v>662</v>
      </c>
      <c r="I548" t="s">
        <v>1946</v>
      </c>
      <c r="J548" t="s">
        <v>20</v>
      </c>
      <c r="K548" t="s">
        <v>56</v>
      </c>
    </row>
    <row r="549" spans="1:11" x14ac:dyDescent="0.45">
      <c r="A549" t="s">
        <v>889</v>
      </c>
      <c r="B549">
        <v>45488</v>
      </c>
      <c r="C549" t="s">
        <v>2160</v>
      </c>
      <c r="D549" t="s">
        <v>50</v>
      </c>
      <c r="E549">
        <v>6</v>
      </c>
      <c r="F549">
        <v>15</v>
      </c>
      <c r="G549">
        <v>3.49</v>
      </c>
      <c r="H549" t="s">
        <v>111</v>
      </c>
      <c r="I549" t="s">
        <v>1480</v>
      </c>
      <c r="J549" t="s">
        <v>47</v>
      </c>
      <c r="K549" t="s">
        <v>38</v>
      </c>
    </row>
    <row r="550" spans="1:11" x14ac:dyDescent="0.45">
      <c r="A550" t="s">
        <v>890</v>
      </c>
      <c r="B550">
        <v>45488</v>
      </c>
      <c r="C550" t="s">
        <v>2161</v>
      </c>
      <c r="D550" t="s">
        <v>31</v>
      </c>
      <c r="E550">
        <v>1</v>
      </c>
      <c r="F550">
        <v>40</v>
      </c>
      <c r="G550">
        <v>10.89</v>
      </c>
      <c r="H550" t="s">
        <v>409</v>
      </c>
      <c r="I550" t="s">
        <v>1717</v>
      </c>
      <c r="J550" t="s">
        <v>27</v>
      </c>
      <c r="K550" t="s">
        <v>59</v>
      </c>
    </row>
    <row r="551" spans="1:11" x14ac:dyDescent="0.45">
      <c r="A551" t="s">
        <v>891</v>
      </c>
      <c r="B551">
        <v>45488</v>
      </c>
      <c r="C551" t="s">
        <v>2162</v>
      </c>
      <c r="D551" t="s">
        <v>24</v>
      </c>
      <c r="E551">
        <v>3</v>
      </c>
      <c r="F551">
        <v>25</v>
      </c>
      <c r="G551">
        <v>6.64</v>
      </c>
      <c r="H551" t="s">
        <v>731</v>
      </c>
      <c r="I551" t="s">
        <v>2010</v>
      </c>
      <c r="J551" t="s">
        <v>27</v>
      </c>
      <c r="K551" t="s">
        <v>43</v>
      </c>
    </row>
    <row r="552" spans="1:11" x14ac:dyDescent="0.45">
      <c r="A552" t="s">
        <v>892</v>
      </c>
      <c r="B552">
        <v>45488</v>
      </c>
      <c r="C552" t="s">
        <v>2163</v>
      </c>
      <c r="D552" t="s">
        <v>24</v>
      </c>
      <c r="E552">
        <v>5</v>
      </c>
      <c r="F552">
        <v>25</v>
      </c>
      <c r="G552">
        <v>5.76</v>
      </c>
      <c r="H552" t="s">
        <v>321</v>
      </c>
      <c r="I552" t="s">
        <v>1641</v>
      </c>
      <c r="J552" t="s">
        <v>27</v>
      </c>
      <c r="K552" t="s">
        <v>43</v>
      </c>
    </row>
    <row r="553" spans="1:11" x14ac:dyDescent="0.45">
      <c r="A553" t="s">
        <v>893</v>
      </c>
      <c r="B553">
        <v>45488</v>
      </c>
      <c r="C553" t="s">
        <v>2164</v>
      </c>
      <c r="D553" t="s">
        <v>50</v>
      </c>
      <c r="E553">
        <v>2</v>
      </c>
      <c r="F553">
        <v>15</v>
      </c>
      <c r="G553">
        <v>5.21</v>
      </c>
      <c r="H553" t="s">
        <v>576</v>
      </c>
      <c r="I553" t="s">
        <v>1862</v>
      </c>
      <c r="J553" t="s">
        <v>27</v>
      </c>
      <c r="K553" t="s">
        <v>28</v>
      </c>
    </row>
    <row r="554" spans="1:11" x14ac:dyDescent="0.45">
      <c r="A554" t="s">
        <v>894</v>
      </c>
      <c r="B554">
        <v>45489</v>
      </c>
      <c r="C554" t="s">
        <v>2165</v>
      </c>
      <c r="D554" t="s">
        <v>17</v>
      </c>
      <c r="E554">
        <v>3</v>
      </c>
      <c r="F554">
        <v>10</v>
      </c>
      <c r="G554">
        <v>3.27</v>
      </c>
      <c r="H554" t="s">
        <v>476</v>
      </c>
      <c r="I554" t="s">
        <v>1775</v>
      </c>
      <c r="J554" t="s">
        <v>20</v>
      </c>
      <c r="K554" t="s">
        <v>70</v>
      </c>
    </row>
    <row r="555" spans="1:11" x14ac:dyDescent="0.45">
      <c r="A555" t="s">
        <v>895</v>
      </c>
      <c r="B555">
        <v>45489</v>
      </c>
      <c r="C555" t="s">
        <v>2166</v>
      </c>
      <c r="D555" t="s">
        <v>50</v>
      </c>
      <c r="E555">
        <v>4</v>
      </c>
      <c r="F555">
        <v>15</v>
      </c>
      <c r="G555">
        <v>5.98</v>
      </c>
      <c r="H555" t="s">
        <v>662</v>
      </c>
      <c r="I555" t="s">
        <v>1946</v>
      </c>
      <c r="J555" t="s">
        <v>27</v>
      </c>
      <c r="K555" t="s">
        <v>43</v>
      </c>
    </row>
    <row r="556" spans="1:11" x14ac:dyDescent="0.45">
      <c r="A556" t="s">
        <v>896</v>
      </c>
      <c r="B556">
        <v>45490</v>
      </c>
      <c r="C556" t="s">
        <v>2167</v>
      </c>
      <c r="D556" t="s">
        <v>17</v>
      </c>
      <c r="E556">
        <v>4</v>
      </c>
      <c r="F556">
        <v>10</v>
      </c>
      <c r="G556">
        <v>2.38</v>
      </c>
      <c r="H556" t="s">
        <v>414</v>
      </c>
      <c r="I556" t="s">
        <v>1722</v>
      </c>
      <c r="J556" t="s">
        <v>42</v>
      </c>
      <c r="K556" t="s">
        <v>28</v>
      </c>
    </row>
    <row r="557" spans="1:11" x14ac:dyDescent="0.45">
      <c r="A557" t="s">
        <v>897</v>
      </c>
      <c r="B557">
        <v>45490</v>
      </c>
      <c r="C557" t="s">
        <v>2168</v>
      </c>
      <c r="D557" t="s">
        <v>50</v>
      </c>
      <c r="E557">
        <v>7</v>
      </c>
      <c r="F557">
        <v>15</v>
      </c>
      <c r="G557">
        <v>4.13</v>
      </c>
      <c r="H557" t="s">
        <v>411</v>
      </c>
      <c r="I557" t="s">
        <v>1719</v>
      </c>
      <c r="J557" t="s">
        <v>27</v>
      </c>
      <c r="K557" t="s">
        <v>134</v>
      </c>
    </row>
    <row r="558" spans="1:11" x14ac:dyDescent="0.45">
      <c r="A558" t="s">
        <v>898</v>
      </c>
      <c r="B558">
        <v>45490</v>
      </c>
      <c r="C558" t="s">
        <v>2169</v>
      </c>
      <c r="D558" t="s">
        <v>24</v>
      </c>
      <c r="E558">
        <v>5</v>
      </c>
      <c r="F558">
        <v>25</v>
      </c>
      <c r="G558">
        <v>9.35</v>
      </c>
      <c r="H558" t="s">
        <v>313</v>
      </c>
      <c r="I558" t="s">
        <v>1635</v>
      </c>
      <c r="J558" t="s">
        <v>27</v>
      </c>
      <c r="K558" t="s">
        <v>74</v>
      </c>
    </row>
    <row r="559" spans="1:11" x14ac:dyDescent="0.45">
      <c r="A559" t="s">
        <v>899</v>
      </c>
      <c r="B559">
        <v>45490</v>
      </c>
      <c r="C559" t="s">
        <v>2170</v>
      </c>
      <c r="D559" t="s">
        <v>50</v>
      </c>
      <c r="E559">
        <v>8</v>
      </c>
      <c r="F559">
        <v>15</v>
      </c>
      <c r="G559">
        <v>3.62</v>
      </c>
      <c r="H559" t="s">
        <v>76</v>
      </c>
      <c r="I559" t="s">
        <v>1455</v>
      </c>
      <c r="J559" t="s">
        <v>42</v>
      </c>
      <c r="K559" t="s">
        <v>70</v>
      </c>
    </row>
    <row r="560" spans="1:11" x14ac:dyDescent="0.45">
      <c r="A560" t="s">
        <v>900</v>
      </c>
      <c r="B560">
        <v>45491</v>
      </c>
      <c r="C560" t="s">
        <v>2171</v>
      </c>
      <c r="D560" t="s">
        <v>24</v>
      </c>
      <c r="E560">
        <v>5</v>
      </c>
      <c r="F560">
        <v>25</v>
      </c>
      <c r="G560">
        <v>8.68</v>
      </c>
      <c r="H560" t="s">
        <v>414</v>
      </c>
      <c r="I560" t="s">
        <v>1722</v>
      </c>
      <c r="J560" t="s">
        <v>27</v>
      </c>
      <c r="K560" t="s">
        <v>21</v>
      </c>
    </row>
    <row r="561" spans="1:11" x14ac:dyDescent="0.45">
      <c r="A561" t="s">
        <v>901</v>
      </c>
      <c r="B561">
        <v>45491</v>
      </c>
      <c r="C561" t="s">
        <v>2172</v>
      </c>
      <c r="D561" t="s">
        <v>50</v>
      </c>
      <c r="E561">
        <v>10</v>
      </c>
      <c r="F561">
        <v>15</v>
      </c>
      <c r="G561">
        <v>3.4</v>
      </c>
      <c r="H561" t="s">
        <v>378</v>
      </c>
      <c r="I561" t="s">
        <v>1690</v>
      </c>
      <c r="J561" t="s">
        <v>47</v>
      </c>
      <c r="K561" t="s">
        <v>28</v>
      </c>
    </row>
    <row r="562" spans="1:11" x14ac:dyDescent="0.45">
      <c r="A562" t="s">
        <v>902</v>
      </c>
      <c r="B562">
        <v>45491</v>
      </c>
      <c r="C562" t="s">
        <v>2173</v>
      </c>
      <c r="D562" t="s">
        <v>31</v>
      </c>
      <c r="E562">
        <v>2</v>
      </c>
      <c r="F562">
        <v>40</v>
      </c>
      <c r="G562">
        <v>9.3000000000000007</v>
      </c>
      <c r="H562" t="s">
        <v>61</v>
      </c>
      <c r="I562" t="s">
        <v>1447</v>
      </c>
      <c r="J562" t="s">
        <v>27</v>
      </c>
      <c r="K562" t="s">
        <v>134</v>
      </c>
    </row>
    <row r="563" spans="1:11" x14ac:dyDescent="0.45">
      <c r="A563" t="s">
        <v>903</v>
      </c>
      <c r="B563">
        <v>45491</v>
      </c>
      <c r="C563" t="s">
        <v>2174</v>
      </c>
      <c r="D563" t="s">
        <v>50</v>
      </c>
      <c r="E563">
        <v>7</v>
      </c>
      <c r="F563">
        <v>15</v>
      </c>
      <c r="G563">
        <v>3.65</v>
      </c>
      <c r="H563" t="s">
        <v>904</v>
      </c>
      <c r="I563" t="s">
        <v>2175</v>
      </c>
      <c r="J563" t="s">
        <v>42</v>
      </c>
      <c r="K563" t="s">
        <v>21</v>
      </c>
    </row>
    <row r="564" spans="1:11" x14ac:dyDescent="0.45">
      <c r="A564" t="s">
        <v>906</v>
      </c>
      <c r="B564">
        <v>45491</v>
      </c>
      <c r="C564" t="s">
        <v>2176</v>
      </c>
      <c r="D564" t="s">
        <v>31</v>
      </c>
      <c r="E564">
        <v>2</v>
      </c>
      <c r="F564">
        <v>40</v>
      </c>
      <c r="G564">
        <v>14.04</v>
      </c>
      <c r="H564" t="s">
        <v>550</v>
      </c>
      <c r="I564" t="s">
        <v>1841</v>
      </c>
      <c r="J564" t="s">
        <v>20</v>
      </c>
      <c r="K564" t="s">
        <v>38</v>
      </c>
    </row>
    <row r="565" spans="1:11" x14ac:dyDescent="0.45">
      <c r="A565" t="s">
        <v>907</v>
      </c>
      <c r="B565">
        <v>45492</v>
      </c>
      <c r="C565" t="s">
        <v>2177</v>
      </c>
      <c r="D565" t="s">
        <v>24</v>
      </c>
      <c r="E565">
        <v>2</v>
      </c>
      <c r="F565">
        <v>25</v>
      </c>
      <c r="G565">
        <v>9.57</v>
      </c>
      <c r="H565" t="s">
        <v>329</v>
      </c>
      <c r="I565" t="s">
        <v>1647</v>
      </c>
      <c r="J565" t="s">
        <v>27</v>
      </c>
      <c r="K565" t="s">
        <v>59</v>
      </c>
    </row>
    <row r="566" spans="1:11" x14ac:dyDescent="0.45">
      <c r="A566" t="s">
        <v>908</v>
      </c>
      <c r="B566">
        <v>45493</v>
      </c>
      <c r="C566" t="s">
        <v>2178</v>
      </c>
      <c r="D566" t="s">
        <v>31</v>
      </c>
      <c r="E566">
        <v>3</v>
      </c>
      <c r="F566">
        <v>40</v>
      </c>
      <c r="G566">
        <v>12.77</v>
      </c>
      <c r="H566" t="s">
        <v>802</v>
      </c>
      <c r="I566" t="s">
        <v>2077</v>
      </c>
      <c r="J566" t="s">
        <v>27</v>
      </c>
      <c r="K566" t="s">
        <v>70</v>
      </c>
    </row>
    <row r="567" spans="1:11" x14ac:dyDescent="0.45">
      <c r="A567" t="s">
        <v>909</v>
      </c>
      <c r="B567">
        <v>45494</v>
      </c>
      <c r="C567" t="s">
        <v>2179</v>
      </c>
      <c r="D567" t="s">
        <v>50</v>
      </c>
      <c r="E567">
        <v>8</v>
      </c>
      <c r="F567">
        <v>15</v>
      </c>
      <c r="G567">
        <v>4.2699999999999996</v>
      </c>
      <c r="H567" t="s">
        <v>387</v>
      </c>
      <c r="I567" t="s">
        <v>1697</v>
      </c>
      <c r="J567" t="s">
        <v>20</v>
      </c>
      <c r="K567" t="s">
        <v>56</v>
      </c>
    </row>
    <row r="568" spans="1:11" x14ac:dyDescent="0.45">
      <c r="A568" t="s">
        <v>910</v>
      </c>
      <c r="B568">
        <v>45494</v>
      </c>
      <c r="C568" t="s">
        <v>2180</v>
      </c>
      <c r="D568" t="s">
        <v>24</v>
      </c>
      <c r="E568">
        <v>4</v>
      </c>
      <c r="G568">
        <v>8.75</v>
      </c>
      <c r="H568" t="s">
        <v>397</v>
      </c>
      <c r="I568" t="s">
        <v>1706</v>
      </c>
      <c r="J568" t="s">
        <v>27</v>
      </c>
      <c r="K568" t="s">
        <v>56</v>
      </c>
    </row>
    <row r="569" spans="1:11" x14ac:dyDescent="0.45">
      <c r="A569" t="s">
        <v>911</v>
      </c>
      <c r="B569">
        <v>45494</v>
      </c>
      <c r="C569" t="s">
        <v>2181</v>
      </c>
      <c r="D569" t="s">
        <v>31</v>
      </c>
      <c r="E569">
        <v>3</v>
      </c>
      <c r="F569">
        <v>40</v>
      </c>
      <c r="G569">
        <v>9.3699999999999992</v>
      </c>
      <c r="H569" t="s">
        <v>763</v>
      </c>
      <c r="I569" t="s">
        <v>2040</v>
      </c>
      <c r="J569" t="s">
        <v>27</v>
      </c>
      <c r="K569" t="s">
        <v>21</v>
      </c>
    </row>
    <row r="570" spans="1:11" x14ac:dyDescent="0.45">
      <c r="A570" t="s">
        <v>912</v>
      </c>
      <c r="B570">
        <v>45495</v>
      </c>
      <c r="C570" t="s">
        <v>2182</v>
      </c>
      <c r="D570" t="s">
        <v>31</v>
      </c>
      <c r="E570">
        <v>5</v>
      </c>
      <c r="F570">
        <v>40</v>
      </c>
      <c r="G570">
        <v>11</v>
      </c>
      <c r="H570" t="s">
        <v>245</v>
      </c>
      <c r="I570" t="s">
        <v>1578</v>
      </c>
      <c r="J570" t="s">
        <v>27</v>
      </c>
      <c r="K570" t="s">
        <v>70</v>
      </c>
    </row>
    <row r="571" spans="1:11" x14ac:dyDescent="0.45">
      <c r="A571" t="s">
        <v>913</v>
      </c>
      <c r="B571">
        <v>45495</v>
      </c>
      <c r="C571" t="s">
        <v>2183</v>
      </c>
      <c r="D571" t="s">
        <v>24</v>
      </c>
      <c r="E571">
        <v>10</v>
      </c>
      <c r="F571">
        <v>25</v>
      </c>
      <c r="G571">
        <v>5.0999999999999996</v>
      </c>
      <c r="H571" t="s">
        <v>139</v>
      </c>
      <c r="I571" t="s">
        <v>1499</v>
      </c>
      <c r="J571" t="s">
        <v>27</v>
      </c>
      <c r="K571" t="s">
        <v>74</v>
      </c>
    </row>
    <row r="572" spans="1:11" x14ac:dyDescent="0.45">
      <c r="A572" t="s">
        <v>914</v>
      </c>
      <c r="B572">
        <v>45495</v>
      </c>
      <c r="C572" t="s">
        <v>2184</v>
      </c>
      <c r="D572" t="s">
        <v>31</v>
      </c>
      <c r="E572">
        <v>8</v>
      </c>
      <c r="F572">
        <v>40</v>
      </c>
      <c r="G572">
        <v>10.119999999999999</v>
      </c>
      <c r="H572" t="s">
        <v>176</v>
      </c>
      <c r="I572" t="s">
        <v>1528</v>
      </c>
      <c r="J572" t="s">
        <v>27</v>
      </c>
      <c r="K572" t="s">
        <v>134</v>
      </c>
    </row>
    <row r="573" spans="1:11" x14ac:dyDescent="0.45">
      <c r="A573" t="s">
        <v>915</v>
      </c>
      <c r="B573">
        <v>45496</v>
      </c>
      <c r="C573" t="s">
        <v>2185</v>
      </c>
      <c r="D573" t="s">
        <v>50</v>
      </c>
      <c r="E573">
        <v>7</v>
      </c>
      <c r="F573">
        <v>15</v>
      </c>
      <c r="G573">
        <v>5.88</v>
      </c>
      <c r="H573" t="s">
        <v>174</v>
      </c>
      <c r="I573" t="s">
        <v>1526</v>
      </c>
      <c r="J573" t="s">
        <v>47</v>
      </c>
      <c r="K573" t="s">
        <v>21</v>
      </c>
    </row>
    <row r="574" spans="1:11" x14ac:dyDescent="0.45">
      <c r="A574" t="s">
        <v>916</v>
      </c>
      <c r="B574">
        <v>45496</v>
      </c>
      <c r="C574" t="s">
        <v>2186</v>
      </c>
      <c r="D574" t="s">
        <v>17</v>
      </c>
      <c r="E574">
        <v>1</v>
      </c>
      <c r="F574">
        <v>10</v>
      </c>
      <c r="G574">
        <v>2.21</v>
      </c>
      <c r="H574" t="s">
        <v>802</v>
      </c>
      <c r="I574" t="s">
        <v>2077</v>
      </c>
      <c r="J574" t="s">
        <v>27</v>
      </c>
      <c r="K574" t="s">
        <v>28</v>
      </c>
    </row>
    <row r="575" spans="1:11" x14ac:dyDescent="0.45">
      <c r="A575" t="s">
        <v>917</v>
      </c>
      <c r="B575">
        <v>45496</v>
      </c>
      <c r="C575" t="s">
        <v>2187</v>
      </c>
      <c r="D575" t="s">
        <v>31</v>
      </c>
      <c r="E575">
        <v>3</v>
      </c>
      <c r="F575">
        <v>40</v>
      </c>
      <c r="G575">
        <v>8.3800000000000008</v>
      </c>
      <c r="H575" t="s">
        <v>166</v>
      </c>
      <c r="I575" t="s">
        <v>1520</v>
      </c>
      <c r="J575" t="s">
        <v>27</v>
      </c>
      <c r="K575" t="s">
        <v>43</v>
      </c>
    </row>
    <row r="576" spans="1:11" x14ac:dyDescent="0.45">
      <c r="A576" t="s">
        <v>918</v>
      </c>
      <c r="B576">
        <v>45496</v>
      </c>
      <c r="C576" t="s">
        <v>2188</v>
      </c>
      <c r="D576" t="s">
        <v>67</v>
      </c>
      <c r="E576">
        <v>6</v>
      </c>
      <c r="F576">
        <v>12</v>
      </c>
      <c r="G576">
        <v>2.68</v>
      </c>
      <c r="H576" t="s">
        <v>72</v>
      </c>
      <c r="I576" t="s">
        <v>1453</v>
      </c>
      <c r="J576" t="s">
        <v>27</v>
      </c>
      <c r="K576" t="s">
        <v>21</v>
      </c>
    </row>
    <row r="577" spans="1:11" x14ac:dyDescent="0.45">
      <c r="A577" t="s">
        <v>919</v>
      </c>
      <c r="B577">
        <v>45498</v>
      </c>
      <c r="C577" t="s">
        <v>2189</v>
      </c>
      <c r="D577" t="s">
        <v>24</v>
      </c>
      <c r="E577">
        <v>8</v>
      </c>
      <c r="F577">
        <v>25</v>
      </c>
      <c r="G577">
        <v>6.6</v>
      </c>
      <c r="H577" t="s">
        <v>305</v>
      </c>
      <c r="I577" t="s">
        <v>1628</v>
      </c>
      <c r="J577" t="s">
        <v>27</v>
      </c>
      <c r="K577" t="s">
        <v>34</v>
      </c>
    </row>
    <row r="578" spans="1:11" x14ac:dyDescent="0.45">
      <c r="A578" t="s">
        <v>920</v>
      </c>
      <c r="B578">
        <v>45498</v>
      </c>
      <c r="C578" t="s">
        <v>2190</v>
      </c>
      <c r="D578" t="s">
        <v>31</v>
      </c>
      <c r="E578">
        <v>4</v>
      </c>
      <c r="F578">
        <v>40</v>
      </c>
      <c r="G578">
        <v>14.82</v>
      </c>
      <c r="H578" t="s">
        <v>641</v>
      </c>
      <c r="I578" t="s">
        <v>1926</v>
      </c>
      <c r="J578" t="s">
        <v>27</v>
      </c>
      <c r="K578" t="s">
        <v>28</v>
      </c>
    </row>
    <row r="579" spans="1:11" x14ac:dyDescent="0.45">
      <c r="A579" t="s">
        <v>921</v>
      </c>
      <c r="B579">
        <v>45498</v>
      </c>
      <c r="C579" t="s">
        <v>2191</v>
      </c>
      <c r="D579" t="s">
        <v>24</v>
      </c>
      <c r="E579">
        <v>7</v>
      </c>
      <c r="F579">
        <v>25</v>
      </c>
      <c r="G579">
        <v>8.67</v>
      </c>
      <c r="H579" t="s">
        <v>418</v>
      </c>
      <c r="I579" t="s">
        <v>1726</v>
      </c>
      <c r="J579" t="s">
        <v>20</v>
      </c>
      <c r="K579" t="s">
        <v>38</v>
      </c>
    </row>
    <row r="580" spans="1:11" x14ac:dyDescent="0.45">
      <c r="A580" t="s">
        <v>922</v>
      </c>
      <c r="B580">
        <v>45498</v>
      </c>
      <c r="C580" t="s">
        <v>2192</v>
      </c>
      <c r="D580" t="s">
        <v>50</v>
      </c>
      <c r="E580">
        <v>8</v>
      </c>
      <c r="F580">
        <v>15</v>
      </c>
      <c r="G580">
        <v>5.97</v>
      </c>
      <c r="H580" t="s">
        <v>482</v>
      </c>
      <c r="I580" t="s">
        <v>1779</v>
      </c>
      <c r="J580" t="s">
        <v>27</v>
      </c>
      <c r="K580" t="s">
        <v>38</v>
      </c>
    </row>
    <row r="581" spans="1:11" x14ac:dyDescent="0.45">
      <c r="A581" t="s">
        <v>923</v>
      </c>
      <c r="B581">
        <v>45498</v>
      </c>
      <c r="C581" t="s">
        <v>2193</v>
      </c>
      <c r="D581" t="s">
        <v>67</v>
      </c>
      <c r="E581">
        <v>4</v>
      </c>
      <c r="F581">
        <v>12</v>
      </c>
      <c r="G581">
        <v>3.9</v>
      </c>
      <c r="H581" t="s">
        <v>924</v>
      </c>
      <c r="I581" t="s">
        <v>2194</v>
      </c>
      <c r="J581" t="s">
        <v>27</v>
      </c>
      <c r="K581" t="s">
        <v>28</v>
      </c>
    </row>
    <row r="582" spans="1:11" x14ac:dyDescent="0.45">
      <c r="A582" t="s">
        <v>926</v>
      </c>
      <c r="B582">
        <v>45498</v>
      </c>
      <c r="C582" t="s">
        <v>2195</v>
      </c>
      <c r="D582" t="s">
        <v>17</v>
      </c>
      <c r="E582">
        <v>6</v>
      </c>
      <c r="F582">
        <v>10</v>
      </c>
      <c r="G582">
        <v>3.16</v>
      </c>
      <c r="H582" t="s">
        <v>731</v>
      </c>
      <c r="I582" t="s">
        <v>2010</v>
      </c>
      <c r="J582" t="s">
        <v>27</v>
      </c>
      <c r="K582" t="s">
        <v>43</v>
      </c>
    </row>
    <row r="583" spans="1:11" x14ac:dyDescent="0.45">
      <c r="A583" t="s">
        <v>927</v>
      </c>
      <c r="B583">
        <v>45498</v>
      </c>
      <c r="C583" t="s">
        <v>2196</v>
      </c>
      <c r="D583" t="s">
        <v>31</v>
      </c>
      <c r="E583">
        <v>3</v>
      </c>
      <c r="F583">
        <v>40</v>
      </c>
      <c r="G583">
        <v>11.05</v>
      </c>
      <c r="H583" t="s">
        <v>443</v>
      </c>
      <c r="I583" t="s">
        <v>1748</v>
      </c>
      <c r="J583" t="s">
        <v>20</v>
      </c>
      <c r="K583" t="s">
        <v>70</v>
      </c>
    </row>
    <row r="584" spans="1:11" x14ac:dyDescent="0.45">
      <c r="A584" t="s">
        <v>928</v>
      </c>
      <c r="B584">
        <v>45499</v>
      </c>
      <c r="C584" t="s">
        <v>2197</v>
      </c>
      <c r="D584" t="s">
        <v>31</v>
      </c>
      <c r="E584">
        <v>5</v>
      </c>
      <c r="G584">
        <v>12.94</v>
      </c>
      <c r="H584" t="s">
        <v>238</v>
      </c>
      <c r="I584" t="s">
        <v>1573</v>
      </c>
      <c r="J584" t="s">
        <v>27</v>
      </c>
      <c r="K584" t="s">
        <v>34</v>
      </c>
    </row>
    <row r="585" spans="1:11" x14ac:dyDescent="0.45">
      <c r="A585" t="s">
        <v>929</v>
      </c>
      <c r="B585">
        <v>45499</v>
      </c>
      <c r="C585" t="s">
        <v>2198</v>
      </c>
      <c r="D585" t="s">
        <v>17</v>
      </c>
      <c r="E585">
        <v>3</v>
      </c>
      <c r="F585">
        <v>10</v>
      </c>
      <c r="G585">
        <v>2.02</v>
      </c>
      <c r="H585" t="s">
        <v>200</v>
      </c>
      <c r="I585" t="s">
        <v>1544</v>
      </c>
      <c r="J585" t="s">
        <v>20</v>
      </c>
      <c r="K585" t="s">
        <v>21</v>
      </c>
    </row>
    <row r="586" spans="1:11" x14ac:dyDescent="0.45">
      <c r="A586" t="s">
        <v>930</v>
      </c>
      <c r="B586">
        <v>45500</v>
      </c>
      <c r="C586" t="s">
        <v>2199</v>
      </c>
      <c r="D586" t="s">
        <v>31</v>
      </c>
      <c r="E586">
        <v>6</v>
      </c>
      <c r="F586">
        <v>40</v>
      </c>
      <c r="G586">
        <v>13.06</v>
      </c>
      <c r="H586" t="s">
        <v>405</v>
      </c>
      <c r="I586" t="s">
        <v>1713</v>
      </c>
      <c r="J586" t="s">
        <v>27</v>
      </c>
      <c r="K586" t="s">
        <v>34</v>
      </c>
    </row>
    <row r="587" spans="1:11" x14ac:dyDescent="0.45">
      <c r="A587" t="s">
        <v>931</v>
      </c>
      <c r="B587">
        <v>45500</v>
      </c>
      <c r="C587" t="s">
        <v>2200</v>
      </c>
      <c r="D587" t="s">
        <v>24</v>
      </c>
      <c r="E587">
        <v>3</v>
      </c>
      <c r="F587">
        <v>25</v>
      </c>
      <c r="G587">
        <v>5.33</v>
      </c>
      <c r="H587" t="s">
        <v>457</v>
      </c>
      <c r="I587" t="s">
        <v>1759</v>
      </c>
      <c r="J587" t="s">
        <v>27</v>
      </c>
      <c r="K587" t="s">
        <v>38</v>
      </c>
    </row>
    <row r="588" spans="1:11" x14ac:dyDescent="0.45">
      <c r="A588" t="s">
        <v>932</v>
      </c>
      <c r="B588">
        <v>45500</v>
      </c>
      <c r="C588" t="s">
        <v>2201</v>
      </c>
      <c r="D588" t="s">
        <v>50</v>
      </c>
      <c r="E588">
        <v>6</v>
      </c>
      <c r="F588">
        <v>15</v>
      </c>
      <c r="G588">
        <v>5.32</v>
      </c>
      <c r="H588" t="s">
        <v>256</v>
      </c>
      <c r="I588" t="s">
        <v>1587</v>
      </c>
      <c r="J588" t="s">
        <v>27</v>
      </c>
      <c r="K588" t="s">
        <v>34</v>
      </c>
    </row>
    <row r="589" spans="1:11" x14ac:dyDescent="0.45">
      <c r="A589" t="s">
        <v>933</v>
      </c>
      <c r="B589">
        <v>45501</v>
      </c>
      <c r="C589" t="s">
        <v>2202</v>
      </c>
      <c r="D589" t="s">
        <v>24</v>
      </c>
      <c r="E589">
        <v>8</v>
      </c>
      <c r="F589">
        <v>25</v>
      </c>
      <c r="G589">
        <v>7.98</v>
      </c>
      <c r="H589" t="s">
        <v>373</v>
      </c>
      <c r="I589" t="s">
        <v>1686</v>
      </c>
      <c r="J589" t="s">
        <v>27</v>
      </c>
      <c r="K589" t="s">
        <v>21</v>
      </c>
    </row>
    <row r="590" spans="1:11" x14ac:dyDescent="0.45">
      <c r="A590" t="s">
        <v>934</v>
      </c>
      <c r="B590">
        <v>45503</v>
      </c>
      <c r="C590" t="s">
        <v>2203</v>
      </c>
      <c r="D590" t="s">
        <v>50</v>
      </c>
      <c r="E590">
        <v>9</v>
      </c>
      <c r="F590">
        <v>15</v>
      </c>
      <c r="G590">
        <v>5.59</v>
      </c>
      <c r="H590" t="s">
        <v>517</v>
      </c>
      <c r="I590" t="s">
        <v>1811</v>
      </c>
      <c r="J590" t="s">
        <v>27</v>
      </c>
      <c r="K590" t="s">
        <v>43</v>
      </c>
    </row>
    <row r="591" spans="1:11" x14ac:dyDescent="0.45">
      <c r="A591" t="s">
        <v>935</v>
      </c>
      <c r="B591">
        <v>45503</v>
      </c>
      <c r="C591" t="s">
        <v>2204</v>
      </c>
      <c r="D591" t="s">
        <v>31</v>
      </c>
      <c r="E591">
        <v>10</v>
      </c>
      <c r="F591">
        <v>40</v>
      </c>
      <c r="G591">
        <v>15.91</v>
      </c>
      <c r="H591" t="s">
        <v>216</v>
      </c>
      <c r="I591" t="s">
        <v>1555</v>
      </c>
      <c r="J591" t="s">
        <v>27</v>
      </c>
      <c r="K591" t="s">
        <v>59</v>
      </c>
    </row>
    <row r="592" spans="1:11" x14ac:dyDescent="0.45">
      <c r="A592" t="s">
        <v>936</v>
      </c>
      <c r="B592">
        <v>45504</v>
      </c>
      <c r="C592" t="s">
        <v>2205</v>
      </c>
      <c r="D592" t="s">
        <v>50</v>
      </c>
      <c r="E592">
        <v>9</v>
      </c>
      <c r="F592">
        <v>15</v>
      </c>
      <c r="G592">
        <v>5.14</v>
      </c>
      <c r="H592" t="s">
        <v>573</v>
      </c>
      <c r="I592" t="s">
        <v>1860</v>
      </c>
      <c r="J592" t="s">
        <v>27</v>
      </c>
      <c r="K592" t="s">
        <v>38</v>
      </c>
    </row>
    <row r="593" spans="1:11" x14ac:dyDescent="0.45">
      <c r="A593" t="s">
        <v>937</v>
      </c>
      <c r="B593">
        <v>45505</v>
      </c>
      <c r="C593" t="s">
        <v>2206</v>
      </c>
      <c r="D593" t="s">
        <v>24</v>
      </c>
      <c r="E593">
        <v>2</v>
      </c>
      <c r="F593">
        <v>25</v>
      </c>
      <c r="G593">
        <v>8.4</v>
      </c>
      <c r="H593" t="s">
        <v>114</v>
      </c>
      <c r="I593" t="s">
        <v>1482</v>
      </c>
      <c r="J593" t="s">
        <v>27</v>
      </c>
      <c r="K593" t="s">
        <v>43</v>
      </c>
    </row>
    <row r="594" spans="1:11" x14ac:dyDescent="0.45">
      <c r="A594" t="s">
        <v>938</v>
      </c>
      <c r="B594">
        <v>45505</v>
      </c>
      <c r="C594" t="s">
        <v>2207</v>
      </c>
      <c r="D594" t="s">
        <v>50</v>
      </c>
      <c r="E594">
        <v>2</v>
      </c>
      <c r="F594">
        <v>15</v>
      </c>
      <c r="G594">
        <v>4.3099999999999996</v>
      </c>
      <c r="H594" t="s">
        <v>213</v>
      </c>
      <c r="I594" t="s">
        <v>1553</v>
      </c>
      <c r="J594" t="s">
        <v>42</v>
      </c>
      <c r="K594" t="s">
        <v>34</v>
      </c>
    </row>
    <row r="595" spans="1:11" x14ac:dyDescent="0.45">
      <c r="A595" t="s">
        <v>939</v>
      </c>
      <c r="B595">
        <v>45505</v>
      </c>
      <c r="C595" t="s">
        <v>2208</v>
      </c>
      <c r="D595" t="s">
        <v>31</v>
      </c>
      <c r="E595">
        <v>9</v>
      </c>
      <c r="F595">
        <v>40</v>
      </c>
      <c r="G595">
        <v>11.09</v>
      </c>
      <c r="H595" t="s">
        <v>72</v>
      </c>
      <c r="I595" t="s">
        <v>1453</v>
      </c>
      <c r="J595" t="s">
        <v>27</v>
      </c>
      <c r="K595" t="s">
        <v>34</v>
      </c>
    </row>
    <row r="596" spans="1:11" x14ac:dyDescent="0.45">
      <c r="A596" t="s">
        <v>940</v>
      </c>
      <c r="B596">
        <v>45507</v>
      </c>
      <c r="C596" t="s">
        <v>2209</v>
      </c>
      <c r="D596" t="s">
        <v>67</v>
      </c>
      <c r="E596">
        <v>2</v>
      </c>
      <c r="F596">
        <v>12</v>
      </c>
      <c r="G596">
        <v>3.35</v>
      </c>
      <c r="H596" t="s">
        <v>434</v>
      </c>
      <c r="I596" t="s">
        <v>1741</v>
      </c>
      <c r="J596" t="s">
        <v>47</v>
      </c>
      <c r="K596" t="s">
        <v>74</v>
      </c>
    </row>
    <row r="597" spans="1:11" x14ac:dyDescent="0.45">
      <c r="A597" t="s">
        <v>941</v>
      </c>
      <c r="B597">
        <v>45508</v>
      </c>
      <c r="C597" t="s">
        <v>2210</v>
      </c>
      <c r="D597" t="s">
        <v>67</v>
      </c>
      <c r="E597">
        <v>9</v>
      </c>
      <c r="F597">
        <v>12</v>
      </c>
      <c r="G597">
        <v>4.04</v>
      </c>
      <c r="H597" t="s">
        <v>99</v>
      </c>
      <c r="I597" t="s">
        <v>1471</v>
      </c>
      <c r="J597" t="s">
        <v>20</v>
      </c>
      <c r="K597" t="s">
        <v>134</v>
      </c>
    </row>
    <row r="598" spans="1:11" x14ac:dyDescent="0.45">
      <c r="A598" t="s">
        <v>942</v>
      </c>
      <c r="B598">
        <v>45508</v>
      </c>
      <c r="C598" t="s">
        <v>2211</v>
      </c>
      <c r="D598" t="s">
        <v>24</v>
      </c>
      <c r="E598">
        <v>2</v>
      </c>
      <c r="F598">
        <v>25</v>
      </c>
      <c r="G598">
        <v>7.09</v>
      </c>
      <c r="H598" t="s">
        <v>773</v>
      </c>
      <c r="I598" t="s">
        <v>2049</v>
      </c>
      <c r="J598" t="s">
        <v>27</v>
      </c>
      <c r="K598" t="s">
        <v>43</v>
      </c>
    </row>
    <row r="599" spans="1:11" x14ac:dyDescent="0.45">
      <c r="A599" t="s">
        <v>943</v>
      </c>
      <c r="B599">
        <v>45508</v>
      </c>
      <c r="C599" t="s">
        <v>2212</v>
      </c>
      <c r="D599" t="s">
        <v>24</v>
      </c>
      <c r="E599">
        <v>7</v>
      </c>
      <c r="F599">
        <v>25</v>
      </c>
      <c r="G599">
        <v>5.54</v>
      </c>
      <c r="H599" t="s">
        <v>748</v>
      </c>
      <c r="I599" t="s">
        <v>2026</v>
      </c>
      <c r="J599" t="s">
        <v>27</v>
      </c>
      <c r="K599" t="s">
        <v>70</v>
      </c>
    </row>
    <row r="600" spans="1:11" x14ac:dyDescent="0.45">
      <c r="A600" t="s">
        <v>944</v>
      </c>
      <c r="B600">
        <v>45508</v>
      </c>
      <c r="C600" t="s">
        <v>2213</v>
      </c>
      <c r="D600" t="s">
        <v>31</v>
      </c>
      <c r="E600">
        <v>5</v>
      </c>
      <c r="F600">
        <v>40</v>
      </c>
      <c r="G600">
        <v>8.2799999999999994</v>
      </c>
      <c r="H600" t="s">
        <v>378</v>
      </c>
      <c r="I600" t="s">
        <v>1690</v>
      </c>
      <c r="J600" t="s">
        <v>20</v>
      </c>
      <c r="K600" t="s">
        <v>70</v>
      </c>
    </row>
    <row r="601" spans="1:11" x14ac:dyDescent="0.45">
      <c r="A601" t="s">
        <v>945</v>
      </c>
      <c r="B601">
        <v>45509</v>
      </c>
      <c r="C601" t="s">
        <v>2214</v>
      </c>
      <c r="D601" t="s">
        <v>24</v>
      </c>
      <c r="E601">
        <v>8</v>
      </c>
      <c r="F601">
        <v>25</v>
      </c>
      <c r="G601">
        <v>9.98</v>
      </c>
      <c r="H601" t="s">
        <v>127</v>
      </c>
      <c r="I601" t="s">
        <v>1491</v>
      </c>
      <c r="J601" t="s">
        <v>20</v>
      </c>
      <c r="K601" t="s">
        <v>134</v>
      </c>
    </row>
    <row r="602" spans="1:11" x14ac:dyDescent="0.45">
      <c r="A602" t="s">
        <v>946</v>
      </c>
      <c r="B602">
        <v>45509</v>
      </c>
      <c r="C602" t="s">
        <v>2215</v>
      </c>
      <c r="D602" t="s">
        <v>50</v>
      </c>
      <c r="E602">
        <v>3</v>
      </c>
      <c r="F602">
        <v>15</v>
      </c>
      <c r="G602">
        <v>3.84</v>
      </c>
      <c r="H602" t="s">
        <v>457</v>
      </c>
      <c r="I602" t="s">
        <v>1759</v>
      </c>
      <c r="J602" t="s">
        <v>20</v>
      </c>
      <c r="K602" t="s">
        <v>59</v>
      </c>
    </row>
    <row r="603" spans="1:11" x14ac:dyDescent="0.45">
      <c r="A603" t="s">
        <v>947</v>
      </c>
      <c r="B603">
        <v>45509</v>
      </c>
      <c r="C603" t="s">
        <v>2216</v>
      </c>
      <c r="D603" t="s">
        <v>50</v>
      </c>
      <c r="E603">
        <v>1</v>
      </c>
      <c r="F603">
        <v>15</v>
      </c>
      <c r="G603">
        <v>4.22</v>
      </c>
      <c r="H603" t="s">
        <v>324</v>
      </c>
      <c r="I603" t="s">
        <v>1643</v>
      </c>
      <c r="J603" t="s">
        <v>27</v>
      </c>
      <c r="K603" t="s">
        <v>59</v>
      </c>
    </row>
    <row r="604" spans="1:11" x14ac:dyDescent="0.45">
      <c r="A604" t="s">
        <v>948</v>
      </c>
      <c r="B604">
        <v>45509</v>
      </c>
      <c r="C604" t="s">
        <v>2217</v>
      </c>
      <c r="D604" t="s">
        <v>67</v>
      </c>
      <c r="E604">
        <v>6</v>
      </c>
      <c r="F604">
        <v>12</v>
      </c>
      <c r="G604">
        <v>3.28</v>
      </c>
      <c r="H604" t="s">
        <v>303</v>
      </c>
      <c r="I604" t="s">
        <v>1626</v>
      </c>
      <c r="J604" t="s">
        <v>27</v>
      </c>
      <c r="K604" t="s">
        <v>70</v>
      </c>
    </row>
    <row r="605" spans="1:11" x14ac:dyDescent="0.45">
      <c r="A605" t="s">
        <v>949</v>
      </c>
      <c r="B605">
        <v>45510</v>
      </c>
      <c r="C605" t="s">
        <v>2218</v>
      </c>
      <c r="D605" t="s">
        <v>50</v>
      </c>
      <c r="E605">
        <v>1</v>
      </c>
      <c r="F605">
        <v>15</v>
      </c>
      <c r="G605">
        <v>3.96</v>
      </c>
      <c r="H605" t="s">
        <v>950</v>
      </c>
      <c r="I605" t="s">
        <v>2219</v>
      </c>
      <c r="J605" t="s">
        <v>27</v>
      </c>
      <c r="K605" t="s">
        <v>28</v>
      </c>
    </row>
    <row r="606" spans="1:11" x14ac:dyDescent="0.45">
      <c r="A606" t="s">
        <v>952</v>
      </c>
      <c r="B606">
        <v>45510</v>
      </c>
      <c r="C606" t="s">
        <v>2220</v>
      </c>
      <c r="D606" t="s">
        <v>31</v>
      </c>
      <c r="E606">
        <v>10</v>
      </c>
      <c r="F606">
        <v>40</v>
      </c>
      <c r="G606">
        <v>12.88</v>
      </c>
      <c r="H606" t="s">
        <v>684</v>
      </c>
      <c r="I606" t="s">
        <v>1964</v>
      </c>
      <c r="J606" t="s">
        <v>27</v>
      </c>
      <c r="K606" t="s">
        <v>43</v>
      </c>
    </row>
    <row r="607" spans="1:11" x14ac:dyDescent="0.45">
      <c r="A607" t="s">
        <v>953</v>
      </c>
      <c r="B607">
        <v>45510</v>
      </c>
      <c r="C607" t="s">
        <v>2221</v>
      </c>
      <c r="D607" t="s">
        <v>67</v>
      </c>
      <c r="E607">
        <v>9</v>
      </c>
      <c r="F607">
        <v>12</v>
      </c>
      <c r="G607">
        <v>4.04</v>
      </c>
      <c r="H607" t="s">
        <v>76</v>
      </c>
      <c r="I607" t="s">
        <v>1455</v>
      </c>
      <c r="J607" t="s">
        <v>27</v>
      </c>
      <c r="K607" t="s">
        <v>59</v>
      </c>
    </row>
    <row r="608" spans="1:11" x14ac:dyDescent="0.45">
      <c r="A608" t="s">
        <v>954</v>
      </c>
      <c r="B608">
        <v>45510</v>
      </c>
      <c r="C608" t="s">
        <v>2222</v>
      </c>
      <c r="D608" t="s">
        <v>67</v>
      </c>
      <c r="E608">
        <v>3</v>
      </c>
      <c r="G608">
        <v>2.83</v>
      </c>
      <c r="H608" t="s">
        <v>156</v>
      </c>
      <c r="I608" t="s">
        <v>1511</v>
      </c>
      <c r="J608" t="s">
        <v>42</v>
      </c>
      <c r="K608" t="s">
        <v>28</v>
      </c>
    </row>
    <row r="609" spans="1:11" x14ac:dyDescent="0.45">
      <c r="A609" t="s">
        <v>955</v>
      </c>
      <c r="B609">
        <v>45510</v>
      </c>
      <c r="C609" t="s">
        <v>2223</v>
      </c>
      <c r="D609" t="s">
        <v>24</v>
      </c>
      <c r="E609">
        <v>9</v>
      </c>
      <c r="F609">
        <v>25</v>
      </c>
      <c r="G609">
        <v>9.89</v>
      </c>
      <c r="H609" t="s">
        <v>206</v>
      </c>
      <c r="I609" t="s">
        <v>1548</v>
      </c>
      <c r="J609" t="s">
        <v>27</v>
      </c>
      <c r="K609" t="s">
        <v>74</v>
      </c>
    </row>
    <row r="610" spans="1:11" x14ac:dyDescent="0.45">
      <c r="A610" t="s">
        <v>956</v>
      </c>
      <c r="B610">
        <v>45510</v>
      </c>
      <c r="C610" t="s">
        <v>2224</v>
      </c>
      <c r="D610" t="s">
        <v>17</v>
      </c>
      <c r="E610">
        <v>6</v>
      </c>
      <c r="F610">
        <v>10</v>
      </c>
      <c r="G610">
        <v>3.93</v>
      </c>
      <c r="H610" t="s">
        <v>571</v>
      </c>
      <c r="I610" t="s">
        <v>1858</v>
      </c>
      <c r="J610" t="s">
        <v>20</v>
      </c>
      <c r="K610" t="s">
        <v>43</v>
      </c>
    </row>
    <row r="611" spans="1:11" x14ac:dyDescent="0.45">
      <c r="A611" t="s">
        <v>957</v>
      </c>
      <c r="B611">
        <v>45511</v>
      </c>
      <c r="C611" t="s">
        <v>2225</v>
      </c>
      <c r="D611" t="s">
        <v>17</v>
      </c>
      <c r="E611">
        <v>5</v>
      </c>
      <c r="F611">
        <v>10</v>
      </c>
      <c r="G611">
        <v>3.41</v>
      </c>
      <c r="H611" t="s">
        <v>571</v>
      </c>
      <c r="I611" t="s">
        <v>1858</v>
      </c>
      <c r="J611" t="s">
        <v>20</v>
      </c>
      <c r="K611" t="s">
        <v>56</v>
      </c>
    </row>
    <row r="612" spans="1:11" x14ac:dyDescent="0.45">
      <c r="A612" t="s">
        <v>958</v>
      </c>
      <c r="B612">
        <v>45512</v>
      </c>
      <c r="C612" t="s">
        <v>2226</v>
      </c>
      <c r="D612" t="s">
        <v>50</v>
      </c>
      <c r="E612">
        <v>10</v>
      </c>
      <c r="F612">
        <v>15</v>
      </c>
      <c r="G612">
        <v>5.3</v>
      </c>
      <c r="H612" t="s">
        <v>179</v>
      </c>
      <c r="I612" t="s">
        <v>1530</v>
      </c>
      <c r="J612" t="s">
        <v>27</v>
      </c>
      <c r="K612" t="s">
        <v>134</v>
      </c>
    </row>
    <row r="613" spans="1:11" x14ac:dyDescent="0.45">
      <c r="A613" t="s">
        <v>959</v>
      </c>
      <c r="B613">
        <v>45512</v>
      </c>
      <c r="C613" t="s">
        <v>2227</v>
      </c>
      <c r="D613" t="s">
        <v>67</v>
      </c>
      <c r="E613">
        <v>10</v>
      </c>
      <c r="F613">
        <v>12</v>
      </c>
      <c r="G613">
        <v>3.43</v>
      </c>
      <c r="H613" t="s">
        <v>188</v>
      </c>
      <c r="I613" t="s">
        <v>1536</v>
      </c>
      <c r="J613" t="s">
        <v>27</v>
      </c>
      <c r="K613" t="s">
        <v>70</v>
      </c>
    </row>
    <row r="614" spans="1:11" x14ac:dyDescent="0.45">
      <c r="A614" t="s">
        <v>960</v>
      </c>
      <c r="B614">
        <v>45512</v>
      </c>
      <c r="C614" t="s">
        <v>2228</v>
      </c>
      <c r="D614" t="s">
        <v>67</v>
      </c>
      <c r="E614">
        <v>4</v>
      </c>
      <c r="F614">
        <v>12</v>
      </c>
      <c r="G614">
        <v>4.12</v>
      </c>
      <c r="H614" t="s">
        <v>145</v>
      </c>
      <c r="I614" t="s">
        <v>1503</v>
      </c>
      <c r="J614" t="s">
        <v>42</v>
      </c>
      <c r="K614" t="s">
        <v>74</v>
      </c>
    </row>
    <row r="615" spans="1:11" x14ac:dyDescent="0.45">
      <c r="A615" t="s">
        <v>961</v>
      </c>
      <c r="B615">
        <v>45512</v>
      </c>
      <c r="C615" t="s">
        <v>2229</v>
      </c>
      <c r="D615" t="s">
        <v>50</v>
      </c>
      <c r="E615">
        <v>8</v>
      </c>
      <c r="F615">
        <v>15</v>
      </c>
      <c r="G615">
        <v>4.28</v>
      </c>
      <c r="H615" t="s">
        <v>348</v>
      </c>
      <c r="I615" t="s">
        <v>1665</v>
      </c>
      <c r="J615" t="s">
        <v>27</v>
      </c>
      <c r="K615" t="s">
        <v>59</v>
      </c>
    </row>
    <row r="616" spans="1:11" x14ac:dyDescent="0.45">
      <c r="A616" t="s">
        <v>962</v>
      </c>
      <c r="B616">
        <v>45513</v>
      </c>
      <c r="C616" t="s">
        <v>2230</v>
      </c>
      <c r="D616" t="s">
        <v>31</v>
      </c>
      <c r="E616">
        <v>1</v>
      </c>
      <c r="F616">
        <v>40</v>
      </c>
      <c r="G616">
        <v>14.6</v>
      </c>
      <c r="H616" t="s">
        <v>783</v>
      </c>
      <c r="I616" t="s">
        <v>2059</v>
      </c>
      <c r="J616" t="s">
        <v>47</v>
      </c>
      <c r="K616" t="s">
        <v>59</v>
      </c>
    </row>
    <row r="617" spans="1:11" x14ac:dyDescent="0.45">
      <c r="A617" t="s">
        <v>963</v>
      </c>
      <c r="B617">
        <v>45513</v>
      </c>
      <c r="C617" t="s">
        <v>2231</v>
      </c>
      <c r="D617" t="s">
        <v>67</v>
      </c>
      <c r="E617">
        <v>1</v>
      </c>
      <c r="F617">
        <v>12</v>
      </c>
      <c r="G617">
        <v>3.32</v>
      </c>
      <c r="H617" t="s">
        <v>763</v>
      </c>
      <c r="I617" t="s">
        <v>2040</v>
      </c>
      <c r="J617" t="s">
        <v>20</v>
      </c>
      <c r="K617" t="s">
        <v>28</v>
      </c>
    </row>
    <row r="618" spans="1:11" x14ac:dyDescent="0.45">
      <c r="A618" t="s">
        <v>964</v>
      </c>
      <c r="B618">
        <v>45513</v>
      </c>
      <c r="C618" t="s">
        <v>2232</v>
      </c>
      <c r="D618" t="s">
        <v>67</v>
      </c>
      <c r="E618">
        <v>8</v>
      </c>
      <c r="F618">
        <v>12</v>
      </c>
      <c r="G618">
        <v>2.92</v>
      </c>
      <c r="H618" t="s">
        <v>224</v>
      </c>
      <c r="I618" t="s">
        <v>1561</v>
      </c>
      <c r="J618" t="s">
        <v>20</v>
      </c>
      <c r="K618" t="s">
        <v>21</v>
      </c>
    </row>
    <row r="619" spans="1:11" x14ac:dyDescent="0.45">
      <c r="A619" t="s">
        <v>965</v>
      </c>
      <c r="B619">
        <v>45514</v>
      </c>
      <c r="C619" t="s">
        <v>2233</v>
      </c>
      <c r="D619" t="s">
        <v>17</v>
      </c>
      <c r="E619">
        <v>6</v>
      </c>
      <c r="F619">
        <v>10</v>
      </c>
      <c r="G619">
        <v>2.2000000000000002</v>
      </c>
      <c r="H619" t="s">
        <v>232</v>
      </c>
      <c r="I619" t="s">
        <v>1568</v>
      </c>
      <c r="J619" t="s">
        <v>27</v>
      </c>
      <c r="K619" t="s">
        <v>34</v>
      </c>
    </row>
    <row r="620" spans="1:11" x14ac:dyDescent="0.45">
      <c r="A620" t="s">
        <v>966</v>
      </c>
      <c r="B620">
        <v>45515</v>
      </c>
      <c r="C620" t="s">
        <v>2234</v>
      </c>
      <c r="D620" t="s">
        <v>31</v>
      </c>
      <c r="E620">
        <v>5</v>
      </c>
      <c r="F620">
        <v>40</v>
      </c>
      <c r="G620">
        <v>11.64</v>
      </c>
      <c r="H620" t="s">
        <v>591</v>
      </c>
      <c r="I620" t="s">
        <v>1877</v>
      </c>
      <c r="J620" t="s">
        <v>20</v>
      </c>
      <c r="K620" t="s">
        <v>28</v>
      </c>
    </row>
    <row r="621" spans="1:11" x14ac:dyDescent="0.45">
      <c r="A621" t="s">
        <v>967</v>
      </c>
      <c r="B621">
        <v>45515</v>
      </c>
      <c r="C621" t="s">
        <v>2235</v>
      </c>
      <c r="D621" t="s">
        <v>17</v>
      </c>
      <c r="E621">
        <v>3</v>
      </c>
      <c r="F621">
        <v>10</v>
      </c>
      <c r="G621">
        <v>2.54</v>
      </c>
      <c r="H621" t="s">
        <v>61</v>
      </c>
      <c r="I621" t="s">
        <v>1447</v>
      </c>
      <c r="J621" t="s">
        <v>27</v>
      </c>
      <c r="K621" t="s">
        <v>38</v>
      </c>
    </row>
    <row r="622" spans="1:11" x14ac:dyDescent="0.45">
      <c r="A622" t="s">
        <v>968</v>
      </c>
      <c r="B622">
        <v>45516</v>
      </c>
      <c r="C622" t="s">
        <v>2236</v>
      </c>
      <c r="D622" t="s">
        <v>24</v>
      </c>
      <c r="E622">
        <v>5</v>
      </c>
      <c r="F622">
        <v>25</v>
      </c>
      <c r="G622">
        <v>9.66</v>
      </c>
      <c r="H622" t="s">
        <v>494</v>
      </c>
      <c r="I622" t="s">
        <v>1790</v>
      </c>
      <c r="J622" t="s">
        <v>20</v>
      </c>
      <c r="K622" t="s">
        <v>43</v>
      </c>
    </row>
    <row r="623" spans="1:11" x14ac:dyDescent="0.45">
      <c r="A623" t="s">
        <v>969</v>
      </c>
      <c r="B623">
        <v>45516</v>
      </c>
      <c r="C623" t="s">
        <v>2237</v>
      </c>
      <c r="D623" t="s">
        <v>50</v>
      </c>
      <c r="E623">
        <v>1</v>
      </c>
      <c r="F623">
        <v>15</v>
      </c>
      <c r="G623">
        <v>4.66</v>
      </c>
      <c r="H623" t="s">
        <v>245</v>
      </c>
      <c r="I623" t="s">
        <v>1578</v>
      </c>
      <c r="J623" t="s">
        <v>27</v>
      </c>
      <c r="K623" t="s">
        <v>74</v>
      </c>
    </row>
    <row r="624" spans="1:11" x14ac:dyDescent="0.45">
      <c r="A624" t="s">
        <v>970</v>
      </c>
      <c r="B624">
        <v>45517</v>
      </c>
      <c r="C624" t="s">
        <v>2238</v>
      </c>
      <c r="D624" t="s">
        <v>67</v>
      </c>
      <c r="E624">
        <v>10</v>
      </c>
      <c r="F624">
        <v>12</v>
      </c>
      <c r="G624">
        <v>3.4</v>
      </c>
      <c r="H624" t="s">
        <v>382</v>
      </c>
      <c r="I624" t="s">
        <v>1693</v>
      </c>
      <c r="J624" t="s">
        <v>27</v>
      </c>
      <c r="K624" t="s">
        <v>59</v>
      </c>
    </row>
    <row r="625" spans="1:11" x14ac:dyDescent="0.45">
      <c r="A625" t="s">
        <v>971</v>
      </c>
      <c r="B625">
        <v>45517</v>
      </c>
      <c r="C625" t="s">
        <v>2239</v>
      </c>
      <c r="D625" t="s">
        <v>31</v>
      </c>
      <c r="E625">
        <v>9</v>
      </c>
      <c r="F625">
        <v>40</v>
      </c>
      <c r="G625">
        <v>10.210000000000001</v>
      </c>
      <c r="H625" t="s">
        <v>482</v>
      </c>
      <c r="I625" t="s">
        <v>1779</v>
      </c>
      <c r="J625" t="s">
        <v>27</v>
      </c>
      <c r="K625" t="s">
        <v>38</v>
      </c>
    </row>
    <row r="626" spans="1:11" x14ac:dyDescent="0.45">
      <c r="A626" t="s">
        <v>972</v>
      </c>
      <c r="B626">
        <v>45517</v>
      </c>
      <c r="C626" t="s">
        <v>2240</v>
      </c>
      <c r="D626" t="s">
        <v>24</v>
      </c>
      <c r="E626">
        <v>3</v>
      </c>
      <c r="F626">
        <v>25</v>
      </c>
      <c r="G626">
        <v>8.93</v>
      </c>
      <c r="H626" t="s">
        <v>766</v>
      </c>
      <c r="I626" t="s">
        <v>2043</v>
      </c>
      <c r="J626" t="s">
        <v>20</v>
      </c>
      <c r="K626" t="s">
        <v>59</v>
      </c>
    </row>
    <row r="627" spans="1:11" x14ac:dyDescent="0.45">
      <c r="A627" t="s">
        <v>973</v>
      </c>
      <c r="B627">
        <v>45517</v>
      </c>
      <c r="C627" t="s">
        <v>2241</v>
      </c>
      <c r="D627" t="s">
        <v>67</v>
      </c>
      <c r="E627">
        <v>3</v>
      </c>
      <c r="F627">
        <v>12</v>
      </c>
      <c r="G627">
        <v>2.89</v>
      </c>
      <c r="H627" t="s">
        <v>974</v>
      </c>
      <c r="I627" t="s">
        <v>2242</v>
      </c>
      <c r="J627" t="s">
        <v>47</v>
      </c>
      <c r="K627" t="s">
        <v>34</v>
      </c>
    </row>
    <row r="628" spans="1:11" x14ac:dyDescent="0.45">
      <c r="A628" t="s">
        <v>976</v>
      </c>
      <c r="B628">
        <v>45517</v>
      </c>
      <c r="C628" t="s">
        <v>2243</v>
      </c>
      <c r="D628" t="s">
        <v>67</v>
      </c>
      <c r="E628">
        <v>9</v>
      </c>
      <c r="F628">
        <v>12</v>
      </c>
      <c r="G628">
        <v>3.61</v>
      </c>
      <c r="H628" t="s">
        <v>763</v>
      </c>
      <c r="I628" t="s">
        <v>2040</v>
      </c>
      <c r="J628" t="s">
        <v>27</v>
      </c>
      <c r="K628" t="s">
        <v>59</v>
      </c>
    </row>
    <row r="629" spans="1:11" x14ac:dyDescent="0.45">
      <c r="A629" t="s">
        <v>977</v>
      </c>
      <c r="B629">
        <v>45518</v>
      </c>
      <c r="C629" t="s">
        <v>2244</v>
      </c>
      <c r="D629" t="s">
        <v>31</v>
      </c>
      <c r="E629">
        <v>3</v>
      </c>
      <c r="F629">
        <v>40</v>
      </c>
      <c r="G629">
        <v>10.51</v>
      </c>
      <c r="H629" t="s">
        <v>884</v>
      </c>
      <c r="I629" t="s">
        <v>2156</v>
      </c>
      <c r="J629" t="s">
        <v>27</v>
      </c>
      <c r="K629" t="s">
        <v>59</v>
      </c>
    </row>
    <row r="630" spans="1:11" x14ac:dyDescent="0.45">
      <c r="A630" t="s">
        <v>978</v>
      </c>
      <c r="B630">
        <v>45518</v>
      </c>
      <c r="C630" t="s">
        <v>2245</v>
      </c>
      <c r="D630" t="s">
        <v>17</v>
      </c>
      <c r="E630">
        <v>4</v>
      </c>
      <c r="F630">
        <v>10</v>
      </c>
      <c r="G630">
        <v>3.97</v>
      </c>
      <c r="H630" t="s">
        <v>356</v>
      </c>
      <c r="I630" t="s">
        <v>1671</v>
      </c>
      <c r="J630" t="s">
        <v>27</v>
      </c>
      <c r="K630" t="s">
        <v>56</v>
      </c>
    </row>
    <row r="631" spans="1:11" x14ac:dyDescent="0.45">
      <c r="A631" t="s">
        <v>979</v>
      </c>
      <c r="B631">
        <v>45519</v>
      </c>
      <c r="C631" t="s">
        <v>2246</v>
      </c>
      <c r="D631" t="s">
        <v>50</v>
      </c>
      <c r="E631">
        <v>3</v>
      </c>
      <c r="F631">
        <v>15</v>
      </c>
      <c r="G631">
        <v>4.7699999999999996</v>
      </c>
      <c r="H631" t="s">
        <v>72</v>
      </c>
      <c r="I631" t="s">
        <v>1453</v>
      </c>
      <c r="J631" t="s">
        <v>27</v>
      </c>
      <c r="K631" t="s">
        <v>28</v>
      </c>
    </row>
    <row r="632" spans="1:11" x14ac:dyDescent="0.45">
      <c r="A632" t="s">
        <v>980</v>
      </c>
      <c r="B632">
        <v>45519</v>
      </c>
      <c r="C632" t="s">
        <v>2247</v>
      </c>
      <c r="D632" t="s">
        <v>50</v>
      </c>
      <c r="E632">
        <v>4</v>
      </c>
      <c r="F632">
        <v>15</v>
      </c>
      <c r="G632">
        <v>4.16</v>
      </c>
      <c r="H632" t="s">
        <v>558</v>
      </c>
      <c r="I632" t="s">
        <v>1848</v>
      </c>
      <c r="J632" t="s">
        <v>20</v>
      </c>
      <c r="K632" t="s">
        <v>70</v>
      </c>
    </row>
    <row r="633" spans="1:11" x14ac:dyDescent="0.45">
      <c r="A633" t="s">
        <v>981</v>
      </c>
      <c r="B633">
        <v>45520</v>
      </c>
      <c r="C633" t="s">
        <v>2248</v>
      </c>
      <c r="D633" t="s">
        <v>50</v>
      </c>
      <c r="E633">
        <v>6</v>
      </c>
      <c r="F633">
        <v>15</v>
      </c>
      <c r="G633">
        <v>3.31</v>
      </c>
      <c r="H633" t="s">
        <v>58</v>
      </c>
      <c r="I633" t="s">
        <v>1445</v>
      </c>
      <c r="J633" t="s">
        <v>20</v>
      </c>
      <c r="K633" t="s">
        <v>43</v>
      </c>
    </row>
    <row r="634" spans="1:11" x14ac:dyDescent="0.45">
      <c r="A634" t="s">
        <v>982</v>
      </c>
      <c r="B634">
        <v>45521</v>
      </c>
      <c r="C634" t="s">
        <v>2249</v>
      </c>
      <c r="D634" t="s">
        <v>50</v>
      </c>
      <c r="E634">
        <v>9</v>
      </c>
      <c r="F634">
        <v>15</v>
      </c>
      <c r="G634">
        <v>3.56</v>
      </c>
      <c r="H634" t="s">
        <v>510</v>
      </c>
      <c r="I634" t="s">
        <v>1805</v>
      </c>
      <c r="J634" t="s">
        <v>27</v>
      </c>
      <c r="K634" t="s">
        <v>34</v>
      </c>
    </row>
    <row r="635" spans="1:11" x14ac:dyDescent="0.45">
      <c r="A635" t="s">
        <v>983</v>
      </c>
      <c r="B635">
        <v>45521</v>
      </c>
      <c r="C635" t="s">
        <v>2250</v>
      </c>
      <c r="D635" t="s">
        <v>17</v>
      </c>
      <c r="E635">
        <v>7</v>
      </c>
      <c r="F635">
        <v>10</v>
      </c>
      <c r="G635">
        <v>2.65</v>
      </c>
      <c r="H635" t="s">
        <v>691</v>
      </c>
      <c r="I635" t="s">
        <v>1971</v>
      </c>
      <c r="J635" t="s">
        <v>27</v>
      </c>
      <c r="K635" t="s">
        <v>43</v>
      </c>
    </row>
    <row r="636" spans="1:11" x14ac:dyDescent="0.45">
      <c r="A636" t="s">
        <v>984</v>
      </c>
      <c r="B636">
        <v>45521</v>
      </c>
      <c r="C636" t="s">
        <v>2251</v>
      </c>
      <c r="D636" t="s">
        <v>24</v>
      </c>
      <c r="E636">
        <v>1</v>
      </c>
      <c r="F636">
        <v>25</v>
      </c>
      <c r="G636">
        <v>7.24</v>
      </c>
      <c r="H636" t="s">
        <v>166</v>
      </c>
      <c r="I636" t="s">
        <v>1520</v>
      </c>
      <c r="J636" t="s">
        <v>27</v>
      </c>
      <c r="K636" t="s">
        <v>70</v>
      </c>
    </row>
    <row r="637" spans="1:11" x14ac:dyDescent="0.45">
      <c r="A637" t="s">
        <v>985</v>
      </c>
      <c r="B637">
        <v>45521</v>
      </c>
      <c r="C637" t="s">
        <v>2252</v>
      </c>
      <c r="D637" t="s">
        <v>24</v>
      </c>
      <c r="E637">
        <v>10</v>
      </c>
      <c r="F637">
        <v>25</v>
      </c>
      <c r="G637">
        <v>7.06</v>
      </c>
      <c r="H637" t="s">
        <v>254</v>
      </c>
      <c r="I637" t="s">
        <v>1585</v>
      </c>
      <c r="J637" t="s">
        <v>20</v>
      </c>
      <c r="K637" t="s">
        <v>74</v>
      </c>
    </row>
    <row r="638" spans="1:11" x14ac:dyDescent="0.45">
      <c r="A638" t="s">
        <v>986</v>
      </c>
      <c r="B638">
        <v>45522</v>
      </c>
      <c r="C638" t="s">
        <v>2253</v>
      </c>
      <c r="D638" t="s">
        <v>24</v>
      </c>
      <c r="E638">
        <v>8</v>
      </c>
      <c r="F638">
        <v>25</v>
      </c>
      <c r="G638">
        <v>7.93</v>
      </c>
      <c r="H638" t="s">
        <v>436</v>
      </c>
      <c r="I638" t="s">
        <v>1743</v>
      </c>
      <c r="J638" t="s">
        <v>27</v>
      </c>
      <c r="K638" t="s">
        <v>28</v>
      </c>
    </row>
    <row r="639" spans="1:11" x14ac:dyDescent="0.45">
      <c r="A639" t="s">
        <v>987</v>
      </c>
      <c r="B639">
        <v>45522</v>
      </c>
      <c r="C639" t="s">
        <v>2254</v>
      </c>
      <c r="D639" t="s">
        <v>67</v>
      </c>
      <c r="E639">
        <v>5</v>
      </c>
      <c r="F639">
        <v>12</v>
      </c>
      <c r="G639">
        <v>3.24</v>
      </c>
      <c r="H639" t="s">
        <v>988</v>
      </c>
      <c r="I639" t="s">
        <v>2255</v>
      </c>
      <c r="J639" t="s">
        <v>27</v>
      </c>
      <c r="K639" t="s">
        <v>43</v>
      </c>
    </row>
    <row r="640" spans="1:11" x14ac:dyDescent="0.45">
      <c r="A640" t="s">
        <v>989</v>
      </c>
      <c r="B640">
        <v>45522</v>
      </c>
      <c r="C640" t="s">
        <v>2256</v>
      </c>
      <c r="D640" t="s">
        <v>67</v>
      </c>
      <c r="E640">
        <v>3</v>
      </c>
      <c r="F640">
        <v>12</v>
      </c>
      <c r="G640">
        <v>2.42</v>
      </c>
      <c r="H640" t="s">
        <v>594</v>
      </c>
      <c r="I640" t="s">
        <v>1880</v>
      </c>
      <c r="J640" t="s">
        <v>47</v>
      </c>
      <c r="K640" t="s">
        <v>59</v>
      </c>
    </row>
    <row r="641" spans="1:11" x14ac:dyDescent="0.45">
      <c r="A641" t="s">
        <v>990</v>
      </c>
      <c r="B641">
        <v>45522</v>
      </c>
      <c r="C641" t="s">
        <v>2257</v>
      </c>
      <c r="D641" t="s">
        <v>31</v>
      </c>
      <c r="E641">
        <v>4</v>
      </c>
      <c r="F641">
        <v>40</v>
      </c>
      <c r="G641">
        <v>11.94</v>
      </c>
      <c r="H641" t="s">
        <v>321</v>
      </c>
      <c r="I641" t="s">
        <v>1641</v>
      </c>
      <c r="J641" t="s">
        <v>42</v>
      </c>
      <c r="K641" t="s">
        <v>74</v>
      </c>
    </row>
    <row r="642" spans="1:11" x14ac:dyDescent="0.45">
      <c r="A642" t="s">
        <v>991</v>
      </c>
      <c r="B642">
        <v>45522</v>
      </c>
      <c r="C642" t="s">
        <v>2258</v>
      </c>
      <c r="D642" t="s">
        <v>31</v>
      </c>
      <c r="E642">
        <v>5</v>
      </c>
      <c r="F642">
        <v>40</v>
      </c>
      <c r="G642">
        <v>10.23</v>
      </c>
      <c r="H642" t="s">
        <v>633</v>
      </c>
      <c r="I642" t="s">
        <v>1919</v>
      </c>
      <c r="J642" t="s">
        <v>42</v>
      </c>
      <c r="K642" t="s">
        <v>59</v>
      </c>
    </row>
    <row r="643" spans="1:11" x14ac:dyDescent="0.45">
      <c r="A643" t="s">
        <v>992</v>
      </c>
      <c r="B643">
        <v>45523</v>
      </c>
      <c r="C643" t="s">
        <v>2259</v>
      </c>
      <c r="D643" t="s">
        <v>67</v>
      </c>
      <c r="E643">
        <v>7</v>
      </c>
      <c r="F643">
        <v>12</v>
      </c>
      <c r="G643">
        <v>4.46</v>
      </c>
      <c r="H643" t="s">
        <v>363</v>
      </c>
      <c r="I643" t="s">
        <v>1677</v>
      </c>
      <c r="J643" t="s">
        <v>27</v>
      </c>
      <c r="K643" t="s">
        <v>21</v>
      </c>
    </row>
    <row r="644" spans="1:11" x14ac:dyDescent="0.45">
      <c r="A644" t="s">
        <v>993</v>
      </c>
      <c r="B644">
        <v>45523</v>
      </c>
      <c r="C644" t="s">
        <v>2260</v>
      </c>
      <c r="D644" t="s">
        <v>67</v>
      </c>
      <c r="E644">
        <v>6</v>
      </c>
      <c r="F644">
        <v>12</v>
      </c>
      <c r="G644">
        <v>4.7300000000000004</v>
      </c>
      <c r="H644" t="s">
        <v>734</v>
      </c>
      <c r="I644" t="s">
        <v>2012</v>
      </c>
      <c r="J644" t="s">
        <v>20</v>
      </c>
      <c r="K644" t="s">
        <v>70</v>
      </c>
    </row>
    <row r="645" spans="1:11" x14ac:dyDescent="0.45">
      <c r="A645" t="s">
        <v>994</v>
      </c>
      <c r="B645">
        <v>45523</v>
      </c>
      <c r="C645" t="s">
        <v>2261</v>
      </c>
      <c r="D645" t="s">
        <v>50</v>
      </c>
      <c r="E645">
        <v>6</v>
      </c>
      <c r="F645">
        <v>15</v>
      </c>
      <c r="G645">
        <v>3.74</v>
      </c>
      <c r="H645" t="s">
        <v>221</v>
      </c>
      <c r="I645" t="s">
        <v>1559</v>
      </c>
      <c r="J645" t="s">
        <v>47</v>
      </c>
      <c r="K645" t="s">
        <v>56</v>
      </c>
    </row>
    <row r="646" spans="1:11" x14ac:dyDescent="0.45">
      <c r="A646" t="s">
        <v>995</v>
      </c>
      <c r="B646">
        <v>45523</v>
      </c>
      <c r="C646" t="s">
        <v>2262</v>
      </c>
      <c r="D646" t="s">
        <v>24</v>
      </c>
      <c r="E646">
        <v>10</v>
      </c>
      <c r="F646">
        <v>25</v>
      </c>
      <c r="G646">
        <v>6.58</v>
      </c>
      <c r="H646" t="s">
        <v>296</v>
      </c>
      <c r="I646" t="s">
        <v>1619</v>
      </c>
      <c r="J646" t="s">
        <v>20</v>
      </c>
      <c r="K646" t="s">
        <v>34</v>
      </c>
    </row>
    <row r="647" spans="1:11" x14ac:dyDescent="0.45">
      <c r="A647" t="s">
        <v>996</v>
      </c>
      <c r="B647">
        <v>45524</v>
      </c>
      <c r="C647" t="s">
        <v>2263</v>
      </c>
      <c r="D647" t="s">
        <v>50</v>
      </c>
      <c r="E647">
        <v>2</v>
      </c>
      <c r="F647">
        <v>15</v>
      </c>
      <c r="G647">
        <v>5.88</v>
      </c>
      <c r="H647" t="s">
        <v>489</v>
      </c>
      <c r="I647" t="s">
        <v>1786</v>
      </c>
      <c r="J647" t="s">
        <v>27</v>
      </c>
      <c r="K647" t="s">
        <v>59</v>
      </c>
    </row>
    <row r="648" spans="1:11" x14ac:dyDescent="0.45">
      <c r="A648" t="s">
        <v>997</v>
      </c>
      <c r="B648">
        <v>45524</v>
      </c>
      <c r="C648" t="s">
        <v>2264</v>
      </c>
      <c r="D648" t="s">
        <v>31</v>
      </c>
      <c r="E648">
        <v>2</v>
      </c>
      <c r="F648">
        <v>40</v>
      </c>
      <c r="G648">
        <v>14.55</v>
      </c>
      <c r="H648" t="s">
        <v>251</v>
      </c>
      <c r="I648" t="s">
        <v>1583</v>
      </c>
      <c r="J648" t="s">
        <v>20</v>
      </c>
      <c r="K648" t="s">
        <v>56</v>
      </c>
    </row>
    <row r="649" spans="1:11" x14ac:dyDescent="0.45">
      <c r="A649" t="s">
        <v>998</v>
      </c>
      <c r="B649">
        <v>45524</v>
      </c>
      <c r="C649" t="s">
        <v>2265</v>
      </c>
      <c r="D649" t="s">
        <v>17</v>
      </c>
      <c r="E649">
        <v>3</v>
      </c>
      <c r="F649">
        <v>10</v>
      </c>
      <c r="G649">
        <v>2.33</v>
      </c>
      <c r="H649" t="s">
        <v>371</v>
      </c>
      <c r="I649" t="s">
        <v>1684</v>
      </c>
      <c r="J649" t="s">
        <v>20</v>
      </c>
      <c r="K649" t="s">
        <v>70</v>
      </c>
    </row>
    <row r="650" spans="1:11" x14ac:dyDescent="0.45">
      <c r="A650" t="s">
        <v>999</v>
      </c>
      <c r="B650">
        <v>45524</v>
      </c>
      <c r="C650" t="s">
        <v>2266</v>
      </c>
      <c r="D650" t="s">
        <v>50</v>
      </c>
      <c r="E650">
        <v>1</v>
      </c>
      <c r="F650">
        <v>15</v>
      </c>
      <c r="G650">
        <v>4.93</v>
      </c>
      <c r="H650" t="s">
        <v>324</v>
      </c>
      <c r="I650" t="s">
        <v>1643</v>
      </c>
      <c r="J650" t="s">
        <v>27</v>
      </c>
      <c r="K650" t="s">
        <v>28</v>
      </c>
    </row>
    <row r="651" spans="1:11" x14ac:dyDescent="0.45">
      <c r="A651" t="s">
        <v>1000</v>
      </c>
      <c r="B651">
        <v>45524</v>
      </c>
      <c r="C651" t="s">
        <v>2267</v>
      </c>
      <c r="D651" t="s">
        <v>17</v>
      </c>
      <c r="E651">
        <v>2</v>
      </c>
      <c r="F651">
        <v>10</v>
      </c>
      <c r="G651">
        <v>3.11</v>
      </c>
      <c r="H651" t="s">
        <v>858</v>
      </c>
      <c r="I651" t="s">
        <v>2131</v>
      </c>
      <c r="J651" t="s">
        <v>27</v>
      </c>
      <c r="K651" t="s">
        <v>43</v>
      </c>
    </row>
    <row r="652" spans="1:11" x14ac:dyDescent="0.45">
      <c r="A652" t="s">
        <v>1001</v>
      </c>
      <c r="B652">
        <v>45524</v>
      </c>
      <c r="C652" t="s">
        <v>2268</v>
      </c>
      <c r="D652" t="s">
        <v>50</v>
      </c>
      <c r="E652">
        <v>1</v>
      </c>
      <c r="F652">
        <v>15</v>
      </c>
      <c r="G652">
        <v>4.5599999999999996</v>
      </c>
      <c r="H652" t="s">
        <v>802</v>
      </c>
      <c r="I652" t="s">
        <v>2077</v>
      </c>
      <c r="J652" t="s">
        <v>27</v>
      </c>
      <c r="K652" t="s">
        <v>74</v>
      </c>
    </row>
    <row r="653" spans="1:11" x14ac:dyDescent="0.45">
      <c r="A653" t="s">
        <v>1002</v>
      </c>
      <c r="B653">
        <v>45524</v>
      </c>
      <c r="C653" t="s">
        <v>2269</v>
      </c>
      <c r="D653" t="s">
        <v>50</v>
      </c>
      <c r="E653">
        <v>1</v>
      </c>
      <c r="F653">
        <v>15</v>
      </c>
      <c r="G653">
        <v>4.25</v>
      </c>
      <c r="H653" t="s">
        <v>418</v>
      </c>
      <c r="I653" t="s">
        <v>1726</v>
      </c>
      <c r="J653" t="s">
        <v>27</v>
      </c>
      <c r="K653" t="s">
        <v>43</v>
      </c>
    </row>
    <row r="654" spans="1:11" x14ac:dyDescent="0.45">
      <c r="A654" t="s">
        <v>1003</v>
      </c>
      <c r="B654">
        <v>45524</v>
      </c>
      <c r="C654" t="s">
        <v>2270</v>
      </c>
      <c r="D654" t="s">
        <v>31</v>
      </c>
      <c r="E654">
        <v>3</v>
      </c>
      <c r="F654">
        <v>40</v>
      </c>
      <c r="G654">
        <v>15.7</v>
      </c>
      <c r="H654" t="s">
        <v>230</v>
      </c>
      <c r="I654" t="s">
        <v>1566</v>
      </c>
      <c r="J654" t="s">
        <v>20</v>
      </c>
      <c r="K654" t="s">
        <v>74</v>
      </c>
    </row>
    <row r="655" spans="1:11" x14ac:dyDescent="0.45">
      <c r="A655" t="s">
        <v>1004</v>
      </c>
      <c r="B655">
        <v>45525</v>
      </c>
      <c r="C655" t="s">
        <v>2271</v>
      </c>
      <c r="D655" t="s">
        <v>67</v>
      </c>
      <c r="E655">
        <v>1</v>
      </c>
      <c r="F655">
        <v>12</v>
      </c>
      <c r="G655">
        <v>3.08</v>
      </c>
      <c r="H655" t="s">
        <v>235</v>
      </c>
      <c r="I655" t="s">
        <v>1571</v>
      </c>
      <c r="J655" t="s">
        <v>27</v>
      </c>
      <c r="K655" t="s">
        <v>38</v>
      </c>
    </row>
    <row r="656" spans="1:11" x14ac:dyDescent="0.45">
      <c r="A656" t="s">
        <v>1005</v>
      </c>
      <c r="B656">
        <v>45526</v>
      </c>
      <c r="C656" t="s">
        <v>2272</v>
      </c>
      <c r="D656" t="s">
        <v>31</v>
      </c>
      <c r="E656">
        <v>8</v>
      </c>
      <c r="F656">
        <v>40</v>
      </c>
      <c r="G656">
        <v>14.45</v>
      </c>
      <c r="H656" t="s">
        <v>259</v>
      </c>
      <c r="I656" t="s">
        <v>1589</v>
      </c>
      <c r="J656" t="s">
        <v>20</v>
      </c>
      <c r="K656" t="s">
        <v>43</v>
      </c>
    </row>
    <row r="657" spans="1:11" x14ac:dyDescent="0.45">
      <c r="A657" t="s">
        <v>1006</v>
      </c>
      <c r="B657">
        <v>45526</v>
      </c>
      <c r="C657" t="s">
        <v>2273</v>
      </c>
      <c r="D657" t="s">
        <v>50</v>
      </c>
      <c r="E657">
        <v>6</v>
      </c>
      <c r="F657">
        <v>15</v>
      </c>
      <c r="G657">
        <v>3.14</v>
      </c>
      <c r="H657" t="s">
        <v>479</v>
      </c>
      <c r="I657" t="s">
        <v>1777</v>
      </c>
      <c r="J657" t="s">
        <v>47</v>
      </c>
      <c r="K657" t="s">
        <v>70</v>
      </c>
    </row>
    <row r="658" spans="1:11" x14ac:dyDescent="0.45">
      <c r="A658" t="s">
        <v>1007</v>
      </c>
      <c r="B658">
        <v>45526</v>
      </c>
      <c r="C658" t="s">
        <v>2274</v>
      </c>
      <c r="D658" t="s">
        <v>17</v>
      </c>
      <c r="E658">
        <v>2</v>
      </c>
      <c r="F658">
        <v>10</v>
      </c>
      <c r="G658">
        <v>3.83</v>
      </c>
      <c r="H658" t="s">
        <v>578</v>
      </c>
      <c r="I658" t="s">
        <v>1864</v>
      </c>
      <c r="J658" t="s">
        <v>27</v>
      </c>
      <c r="K658" t="s">
        <v>34</v>
      </c>
    </row>
    <row r="659" spans="1:11" x14ac:dyDescent="0.45">
      <c r="A659" t="s">
        <v>1008</v>
      </c>
      <c r="B659">
        <v>45527</v>
      </c>
      <c r="C659" t="s">
        <v>2275</v>
      </c>
      <c r="D659" t="s">
        <v>31</v>
      </c>
      <c r="E659">
        <v>6</v>
      </c>
      <c r="F659">
        <v>40</v>
      </c>
      <c r="G659">
        <v>8.43</v>
      </c>
      <c r="H659" t="s">
        <v>361</v>
      </c>
      <c r="I659" t="s">
        <v>1675</v>
      </c>
      <c r="J659" t="s">
        <v>27</v>
      </c>
      <c r="K659" t="s">
        <v>70</v>
      </c>
    </row>
    <row r="660" spans="1:11" x14ac:dyDescent="0.45">
      <c r="A660" t="s">
        <v>1009</v>
      </c>
      <c r="B660">
        <v>45527</v>
      </c>
      <c r="C660" t="s">
        <v>2276</v>
      </c>
      <c r="D660" t="s">
        <v>24</v>
      </c>
      <c r="E660">
        <v>6</v>
      </c>
      <c r="F660">
        <v>25</v>
      </c>
      <c r="G660">
        <v>6.23</v>
      </c>
      <c r="H660" t="s">
        <v>510</v>
      </c>
      <c r="I660" t="s">
        <v>1805</v>
      </c>
      <c r="J660" t="s">
        <v>27</v>
      </c>
      <c r="K660" t="s">
        <v>43</v>
      </c>
    </row>
    <row r="661" spans="1:11" x14ac:dyDescent="0.45">
      <c r="A661" t="s">
        <v>1010</v>
      </c>
      <c r="B661">
        <v>45527</v>
      </c>
      <c r="C661" t="s">
        <v>2277</v>
      </c>
      <c r="D661" t="s">
        <v>67</v>
      </c>
      <c r="E661">
        <v>8</v>
      </c>
      <c r="F661">
        <v>12</v>
      </c>
      <c r="G661">
        <v>4.07</v>
      </c>
      <c r="H661" t="s">
        <v>300</v>
      </c>
      <c r="I661" t="s">
        <v>1623</v>
      </c>
      <c r="J661" t="s">
        <v>27</v>
      </c>
      <c r="K661" t="s">
        <v>28</v>
      </c>
    </row>
    <row r="662" spans="1:11" x14ac:dyDescent="0.45">
      <c r="A662" t="s">
        <v>1011</v>
      </c>
      <c r="B662">
        <v>45527</v>
      </c>
      <c r="C662" t="s">
        <v>2278</v>
      </c>
      <c r="D662" t="s">
        <v>17</v>
      </c>
      <c r="E662">
        <v>6</v>
      </c>
      <c r="F662">
        <v>10</v>
      </c>
      <c r="G662">
        <v>2.44</v>
      </c>
      <c r="H662" t="s">
        <v>1012</v>
      </c>
      <c r="I662" t="s">
        <v>2279</v>
      </c>
      <c r="J662" t="s">
        <v>27</v>
      </c>
      <c r="K662" t="s">
        <v>43</v>
      </c>
    </row>
    <row r="663" spans="1:11" x14ac:dyDescent="0.45">
      <c r="A663" t="s">
        <v>1014</v>
      </c>
      <c r="B663">
        <v>45527</v>
      </c>
      <c r="C663" t="s">
        <v>2280</v>
      </c>
      <c r="D663" t="s">
        <v>24</v>
      </c>
      <c r="E663">
        <v>1</v>
      </c>
      <c r="F663">
        <v>25</v>
      </c>
      <c r="G663">
        <v>6.31</v>
      </c>
      <c r="H663" t="s">
        <v>783</v>
      </c>
      <c r="I663" t="s">
        <v>2059</v>
      </c>
      <c r="J663" t="s">
        <v>27</v>
      </c>
      <c r="K663" t="s">
        <v>74</v>
      </c>
    </row>
    <row r="664" spans="1:11" x14ac:dyDescent="0.45">
      <c r="A664" t="s">
        <v>1015</v>
      </c>
      <c r="B664">
        <v>45528</v>
      </c>
      <c r="C664" t="s">
        <v>2281</v>
      </c>
      <c r="D664" t="s">
        <v>24</v>
      </c>
      <c r="E664">
        <v>5</v>
      </c>
      <c r="F664">
        <v>25</v>
      </c>
      <c r="G664">
        <v>7.47</v>
      </c>
      <c r="H664" t="s">
        <v>185</v>
      </c>
      <c r="I664" t="s">
        <v>1534</v>
      </c>
      <c r="J664" t="s">
        <v>27</v>
      </c>
      <c r="K664" t="s">
        <v>38</v>
      </c>
    </row>
    <row r="665" spans="1:11" x14ac:dyDescent="0.45">
      <c r="A665" t="s">
        <v>1016</v>
      </c>
      <c r="B665">
        <v>45528</v>
      </c>
      <c r="C665" t="s">
        <v>2282</v>
      </c>
      <c r="D665" t="s">
        <v>50</v>
      </c>
      <c r="E665">
        <v>3</v>
      </c>
      <c r="F665">
        <v>15</v>
      </c>
      <c r="G665">
        <v>5.58</v>
      </c>
      <c r="H665" t="s">
        <v>72</v>
      </c>
      <c r="I665" t="s">
        <v>1453</v>
      </c>
      <c r="J665" t="s">
        <v>27</v>
      </c>
      <c r="K665" t="s">
        <v>21</v>
      </c>
    </row>
    <row r="666" spans="1:11" x14ac:dyDescent="0.45">
      <c r="A666" t="s">
        <v>1017</v>
      </c>
      <c r="B666">
        <v>45528</v>
      </c>
      <c r="C666" t="s">
        <v>2283</v>
      </c>
      <c r="D666" t="s">
        <v>50</v>
      </c>
      <c r="E666">
        <v>9</v>
      </c>
      <c r="F666">
        <v>15</v>
      </c>
      <c r="G666">
        <v>3.44</v>
      </c>
      <c r="H666" t="s">
        <v>203</v>
      </c>
      <c r="I666" t="s">
        <v>1546</v>
      </c>
      <c r="J666" t="s">
        <v>27</v>
      </c>
      <c r="K666" t="s">
        <v>38</v>
      </c>
    </row>
    <row r="667" spans="1:11" x14ac:dyDescent="0.45">
      <c r="A667" t="s">
        <v>1018</v>
      </c>
      <c r="B667">
        <v>45528</v>
      </c>
      <c r="C667" t="s">
        <v>2284</v>
      </c>
      <c r="D667" t="s">
        <v>24</v>
      </c>
      <c r="E667">
        <v>8</v>
      </c>
      <c r="F667">
        <v>25</v>
      </c>
      <c r="G667">
        <v>9.1300000000000008</v>
      </c>
      <c r="H667" t="s">
        <v>174</v>
      </c>
      <c r="I667" t="s">
        <v>1526</v>
      </c>
      <c r="J667" t="s">
        <v>20</v>
      </c>
      <c r="K667" t="s">
        <v>43</v>
      </c>
    </row>
    <row r="668" spans="1:11" x14ac:dyDescent="0.45">
      <c r="A668" t="s">
        <v>1019</v>
      </c>
      <c r="B668">
        <v>45528</v>
      </c>
      <c r="C668" t="s">
        <v>2285</v>
      </c>
      <c r="D668" t="s">
        <v>67</v>
      </c>
      <c r="E668">
        <v>3</v>
      </c>
      <c r="F668">
        <v>12</v>
      </c>
      <c r="G668">
        <v>2.71</v>
      </c>
      <c r="H668" t="s">
        <v>763</v>
      </c>
      <c r="I668" t="s">
        <v>2040</v>
      </c>
      <c r="J668" t="s">
        <v>27</v>
      </c>
      <c r="K668" t="s">
        <v>56</v>
      </c>
    </row>
    <row r="669" spans="1:11" x14ac:dyDescent="0.45">
      <c r="A669" t="s">
        <v>1020</v>
      </c>
      <c r="B669">
        <v>45528</v>
      </c>
      <c r="C669" t="s">
        <v>2286</v>
      </c>
      <c r="D669" t="s">
        <v>50</v>
      </c>
      <c r="E669">
        <v>5</v>
      </c>
      <c r="F669">
        <v>15</v>
      </c>
      <c r="G669">
        <v>3.09</v>
      </c>
      <c r="H669" t="s">
        <v>313</v>
      </c>
      <c r="I669" t="s">
        <v>1635</v>
      </c>
      <c r="J669" t="s">
        <v>27</v>
      </c>
      <c r="K669" t="s">
        <v>21</v>
      </c>
    </row>
    <row r="670" spans="1:11" x14ac:dyDescent="0.45">
      <c r="A670" t="s">
        <v>1021</v>
      </c>
      <c r="B670">
        <v>45529</v>
      </c>
      <c r="C670" t="s">
        <v>2287</v>
      </c>
      <c r="D670" t="s">
        <v>17</v>
      </c>
      <c r="E670">
        <v>2</v>
      </c>
      <c r="F670">
        <v>10</v>
      </c>
      <c r="G670">
        <v>3.22</v>
      </c>
      <c r="H670" t="s">
        <v>321</v>
      </c>
      <c r="I670" t="s">
        <v>1641</v>
      </c>
      <c r="J670" t="s">
        <v>27</v>
      </c>
      <c r="K670" t="s">
        <v>56</v>
      </c>
    </row>
    <row r="671" spans="1:11" x14ac:dyDescent="0.45">
      <c r="A671" t="s">
        <v>1022</v>
      </c>
      <c r="B671">
        <v>45529</v>
      </c>
      <c r="C671" t="s">
        <v>2288</v>
      </c>
      <c r="D671" t="s">
        <v>67</v>
      </c>
      <c r="E671">
        <v>1</v>
      </c>
      <c r="F671">
        <v>12</v>
      </c>
      <c r="G671">
        <v>2.5099999999999998</v>
      </c>
      <c r="H671" t="s">
        <v>434</v>
      </c>
      <c r="I671" t="s">
        <v>1741</v>
      </c>
      <c r="J671" t="s">
        <v>27</v>
      </c>
      <c r="K671" t="s">
        <v>134</v>
      </c>
    </row>
    <row r="672" spans="1:11" x14ac:dyDescent="0.45">
      <c r="A672" t="s">
        <v>1023</v>
      </c>
      <c r="B672">
        <v>45529</v>
      </c>
      <c r="C672" t="s">
        <v>2289</v>
      </c>
      <c r="D672" t="s">
        <v>50</v>
      </c>
      <c r="E672">
        <v>2</v>
      </c>
      <c r="F672">
        <v>15</v>
      </c>
      <c r="G672">
        <v>3.49</v>
      </c>
      <c r="H672" t="s">
        <v>139</v>
      </c>
      <c r="I672" t="s">
        <v>1499</v>
      </c>
      <c r="J672" t="s">
        <v>27</v>
      </c>
      <c r="K672" t="s">
        <v>38</v>
      </c>
    </row>
    <row r="673" spans="1:11" x14ac:dyDescent="0.45">
      <c r="A673" t="s">
        <v>1024</v>
      </c>
      <c r="B673">
        <v>45529</v>
      </c>
      <c r="C673" t="s">
        <v>2290</v>
      </c>
      <c r="D673" t="s">
        <v>50</v>
      </c>
      <c r="E673">
        <v>8</v>
      </c>
      <c r="F673">
        <v>15</v>
      </c>
      <c r="G673">
        <v>5.72</v>
      </c>
      <c r="H673" t="s">
        <v>139</v>
      </c>
      <c r="I673" t="s">
        <v>1499</v>
      </c>
      <c r="J673" t="s">
        <v>27</v>
      </c>
      <c r="K673" t="s">
        <v>134</v>
      </c>
    </row>
    <row r="674" spans="1:11" x14ac:dyDescent="0.45">
      <c r="A674" t="s">
        <v>1025</v>
      </c>
      <c r="B674">
        <v>45530</v>
      </c>
      <c r="C674" t="s">
        <v>2291</v>
      </c>
      <c r="D674" t="s">
        <v>31</v>
      </c>
      <c r="E674">
        <v>4</v>
      </c>
      <c r="F674">
        <v>40</v>
      </c>
      <c r="G674">
        <v>15.33</v>
      </c>
      <c r="H674" t="s">
        <v>156</v>
      </c>
      <c r="I674" t="s">
        <v>1511</v>
      </c>
      <c r="J674" t="s">
        <v>20</v>
      </c>
      <c r="K674" t="s">
        <v>74</v>
      </c>
    </row>
    <row r="675" spans="1:11" x14ac:dyDescent="0.45">
      <c r="A675" t="s">
        <v>1026</v>
      </c>
      <c r="B675">
        <v>45531</v>
      </c>
      <c r="C675" t="s">
        <v>2292</v>
      </c>
      <c r="D675" t="s">
        <v>31</v>
      </c>
      <c r="E675">
        <v>4</v>
      </c>
      <c r="F675">
        <v>40</v>
      </c>
      <c r="G675">
        <v>11.38</v>
      </c>
      <c r="H675" t="s">
        <v>68</v>
      </c>
      <c r="I675" t="s">
        <v>1451</v>
      </c>
      <c r="J675" t="s">
        <v>20</v>
      </c>
      <c r="K675" t="s">
        <v>28</v>
      </c>
    </row>
    <row r="676" spans="1:11" x14ac:dyDescent="0.45">
      <c r="A676" t="s">
        <v>1027</v>
      </c>
      <c r="B676">
        <v>45532</v>
      </c>
      <c r="C676" t="s">
        <v>2293</v>
      </c>
      <c r="D676" t="s">
        <v>24</v>
      </c>
      <c r="E676">
        <v>10</v>
      </c>
      <c r="F676">
        <v>25</v>
      </c>
      <c r="G676">
        <v>6.25</v>
      </c>
      <c r="H676" t="s">
        <v>783</v>
      </c>
      <c r="I676" t="s">
        <v>2059</v>
      </c>
      <c r="J676" t="s">
        <v>27</v>
      </c>
      <c r="K676" t="s">
        <v>59</v>
      </c>
    </row>
    <row r="677" spans="1:11" x14ac:dyDescent="0.45">
      <c r="A677" t="s">
        <v>1028</v>
      </c>
      <c r="B677">
        <v>45532</v>
      </c>
      <c r="C677" t="s">
        <v>2294</v>
      </c>
      <c r="D677" t="s">
        <v>31</v>
      </c>
      <c r="E677">
        <v>5</v>
      </c>
      <c r="F677">
        <v>40</v>
      </c>
      <c r="G677">
        <v>8.4600000000000009</v>
      </c>
      <c r="H677" t="s">
        <v>332</v>
      </c>
      <c r="I677" t="s">
        <v>1650</v>
      </c>
      <c r="J677" t="s">
        <v>20</v>
      </c>
      <c r="K677" t="s">
        <v>38</v>
      </c>
    </row>
    <row r="678" spans="1:11" x14ac:dyDescent="0.45">
      <c r="A678" t="s">
        <v>1029</v>
      </c>
      <c r="B678">
        <v>45532</v>
      </c>
      <c r="C678" t="s">
        <v>2295</v>
      </c>
      <c r="D678" t="s">
        <v>50</v>
      </c>
      <c r="E678">
        <v>2</v>
      </c>
      <c r="F678">
        <v>15</v>
      </c>
      <c r="G678">
        <v>5.69</v>
      </c>
      <c r="H678" t="s">
        <v>368</v>
      </c>
      <c r="I678" t="s">
        <v>1682</v>
      </c>
      <c r="J678" t="s">
        <v>27</v>
      </c>
      <c r="K678" t="s">
        <v>38</v>
      </c>
    </row>
    <row r="679" spans="1:11" x14ac:dyDescent="0.45">
      <c r="A679" t="s">
        <v>1030</v>
      </c>
      <c r="B679">
        <v>45532</v>
      </c>
      <c r="C679" t="s">
        <v>2296</v>
      </c>
      <c r="D679" t="s">
        <v>24</v>
      </c>
      <c r="E679">
        <v>7</v>
      </c>
      <c r="F679">
        <v>25</v>
      </c>
      <c r="G679">
        <v>9</v>
      </c>
      <c r="H679" t="s">
        <v>104</v>
      </c>
      <c r="I679" t="s">
        <v>1475</v>
      </c>
      <c r="J679" t="s">
        <v>42</v>
      </c>
      <c r="K679" t="s">
        <v>21</v>
      </c>
    </row>
    <row r="680" spans="1:11" x14ac:dyDescent="0.45">
      <c r="A680" t="s">
        <v>1031</v>
      </c>
      <c r="B680">
        <v>45532</v>
      </c>
      <c r="C680" t="s">
        <v>2297</v>
      </c>
      <c r="D680" t="s">
        <v>31</v>
      </c>
      <c r="E680">
        <v>3</v>
      </c>
      <c r="F680">
        <v>40</v>
      </c>
      <c r="G680">
        <v>10.23</v>
      </c>
      <c r="H680" t="s">
        <v>414</v>
      </c>
      <c r="I680" t="s">
        <v>1722</v>
      </c>
      <c r="J680" t="s">
        <v>20</v>
      </c>
      <c r="K680" t="s">
        <v>59</v>
      </c>
    </row>
    <row r="681" spans="1:11" x14ac:dyDescent="0.45">
      <c r="A681" t="s">
        <v>1032</v>
      </c>
      <c r="B681">
        <v>45533</v>
      </c>
      <c r="C681" t="s">
        <v>2298</v>
      </c>
      <c r="D681" t="s">
        <v>50</v>
      </c>
      <c r="E681">
        <v>9</v>
      </c>
      <c r="G681">
        <v>4.82</v>
      </c>
      <c r="H681" t="s">
        <v>326</v>
      </c>
      <c r="I681" t="s">
        <v>1645</v>
      </c>
      <c r="J681" t="s">
        <v>20</v>
      </c>
      <c r="K681" t="s">
        <v>34</v>
      </c>
    </row>
    <row r="682" spans="1:11" x14ac:dyDescent="0.45">
      <c r="A682" t="s">
        <v>1033</v>
      </c>
      <c r="B682">
        <v>45534</v>
      </c>
      <c r="C682" t="s">
        <v>2299</v>
      </c>
      <c r="D682" t="s">
        <v>17</v>
      </c>
      <c r="E682">
        <v>2</v>
      </c>
      <c r="F682">
        <v>10</v>
      </c>
      <c r="G682">
        <v>2.09</v>
      </c>
      <c r="H682" t="s">
        <v>573</v>
      </c>
      <c r="I682" t="s">
        <v>1860</v>
      </c>
      <c r="J682" t="s">
        <v>27</v>
      </c>
      <c r="K682" t="s">
        <v>56</v>
      </c>
    </row>
    <row r="683" spans="1:11" x14ac:dyDescent="0.45">
      <c r="A683" t="s">
        <v>1034</v>
      </c>
      <c r="B683">
        <v>45534</v>
      </c>
      <c r="C683" t="s">
        <v>2300</v>
      </c>
      <c r="D683" t="s">
        <v>17</v>
      </c>
      <c r="E683">
        <v>4</v>
      </c>
      <c r="F683">
        <v>10</v>
      </c>
      <c r="G683">
        <v>3.56</v>
      </c>
      <c r="H683" t="s">
        <v>132</v>
      </c>
      <c r="I683" t="s">
        <v>1495</v>
      </c>
      <c r="J683" t="s">
        <v>27</v>
      </c>
      <c r="K683" t="s">
        <v>74</v>
      </c>
    </row>
    <row r="684" spans="1:11" x14ac:dyDescent="0.45">
      <c r="A684" t="s">
        <v>1035</v>
      </c>
      <c r="B684">
        <v>45535</v>
      </c>
      <c r="C684" t="s">
        <v>2301</v>
      </c>
      <c r="D684" t="s">
        <v>17</v>
      </c>
      <c r="E684">
        <v>3</v>
      </c>
      <c r="F684">
        <v>10</v>
      </c>
      <c r="G684">
        <v>3.83</v>
      </c>
      <c r="H684" t="s">
        <v>469</v>
      </c>
      <c r="I684" t="s">
        <v>1770</v>
      </c>
      <c r="J684" t="s">
        <v>27</v>
      </c>
      <c r="K684" t="s">
        <v>28</v>
      </c>
    </row>
    <row r="685" spans="1:11" x14ac:dyDescent="0.45">
      <c r="A685" t="s">
        <v>1036</v>
      </c>
      <c r="B685">
        <v>45535</v>
      </c>
      <c r="C685" t="s">
        <v>2302</v>
      </c>
      <c r="D685" t="s">
        <v>24</v>
      </c>
      <c r="E685">
        <v>5</v>
      </c>
      <c r="F685">
        <v>25</v>
      </c>
      <c r="G685">
        <v>7.66</v>
      </c>
      <c r="H685" t="s">
        <v>58</v>
      </c>
      <c r="I685" t="s">
        <v>1445</v>
      </c>
      <c r="J685" t="s">
        <v>20</v>
      </c>
      <c r="K685" t="s">
        <v>21</v>
      </c>
    </row>
    <row r="686" spans="1:11" x14ac:dyDescent="0.45">
      <c r="A686" t="s">
        <v>1037</v>
      </c>
      <c r="B686">
        <v>45536</v>
      </c>
      <c r="C686" t="s">
        <v>2303</v>
      </c>
      <c r="D686" t="s">
        <v>31</v>
      </c>
      <c r="E686">
        <v>8</v>
      </c>
      <c r="F686">
        <v>40</v>
      </c>
      <c r="G686">
        <v>12.16</v>
      </c>
      <c r="H686" t="s">
        <v>363</v>
      </c>
      <c r="I686" t="s">
        <v>1677</v>
      </c>
      <c r="J686" t="s">
        <v>42</v>
      </c>
      <c r="K686" t="s">
        <v>59</v>
      </c>
    </row>
    <row r="687" spans="1:11" x14ac:dyDescent="0.45">
      <c r="A687" t="s">
        <v>1038</v>
      </c>
      <c r="B687">
        <v>45537</v>
      </c>
      <c r="C687" t="s">
        <v>2304</v>
      </c>
      <c r="D687" t="s">
        <v>67</v>
      </c>
      <c r="E687">
        <v>7</v>
      </c>
      <c r="F687">
        <v>12</v>
      </c>
      <c r="G687">
        <v>3.97</v>
      </c>
      <c r="H687" t="s">
        <v>361</v>
      </c>
      <c r="I687" t="s">
        <v>1675</v>
      </c>
      <c r="J687" t="s">
        <v>27</v>
      </c>
      <c r="K687" t="s">
        <v>43</v>
      </c>
    </row>
    <row r="688" spans="1:11" x14ac:dyDescent="0.45">
      <c r="A688" t="s">
        <v>1039</v>
      </c>
      <c r="B688">
        <v>45537</v>
      </c>
      <c r="C688" t="s">
        <v>2305</v>
      </c>
      <c r="D688" t="s">
        <v>24</v>
      </c>
      <c r="E688">
        <v>4</v>
      </c>
      <c r="F688">
        <v>25</v>
      </c>
      <c r="G688">
        <v>6.53</v>
      </c>
      <c r="H688" t="s">
        <v>102</v>
      </c>
      <c r="I688" t="s">
        <v>1473</v>
      </c>
      <c r="J688" t="s">
        <v>47</v>
      </c>
      <c r="K688" t="s">
        <v>56</v>
      </c>
    </row>
    <row r="689" spans="1:11" x14ac:dyDescent="0.45">
      <c r="A689" t="s">
        <v>1040</v>
      </c>
      <c r="B689">
        <v>45537</v>
      </c>
      <c r="C689" t="s">
        <v>2306</v>
      </c>
      <c r="D689" t="s">
        <v>50</v>
      </c>
      <c r="E689">
        <v>3</v>
      </c>
      <c r="F689">
        <v>15</v>
      </c>
      <c r="G689">
        <v>3.29</v>
      </c>
      <c r="H689" t="s">
        <v>763</v>
      </c>
      <c r="I689" t="s">
        <v>2040</v>
      </c>
      <c r="J689" t="s">
        <v>27</v>
      </c>
      <c r="K689" t="s">
        <v>134</v>
      </c>
    </row>
    <row r="690" spans="1:11" x14ac:dyDescent="0.45">
      <c r="A690" t="s">
        <v>1041</v>
      </c>
      <c r="B690">
        <v>45538</v>
      </c>
      <c r="C690" t="s">
        <v>2307</v>
      </c>
      <c r="D690" t="s">
        <v>67</v>
      </c>
      <c r="E690">
        <v>10</v>
      </c>
      <c r="F690">
        <v>12</v>
      </c>
      <c r="G690">
        <v>2.42</v>
      </c>
      <c r="H690" t="s">
        <v>436</v>
      </c>
      <c r="I690" t="s">
        <v>1743</v>
      </c>
      <c r="J690" t="s">
        <v>20</v>
      </c>
      <c r="K690" t="s">
        <v>21</v>
      </c>
    </row>
    <row r="691" spans="1:11" x14ac:dyDescent="0.45">
      <c r="A691" t="s">
        <v>1042</v>
      </c>
      <c r="B691">
        <v>45538</v>
      </c>
      <c r="C691" t="s">
        <v>2308</v>
      </c>
      <c r="D691" t="s">
        <v>24</v>
      </c>
      <c r="E691">
        <v>5</v>
      </c>
      <c r="F691">
        <v>25</v>
      </c>
      <c r="G691">
        <v>7.76</v>
      </c>
      <c r="H691" t="s">
        <v>684</v>
      </c>
      <c r="I691" t="s">
        <v>1964</v>
      </c>
      <c r="J691" t="s">
        <v>27</v>
      </c>
      <c r="K691" t="s">
        <v>59</v>
      </c>
    </row>
    <row r="692" spans="1:11" x14ac:dyDescent="0.45">
      <c r="A692" t="s">
        <v>1043</v>
      </c>
      <c r="B692">
        <v>45539</v>
      </c>
      <c r="C692" t="s">
        <v>2309</v>
      </c>
      <c r="D692" t="s">
        <v>17</v>
      </c>
      <c r="E692">
        <v>9</v>
      </c>
      <c r="F692">
        <v>10</v>
      </c>
      <c r="G692">
        <v>3.63</v>
      </c>
      <c r="H692" t="s">
        <v>851</v>
      </c>
      <c r="I692" t="s">
        <v>2125</v>
      </c>
      <c r="J692" t="s">
        <v>27</v>
      </c>
      <c r="K692" t="s">
        <v>74</v>
      </c>
    </row>
    <row r="693" spans="1:11" x14ac:dyDescent="0.45">
      <c r="A693" t="s">
        <v>1044</v>
      </c>
      <c r="B693">
        <v>45539</v>
      </c>
      <c r="C693" t="s">
        <v>2310</v>
      </c>
      <c r="D693" t="s">
        <v>17</v>
      </c>
      <c r="E693">
        <v>8</v>
      </c>
      <c r="F693">
        <v>10</v>
      </c>
      <c r="G693">
        <v>2.33</v>
      </c>
      <c r="H693" t="s">
        <v>300</v>
      </c>
      <c r="I693" t="s">
        <v>1623</v>
      </c>
      <c r="J693" t="s">
        <v>20</v>
      </c>
      <c r="K693" t="s">
        <v>134</v>
      </c>
    </row>
    <row r="694" spans="1:11" x14ac:dyDescent="0.45">
      <c r="A694" t="s">
        <v>1045</v>
      </c>
      <c r="B694">
        <v>45539</v>
      </c>
      <c r="C694" t="s">
        <v>2311</v>
      </c>
      <c r="D694" t="s">
        <v>50</v>
      </c>
      <c r="E694">
        <v>4</v>
      </c>
      <c r="G694">
        <v>4.5599999999999996</v>
      </c>
      <c r="H694" t="s">
        <v>58</v>
      </c>
      <c r="I694" t="s">
        <v>1445</v>
      </c>
      <c r="J694" t="s">
        <v>27</v>
      </c>
      <c r="K694" t="s">
        <v>34</v>
      </c>
    </row>
    <row r="695" spans="1:11" x14ac:dyDescent="0.45">
      <c r="A695" t="s">
        <v>1046</v>
      </c>
      <c r="B695">
        <v>45539</v>
      </c>
      <c r="C695" t="s">
        <v>2312</v>
      </c>
      <c r="D695" t="s">
        <v>50</v>
      </c>
      <c r="E695">
        <v>7</v>
      </c>
      <c r="F695">
        <v>15</v>
      </c>
      <c r="G695">
        <v>5.0599999999999996</v>
      </c>
      <c r="H695" t="s">
        <v>72</v>
      </c>
      <c r="I695" t="s">
        <v>1453</v>
      </c>
      <c r="J695" t="s">
        <v>20</v>
      </c>
      <c r="K695" t="s">
        <v>21</v>
      </c>
    </row>
    <row r="696" spans="1:11" x14ac:dyDescent="0.45">
      <c r="A696" t="s">
        <v>1047</v>
      </c>
      <c r="B696">
        <v>45540</v>
      </c>
      <c r="C696" t="s">
        <v>2313</v>
      </c>
      <c r="D696" t="s">
        <v>24</v>
      </c>
      <c r="E696">
        <v>1</v>
      </c>
      <c r="F696">
        <v>25</v>
      </c>
      <c r="G696">
        <v>8.42</v>
      </c>
      <c r="H696" t="s">
        <v>884</v>
      </c>
      <c r="I696" t="s">
        <v>2156</v>
      </c>
      <c r="J696" t="s">
        <v>20</v>
      </c>
      <c r="K696" t="s">
        <v>56</v>
      </c>
    </row>
    <row r="697" spans="1:11" x14ac:dyDescent="0.45">
      <c r="A697" t="s">
        <v>1048</v>
      </c>
      <c r="B697">
        <v>45541</v>
      </c>
      <c r="C697" t="s">
        <v>2314</v>
      </c>
      <c r="D697" t="s">
        <v>17</v>
      </c>
      <c r="E697">
        <v>7</v>
      </c>
      <c r="F697">
        <v>10</v>
      </c>
      <c r="G697">
        <v>3.96</v>
      </c>
      <c r="H697" t="s">
        <v>1049</v>
      </c>
      <c r="I697" t="s">
        <v>2315</v>
      </c>
      <c r="J697" t="s">
        <v>27</v>
      </c>
      <c r="K697" t="s">
        <v>38</v>
      </c>
    </row>
    <row r="698" spans="1:11" x14ac:dyDescent="0.45">
      <c r="A698" t="s">
        <v>1050</v>
      </c>
      <c r="B698">
        <v>45542</v>
      </c>
      <c r="C698" t="s">
        <v>2316</v>
      </c>
      <c r="D698" t="s">
        <v>50</v>
      </c>
      <c r="E698">
        <v>5</v>
      </c>
      <c r="F698">
        <v>15</v>
      </c>
      <c r="G698">
        <v>5.13</v>
      </c>
      <c r="H698" t="s">
        <v>25</v>
      </c>
      <c r="I698" t="s">
        <v>1431</v>
      </c>
      <c r="J698" t="s">
        <v>20</v>
      </c>
      <c r="K698" t="s">
        <v>28</v>
      </c>
    </row>
    <row r="699" spans="1:11" x14ac:dyDescent="0.45">
      <c r="A699" t="s">
        <v>1051</v>
      </c>
      <c r="B699">
        <v>45542</v>
      </c>
      <c r="C699" t="s">
        <v>2317</v>
      </c>
      <c r="D699" t="s">
        <v>24</v>
      </c>
      <c r="E699">
        <v>1</v>
      </c>
      <c r="F699">
        <v>25</v>
      </c>
      <c r="G699">
        <v>8.6199999999999992</v>
      </c>
      <c r="H699" t="s">
        <v>397</v>
      </c>
      <c r="I699" t="s">
        <v>1706</v>
      </c>
      <c r="J699" t="s">
        <v>27</v>
      </c>
      <c r="K699" t="s">
        <v>38</v>
      </c>
    </row>
    <row r="700" spans="1:11" x14ac:dyDescent="0.45">
      <c r="A700" t="s">
        <v>1052</v>
      </c>
      <c r="B700">
        <v>45542</v>
      </c>
      <c r="C700" t="s">
        <v>2318</v>
      </c>
      <c r="D700" t="s">
        <v>24</v>
      </c>
      <c r="E700">
        <v>2</v>
      </c>
      <c r="F700">
        <v>25</v>
      </c>
      <c r="G700">
        <v>8.64</v>
      </c>
      <c r="H700" t="s">
        <v>473</v>
      </c>
      <c r="I700" t="s">
        <v>1773</v>
      </c>
      <c r="J700" t="s">
        <v>27</v>
      </c>
      <c r="K700" t="s">
        <v>21</v>
      </c>
    </row>
    <row r="701" spans="1:11" x14ac:dyDescent="0.45">
      <c r="A701" t="s">
        <v>1053</v>
      </c>
      <c r="B701">
        <v>45543</v>
      </c>
      <c r="C701" t="s">
        <v>2319</v>
      </c>
      <c r="D701" t="s">
        <v>24</v>
      </c>
      <c r="E701">
        <v>7</v>
      </c>
      <c r="F701">
        <v>25</v>
      </c>
      <c r="G701">
        <v>9</v>
      </c>
      <c r="H701" t="s">
        <v>436</v>
      </c>
      <c r="I701" t="s">
        <v>1743</v>
      </c>
      <c r="J701" t="s">
        <v>27</v>
      </c>
      <c r="K701" t="s">
        <v>134</v>
      </c>
    </row>
    <row r="702" spans="1:11" x14ac:dyDescent="0.45">
      <c r="A702" t="s">
        <v>1054</v>
      </c>
      <c r="B702">
        <v>45543</v>
      </c>
      <c r="C702" t="s">
        <v>2320</v>
      </c>
      <c r="D702" t="s">
        <v>67</v>
      </c>
      <c r="E702">
        <v>8</v>
      </c>
      <c r="F702">
        <v>12</v>
      </c>
      <c r="G702">
        <v>3.81</v>
      </c>
      <c r="H702" t="s">
        <v>420</v>
      </c>
      <c r="I702" t="s">
        <v>1728</v>
      </c>
      <c r="J702" t="s">
        <v>27</v>
      </c>
      <c r="K702" t="s">
        <v>43</v>
      </c>
    </row>
    <row r="703" spans="1:11" x14ac:dyDescent="0.45">
      <c r="A703" t="s">
        <v>1055</v>
      </c>
      <c r="B703">
        <v>45543</v>
      </c>
      <c r="C703" t="s">
        <v>2321</v>
      </c>
      <c r="D703" t="s">
        <v>17</v>
      </c>
      <c r="E703">
        <v>5</v>
      </c>
      <c r="G703">
        <v>2.76</v>
      </c>
      <c r="H703" t="s">
        <v>241</v>
      </c>
      <c r="I703" t="s">
        <v>1575</v>
      </c>
      <c r="J703" t="s">
        <v>27</v>
      </c>
      <c r="K703" t="s">
        <v>34</v>
      </c>
    </row>
    <row r="704" spans="1:11" x14ac:dyDescent="0.45">
      <c r="A704" t="s">
        <v>1056</v>
      </c>
      <c r="B704">
        <v>45543</v>
      </c>
      <c r="C704" t="s">
        <v>2322</v>
      </c>
      <c r="D704" t="s">
        <v>17</v>
      </c>
      <c r="E704">
        <v>9</v>
      </c>
      <c r="F704">
        <v>10</v>
      </c>
      <c r="G704">
        <v>2.41</v>
      </c>
      <c r="H704" t="s">
        <v>251</v>
      </c>
      <c r="I704" t="s">
        <v>1583</v>
      </c>
      <c r="J704" t="s">
        <v>27</v>
      </c>
      <c r="K704" t="s">
        <v>43</v>
      </c>
    </row>
    <row r="705" spans="1:11" x14ac:dyDescent="0.45">
      <c r="A705" t="s">
        <v>1057</v>
      </c>
      <c r="B705">
        <v>45545</v>
      </c>
      <c r="C705" t="s">
        <v>2323</v>
      </c>
      <c r="D705" t="s">
        <v>67</v>
      </c>
      <c r="E705">
        <v>1</v>
      </c>
      <c r="F705">
        <v>12</v>
      </c>
      <c r="G705">
        <v>3.1</v>
      </c>
      <c r="H705" t="s">
        <v>160</v>
      </c>
      <c r="I705" t="s">
        <v>1515</v>
      </c>
      <c r="J705" t="s">
        <v>20</v>
      </c>
      <c r="K705" t="s">
        <v>59</v>
      </c>
    </row>
    <row r="706" spans="1:11" x14ac:dyDescent="0.45">
      <c r="A706" t="s">
        <v>1058</v>
      </c>
      <c r="B706">
        <v>45545</v>
      </c>
      <c r="C706" t="s">
        <v>2324</v>
      </c>
      <c r="D706" t="s">
        <v>67</v>
      </c>
      <c r="E706">
        <v>10</v>
      </c>
      <c r="F706">
        <v>12</v>
      </c>
      <c r="G706">
        <v>3.77</v>
      </c>
      <c r="H706" t="s">
        <v>453</v>
      </c>
      <c r="I706" t="s">
        <v>1756</v>
      </c>
      <c r="J706" t="s">
        <v>20</v>
      </c>
      <c r="K706" t="s">
        <v>59</v>
      </c>
    </row>
    <row r="707" spans="1:11" x14ac:dyDescent="0.45">
      <c r="A707" t="s">
        <v>1059</v>
      </c>
      <c r="B707">
        <v>45546</v>
      </c>
      <c r="C707" t="s">
        <v>2325</v>
      </c>
      <c r="D707" t="s">
        <v>17</v>
      </c>
      <c r="E707">
        <v>9</v>
      </c>
      <c r="F707">
        <v>10</v>
      </c>
      <c r="G707">
        <v>2.02</v>
      </c>
      <c r="H707" t="s">
        <v>182</v>
      </c>
      <c r="I707" t="s">
        <v>1532</v>
      </c>
      <c r="J707" t="s">
        <v>20</v>
      </c>
      <c r="K707" t="s">
        <v>70</v>
      </c>
    </row>
    <row r="708" spans="1:11" x14ac:dyDescent="0.45">
      <c r="A708" t="s">
        <v>1060</v>
      </c>
      <c r="B708">
        <v>45546</v>
      </c>
      <c r="C708" t="s">
        <v>2326</v>
      </c>
      <c r="D708" t="s">
        <v>31</v>
      </c>
      <c r="E708">
        <v>4</v>
      </c>
      <c r="F708">
        <v>40</v>
      </c>
      <c r="G708">
        <v>11.92</v>
      </c>
      <c r="H708" t="s">
        <v>203</v>
      </c>
      <c r="I708" t="s">
        <v>1546</v>
      </c>
      <c r="J708" t="s">
        <v>20</v>
      </c>
      <c r="K708" t="s">
        <v>43</v>
      </c>
    </row>
    <row r="709" spans="1:11" x14ac:dyDescent="0.45">
      <c r="A709" t="s">
        <v>1061</v>
      </c>
      <c r="B709">
        <v>45546</v>
      </c>
      <c r="C709" t="s">
        <v>2327</v>
      </c>
      <c r="D709" t="s">
        <v>17</v>
      </c>
      <c r="E709">
        <v>8</v>
      </c>
      <c r="F709">
        <v>10</v>
      </c>
      <c r="G709">
        <v>3.58</v>
      </c>
      <c r="H709" t="s">
        <v>457</v>
      </c>
      <c r="I709" t="s">
        <v>1759</v>
      </c>
      <c r="J709" t="s">
        <v>27</v>
      </c>
      <c r="K709" t="s">
        <v>34</v>
      </c>
    </row>
    <row r="710" spans="1:11" x14ac:dyDescent="0.45">
      <c r="A710" t="s">
        <v>1062</v>
      </c>
      <c r="B710">
        <v>45546</v>
      </c>
      <c r="C710" t="s">
        <v>2328</v>
      </c>
      <c r="D710" t="s">
        <v>24</v>
      </c>
      <c r="E710">
        <v>10</v>
      </c>
      <c r="G710">
        <v>8.3699999999999992</v>
      </c>
      <c r="H710" t="s">
        <v>145</v>
      </c>
      <c r="I710" t="s">
        <v>1503</v>
      </c>
      <c r="J710" t="s">
        <v>20</v>
      </c>
      <c r="K710" t="s">
        <v>21</v>
      </c>
    </row>
    <row r="711" spans="1:11" x14ac:dyDescent="0.45">
      <c r="A711" t="s">
        <v>1063</v>
      </c>
      <c r="B711">
        <v>45546</v>
      </c>
      <c r="C711" t="s">
        <v>2329</v>
      </c>
      <c r="D711" t="s">
        <v>67</v>
      </c>
      <c r="E711">
        <v>1</v>
      </c>
      <c r="F711">
        <v>12</v>
      </c>
      <c r="G711">
        <v>4.25</v>
      </c>
      <c r="H711" t="s">
        <v>530</v>
      </c>
      <c r="I711" t="s">
        <v>1822</v>
      </c>
      <c r="J711" t="s">
        <v>20</v>
      </c>
      <c r="K711" t="s">
        <v>38</v>
      </c>
    </row>
    <row r="712" spans="1:11" x14ac:dyDescent="0.45">
      <c r="A712" t="s">
        <v>1064</v>
      </c>
      <c r="B712">
        <v>45548</v>
      </c>
      <c r="C712" t="s">
        <v>2330</v>
      </c>
      <c r="D712" t="s">
        <v>50</v>
      </c>
      <c r="E712">
        <v>4</v>
      </c>
      <c r="F712">
        <v>15</v>
      </c>
      <c r="G712">
        <v>4.2</v>
      </c>
      <c r="H712" t="s">
        <v>54</v>
      </c>
      <c r="I712" t="s">
        <v>1443</v>
      </c>
      <c r="J712" t="s">
        <v>42</v>
      </c>
      <c r="K712" t="s">
        <v>56</v>
      </c>
    </row>
    <row r="713" spans="1:11" x14ac:dyDescent="0.45">
      <c r="A713" t="s">
        <v>1065</v>
      </c>
      <c r="B713">
        <v>45548</v>
      </c>
      <c r="C713" t="s">
        <v>2331</v>
      </c>
      <c r="D713" t="s">
        <v>50</v>
      </c>
      <c r="E713">
        <v>4</v>
      </c>
      <c r="F713">
        <v>15</v>
      </c>
      <c r="G713">
        <v>4.03</v>
      </c>
      <c r="H713" t="s">
        <v>300</v>
      </c>
      <c r="I713" t="s">
        <v>1623</v>
      </c>
      <c r="J713" t="s">
        <v>27</v>
      </c>
      <c r="K713" t="s">
        <v>43</v>
      </c>
    </row>
    <row r="714" spans="1:11" x14ac:dyDescent="0.45">
      <c r="A714" t="s">
        <v>1066</v>
      </c>
      <c r="B714">
        <v>45548</v>
      </c>
      <c r="C714" t="s">
        <v>2332</v>
      </c>
      <c r="D714" t="s">
        <v>67</v>
      </c>
      <c r="E714">
        <v>4</v>
      </c>
      <c r="F714">
        <v>12</v>
      </c>
      <c r="G714">
        <v>2.68</v>
      </c>
      <c r="H714" t="s">
        <v>36</v>
      </c>
      <c r="I714" t="s">
        <v>1435</v>
      </c>
      <c r="J714" t="s">
        <v>47</v>
      </c>
      <c r="K714" t="s">
        <v>28</v>
      </c>
    </row>
    <row r="715" spans="1:11" x14ac:dyDescent="0.45">
      <c r="A715" t="s">
        <v>1067</v>
      </c>
      <c r="B715">
        <v>45549</v>
      </c>
      <c r="C715" t="s">
        <v>2333</v>
      </c>
      <c r="D715" t="s">
        <v>17</v>
      </c>
      <c r="E715">
        <v>10</v>
      </c>
      <c r="F715">
        <v>10</v>
      </c>
      <c r="G715">
        <v>2.65</v>
      </c>
      <c r="H715" t="s">
        <v>414</v>
      </c>
      <c r="I715" t="s">
        <v>1722</v>
      </c>
      <c r="J715" t="s">
        <v>27</v>
      </c>
      <c r="K715" t="s">
        <v>56</v>
      </c>
    </row>
    <row r="716" spans="1:11" x14ac:dyDescent="0.45">
      <c r="A716" t="s">
        <v>1068</v>
      </c>
      <c r="B716">
        <v>45549</v>
      </c>
      <c r="C716" t="s">
        <v>2334</v>
      </c>
      <c r="D716" t="s">
        <v>31</v>
      </c>
      <c r="E716">
        <v>8</v>
      </c>
      <c r="F716">
        <v>40</v>
      </c>
      <c r="G716">
        <v>8.8699999999999992</v>
      </c>
      <c r="H716" t="s">
        <v>387</v>
      </c>
      <c r="I716" t="s">
        <v>1697</v>
      </c>
      <c r="J716" t="s">
        <v>20</v>
      </c>
      <c r="K716" t="s">
        <v>134</v>
      </c>
    </row>
    <row r="717" spans="1:11" x14ac:dyDescent="0.45">
      <c r="A717" t="s">
        <v>1069</v>
      </c>
      <c r="B717">
        <v>45550</v>
      </c>
      <c r="C717" t="s">
        <v>2335</v>
      </c>
      <c r="D717" t="s">
        <v>31</v>
      </c>
      <c r="E717">
        <v>3</v>
      </c>
      <c r="F717">
        <v>40</v>
      </c>
      <c r="G717">
        <v>14.24</v>
      </c>
      <c r="H717" t="s">
        <v>479</v>
      </c>
      <c r="I717" t="s">
        <v>1777</v>
      </c>
      <c r="J717" t="s">
        <v>27</v>
      </c>
      <c r="K717" t="s">
        <v>38</v>
      </c>
    </row>
    <row r="718" spans="1:11" x14ac:dyDescent="0.45">
      <c r="A718" t="s">
        <v>1070</v>
      </c>
      <c r="B718">
        <v>45550</v>
      </c>
      <c r="C718" t="s">
        <v>2336</v>
      </c>
      <c r="D718" t="s">
        <v>17</v>
      </c>
      <c r="E718">
        <v>2</v>
      </c>
      <c r="F718">
        <v>10</v>
      </c>
      <c r="G718">
        <v>3.03</v>
      </c>
      <c r="H718" t="s">
        <v>1071</v>
      </c>
      <c r="I718" t="s">
        <v>2337</v>
      </c>
      <c r="J718" t="s">
        <v>20</v>
      </c>
      <c r="K718" t="s">
        <v>43</v>
      </c>
    </row>
    <row r="719" spans="1:11" x14ac:dyDescent="0.45">
      <c r="A719" t="s">
        <v>1072</v>
      </c>
      <c r="B719">
        <v>45551</v>
      </c>
      <c r="C719" t="s">
        <v>2338</v>
      </c>
      <c r="D719" t="s">
        <v>17</v>
      </c>
      <c r="E719">
        <v>9</v>
      </c>
      <c r="F719">
        <v>10</v>
      </c>
      <c r="G719">
        <v>2.11</v>
      </c>
      <c r="H719" t="s">
        <v>18</v>
      </c>
      <c r="I719" t="s">
        <v>1429</v>
      </c>
      <c r="J719" t="s">
        <v>20</v>
      </c>
      <c r="K719" t="s">
        <v>38</v>
      </c>
    </row>
    <row r="720" spans="1:11" x14ac:dyDescent="0.45">
      <c r="A720" t="s">
        <v>1073</v>
      </c>
      <c r="B720">
        <v>45551</v>
      </c>
      <c r="C720" t="s">
        <v>2339</v>
      </c>
      <c r="D720" t="s">
        <v>24</v>
      </c>
      <c r="E720">
        <v>10</v>
      </c>
      <c r="F720">
        <v>25</v>
      </c>
      <c r="G720">
        <v>6.58</v>
      </c>
      <c r="H720" t="s">
        <v>439</v>
      </c>
      <c r="I720" t="s">
        <v>1745</v>
      </c>
      <c r="J720" t="s">
        <v>27</v>
      </c>
      <c r="K720" t="s">
        <v>38</v>
      </c>
    </row>
    <row r="721" spans="1:11" x14ac:dyDescent="0.45">
      <c r="A721" t="s">
        <v>1074</v>
      </c>
      <c r="B721">
        <v>45552</v>
      </c>
      <c r="C721" t="s">
        <v>2340</v>
      </c>
      <c r="D721" t="s">
        <v>31</v>
      </c>
      <c r="E721">
        <v>6</v>
      </c>
      <c r="F721">
        <v>40</v>
      </c>
      <c r="G721">
        <v>15.57</v>
      </c>
      <c r="H721" t="s">
        <v>482</v>
      </c>
      <c r="I721" t="s">
        <v>1779</v>
      </c>
      <c r="J721" t="s">
        <v>27</v>
      </c>
      <c r="K721" t="s">
        <v>43</v>
      </c>
    </row>
    <row r="722" spans="1:11" x14ac:dyDescent="0.45">
      <c r="A722" t="s">
        <v>1075</v>
      </c>
      <c r="B722">
        <v>45552</v>
      </c>
      <c r="C722" t="s">
        <v>2341</v>
      </c>
      <c r="D722" t="s">
        <v>24</v>
      </c>
      <c r="E722">
        <v>9</v>
      </c>
      <c r="F722">
        <v>25</v>
      </c>
      <c r="G722">
        <v>8.24</v>
      </c>
      <c r="H722" t="s">
        <v>303</v>
      </c>
      <c r="I722" t="s">
        <v>1626</v>
      </c>
      <c r="J722" t="s">
        <v>27</v>
      </c>
      <c r="K722" t="s">
        <v>21</v>
      </c>
    </row>
    <row r="723" spans="1:11" x14ac:dyDescent="0.45">
      <c r="A723" t="s">
        <v>1076</v>
      </c>
      <c r="B723">
        <v>45552</v>
      </c>
      <c r="C723" t="s">
        <v>2342</v>
      </c>
      <c r="D723" t="s">
        <v>24</v>
      </c>
      <c r="E723">
        <v>10</v>
      </c>
      <c r="F723">
        <v>25</v>
      </c>
      <c r="G723">
        <v>5.84</v>
      </c>
      <c r="H723" t="s">
        <v>851</v>
      </c>
      <c r="I723" t="s">
        <v>2125</v>
      </c>
      <c r="J723" t="s">
        <v>20</v>
      </c>
      <c r="K723" t="s">
        <v>21</v>
      </c>
    </row>
    <row r="724" spans="1:11" x14ac:dyDescent="0.45">
      <c r="A724" t="s">
        <v>1077</v>
      </c>
      <c r="B724">
        <v>45553</v>
      </c>
      <c r="C724" t="s">
        <v>2343</v>
      </c>
      <c r="D724" t="s">
        <v>17</v>
      </c>
      <c r="E724">
        <v>4</v>
      </c>
      <c r="F724">
        <v>10</v>
      </c>
      <c r="G724">
        <v>3.28</v>
      </c>
      <c r="H724" t="s">
        <v>25</v>
      </c>
      <c r="I724" t="s">
        <v>1431</v>
      </c>
      <c r="J724" t="s">
        <v>27</v>
      </c>
      <c r="K724" t="s">
        <v>70</v>
      </c>
    </row>
    <row r="725" spans="1:11" x14ac:dyDescent="0.45">
      <c r="A725" t="s">
        <v>1078</v>
      </c>
      <c r="B725">
        <v>45553</v>
      </c>
      <c r="C725" t="s">
        <v>2344</v>
      </c>
      <c r="D725" t="s">
        <v>24</v>
      </c>
      <c r="E725">
        <v>8</v>
      </c>
      <c r="F725">
        <v>25</v>
      </c>
      <c r="G725">
        <v>9.33</v>
      </c>
      <c r="H725" t="s">
        <v>310</v>
      </c>
      <c r="I725" t="s">
        <v>1633</v>
      </c>
      <c r="J725" t="s">
        <v>27</v>
      </c>
      <c r="K725" t="s">
        <v>74</v>
      </c>
    </row>
    <row r="726" spans="1:11" x14ac:dyDescent="0.45">
      <c r="A726" t="s">
        <v>1079</v>
      </c>
      <c r="B726">
        <v>45554</v>
      </c>
      <c r="C726" t="s">
        <v>2345</v>
      </c>
      <c r="D726" t="s">
        <v>50</v>
      </c>
      <c r="E726">
        <v>10</v>
      </c>
      <c r="F726">
        <v>15</v>
      </c>
      <c r="G726">
        <v>5.0199999999999996</v>
      </c>
      <c r="H726" t="s">
        <v>326</v>
      </c>
      <c r="I726" t="s">
        <v>1645</v>
      </c>
      <c r="J726" t="s">
        <v>27</v>
      </c>
      <c r="K726" t="s">
        <v>134</v>
      </c>
    </row>
    <row r="727" spans="1:11" x14ac:dyDescent="0.45">
      <c r="A727" t="s">
        <v>1080</v>
      </c>
      <c r="B727">
        <v>45554</v>
      </c>
      <c r="C727" t="s">
        <v>2346</v>
      </c>
      <c r="D727" t="s">
        <v>24</v>
      </c>
      <c r="E727">
        <v>1</v>
      </c>
      <c r="F727">
        <v>25</v>
      </c>
      <c r="G727">
        <v>8.68</v>
      </c>
      <c r="H727" t="s">
        <v>361</v>
      </c>
      <c r="I727" t="s">
        <v>1675</v>
      </c>
      <c r="J727" t="s">
        <v>47</v>
      </c>
      <c r="K727" t="s">
        <v>28</v>
      </c>
    </row>
    <row r="728" spans="1:11" x14ac:dyDescent="0.45">
      <c r="A728" t="s">
        <v>1081</v>
      </c>
      <c r="B728">
        <v>45554</v>
      </c>
      <c r="C728" t="s">
        <v>2347</v>
      </c>
      <c r="D728" t="s">
        <v>31</v>
      </c>
      <c r="E728">
        <v>7</v>
      </c>
      <c r="F728">
        <v>40</v>
      </c>
      <c r="G728">
        <v>8.74</v>
      </c>
      <c r="H728" t="s">
        <v>731</v>
      </c>
      <c r="I728" t="s">
        <v>2010</v>
      </c>
      <c r="J728" t="s">
        <v>20</v>
      </c>
      <c r="K728" t="s">
        <v>43</v>
      </c>
    </row>
    <row r="729" spans="1:11" x14ac:dyDescent="0.45">
      <c r="A729" t="s">
        <v>1082</v>
      </c>
      <c r="B729">
        <v>45555</v>
      </c>
      <c r="C729" t="s">
        <v>2348</v>
      </c>
      <c r="D729" t="s">
        <v>24</v>
      </c>
      <c r="E729">
        <v>3</v>
      </c>
      <c r="F729">
        <v>25</v>
      </c>
      <c r="G729">
        <v>7.17</v>
      </c>
      <c r="H729" t="s">
        <v>1049</v>
      </c>
      <c r="I729" t="s">
        <v>2315</v>
      </c>
      <c r="J729" t="s">
        <v>27</v>
      </c>
      <c r="K729" t="s">
        <v>38</v>
      </c>
    </row>
    <row r="730" spans="1:11" x14ac:dyDescent="0.45">
      <c r="A730" t="s">
        <v>1083</v>
      </c>
      <c r="B730">
        <v>45556</v>
      </c>
      <c r="C730" t="s">
        <v>2349</v>
      </c>
      <c r="D730" t="s">
        <v>17</v>
      </c>
      <c r="E730">
        <v>8</v>
      </c>
      <c r="F730">
        <v>10</v>
      </c>
      <c r="G730">
        <v>3.47</v>
      </c>
      <c r="H730" t="s">
        <v>1084</v>
      </c>
      <c r="I730" t="s">
        <v>2350</v>
      </c>
      <c r="J730" t="s">
        <v>20</v>
      </c>
      <c r="K730" t="s">
        <v>38</v>
      </c>
    </row>
    <row r="731" spans="1:11" x14ac:dyDescent="0.45">
      <c r="A731" t="s">
        <v>1085</v>
      </c>
      <c r="B731">
        <v>45557</v>
      </c>
      <c r="C731" t="s">
        <v>2351</v>
      </c>
      <c r="D731" t="s">
        <v>67</v>
      </c>
      <c r="E731">
        <v>5</v>
      </c>
      <c r="F731">
        <v>12</v>
      </c>
      <c r="G731">
        <v>2.78</v>
      </c>
      <c r="H731" t="s">
        <v>802</v>
      </c>
      <c r="I731" t="s">
        <v>2077</v>
      </c>
      <c r="J731" t="s">
        <v>20</v>
      </c>
      <c r="K731" t="s">
        <v>34</v>
      </c>
    </row>
    <row r="732" spans="1:11" x14ac:dyDescent="0.45">
      <c r="A732" t="s">
        <v>1086</v>
      </c>
      <c r="B732">
        <v>45557</v>
      </c>
      <c r="C732" t="s">
        <v>2352</v>
      </c>
      <c r="D732" t="s">
        <v>67</v>
      </c>
      <c r="E732">
        <v>9</v>
      </c>
      <c r="F732">
        <v>12</v>
      </c>
      <c r="G732">
        <v>2.94</v>
      </c>
      <c r="H732" t="s">
        <v>158</v>
      </c>
      <c r="I732" t="s">
        <v>1513</v>
      </c>
      <c r="J732" t="s">
        <v>27</v>
      </c>
      <c r="K732" t="s">
        <v>134</v>
      </c>
    </row>
    <row r="733" spans="1:11" x14ac:dyDescent="0.45">
      <c r="A733" t="s">
        <v>1087</v>
      </c>
      <c r="B733">
        <v>45557</v>
      </c>
      <c r="C733" t="s">
        <v>2353</v>
      </c>
      <c r="D733" t="s">
        <v>67</v>
      </c>
      <c r="E733">
        <v>3</v>
      </c>
      <c r="F733">
        <v>12</v>
      </c>
      <c r="G733">
        <v>4.49</v>
      </c>
      <c r="H733" t="s">
        <v>482</v>
      </c>
      <c r="I733" t="s">
        <v>1779</v>
      </c>
      <c r="J733" t="s">
        <v>27</v>
      </c>
      <c r="K733" t="s">
        <v>34</v>
      </c>
    </row>
    <row r="734" spans="1:11" x14ac:dyDescent="0.45">
      <c r="A734" t="s">
        <v>1088</v>
      </c>
      <c r="B734">
        <v>45558</v>
      </c>
      <c r="C734" t="s">
        <v>2354</v>
      </c>
      <c r="D734" t="s">
        <v>24</v>
      </c>
      <c r="E734">
        <v>8</v>
      </c>
      <c r="F734">
        <v>25</v>
      </c>
      <c r="G734">
        <v>6.84</v>
      </c>
      <c r="H734" t="s">
        <v>510</v>
      </c>
      <c r="I734" t="s">
        <v>1805</v>
      </c>
      <c r="J734" t="s">
        <v>42</v>
      </c>
      <c r="K734" t="s">
        <v>74</v>
      </c>
    </row>
    <row r="735" spans="1:11" x14ac:dyDescent="0.45">
      <c r="A735" t="s">
        <v>1089</v>
      </c>
      <c r="B735">
        <v>45558</v>
      </c>
      <c r="C735" t="s">
        <v>2355</v>
      </c>
      <c r="D735" t="s">
        <v>24</v>
      </c>
      <c r="E735">
        <v>9</v>
      </c>
      <c r="F735">
        <v>25</v>
      </c>
      <c r="G735">
        <v>7.79</v>
      </c>
      <c r="H735" t="s">
        <v>409</v>
      </c>
      <c r="I735" t="s">
        <v>1717</v>
      </c>
      <c r="J735" t="s">
        <v>27</v>
      </c>
      <c r="K735" t="s">
        <v>59</v>
      </c>
    </row>
    <row r="736" spans="1:11" x14ac:dyDescent="0.45">
      <c r="A736" t="s">
        <v>1090</v>
      </c>
      <c r="B736">
        <v>45558</v>
      </c>
      <c r="C736" t="s">
        <v>2356</v>
      </c>
      <c r="D736" t="s">
        <v>24</v>
      </c>
      <c r="E736">
        <v>7</v>
      </c>
      <c r="F736">
        <v>25</v>
      </c>
      <c r="G736">
        <v>8.2899999999999991</v>
      </c>
      <c r="H736" t="s">
        <v>674</v>
      </c>
      <c r="I736" t="s">
        <v>1954</v>
      </c>
      <c r="J736" t="s">
        <v>27</v>
      </c>
      <c r="K736" t="s">
        <v>43</v>
      </c>
    </row>
    <row r="737" spans="1:11" x14ac:dyDescent="0.45">
      <c r="A737" t="s">
        <v>1091</v>
      </c>
      <c r="B737">
        <v>45559</v>
      </c>
      <c r="C737" t="s">
        <v>2357</v>
      </c>
      <c r="D737" t="s">
        <v>17</v>
      </c>
      <c r="E737">
        <v>2</v>
      </c>
      <c r="F737">
        <v>10</v>
      </c>
      <c r="G737">
        <v>2.94</v>
      </c>
      <c r="H737" t="s">
        <v>411</v>
      </c>
      <c r="I737" t="s">
        <v>1719</v>
      </c>
      <c r="J737" t="s">
        <v>47</v>
      </c>
      <c r="K737" t="s">
        <v>21</v>
      </c>
    </row>
    <row r="738" spans="1:11" x14ac:dyDescent="0.45">
      <c r="A738" t="s">
        <v>1092</v>
      </c>
      <c r="B738">
        <v>45559</v>
      </c>
      <c r="C738" t="s">
        <v>2358</v>
      </c>
      <c r="D738" t="s">
        <v>17</v>
      </c>
      <c r="E738">
        <v>1</v>
      </c>
      <c r="F738">
        <v>10</v>
      </c>
      <c r="G738">
        <v>3.62</v>
      </c>
      <c r="H738" t="s">
        <v>365</v>
      </c>
      <c r="I738" t="s">
        <v>1679</v>
      </c>
      <c r="J738" t="s">
        <v>27</v>
      </c>
      <c r="K738" t="s">
        <v>21</v>
      </c>
    </row>
    <row r="739" spans="1:11" x14ac:dyDescent="0.45">
      <c r="A739" t="s">
        <v>1093</v>
      </c>
      <c r="B739">
        <v>45560</v>
      </c>
      <c r="C739" t="s">
        <v>2359</v>
      </c>
      <c r="D739" t="s">
        <v>17</v>
      </c>
      <c r="E739">
        <v>8</v>
      </c>
      <c r="G739">
        <v>2.08</v>
      </c>
      <c r="H739" t="s">
        <v>582</v>
      </c>
      <c r="I739" t="s">
        <v>1868</v>
      </c>
      <c r="J739" t="s">
        <v>27</v>
      </c>
      <c r="K739" t="s">
        <v>34</v>
      </c>
    </row>
    <row r="740" spans="1:11" x14ac:dyDescent="0.45">
      <c r="A740" t="s">
        <v>1094</v>
      </c>
      <c r="B740">
        <v>45561</v>
      </c>
      <c r="C740" t="s">
        <v>2360</v>
      </c>
      <c r="D740" t="s">
        <v>67</v>
      </c>
      <c r="E740">
        <v>5</v>
      </c>
      <c r="F740">
        <v>12</v>
      </c>
      <c r="G740">
        <v>4.6900000000000004</v>
      </c>
      <c r="H740" t="s">
        <v>647</v>
      </c>
      <c r="I740" t="s">
        <v>1932</v>
      </c>
      <c r="J740" t="s">
        <v>27</v>
      </c>
      <c r="K740" t="s">
        <v>134</v>
      </c>
    </row>
    <row r="741" spans="1:11" x14ac:dyDescent="0.45">
      <c r="A741" t="s">
        <v>1095</v>
      </c>
      <c r="B741">
        <v>45561</v>
      </c>
      <c r="C741" t="s">
        <v>2361</v>
      </c>
      <c r="D741" t="s">
        <v>67</v>
      </c>
      <c r="E741">
        <v>7</v>
      </c>
      <c r="F741">
        <v>12</v>
      </c>
      <c r="G741">
        <v>3.9</v>
      </c>
      <c r="H741" t="s">
        <v>476</v>
      </c>
      <c r="I741" t="s">
        <v>1775</v>
      </c>
      <c r="J741" t="s">
        <v>47</v>
      </c>
      <c r="K741" t="s">
        <v>59</v>
      </c>
    </row>
    <row r="742" spans="1:11" x14ac:dyDescent="0.45">
      <c r="A742" t="s">
        <v>1096</v>
      </c>
      <c r="B742">
        <v>45562</v>
      </c>
      <c r="C742" t="s">
        <v>2362</v>
      </c>
      <c r="D742" t="s">
        <v>50</v>
      </c>
      <c r="E742">
        <v>10</v>
      </c>
      <c r="F742">
        <v>15</v>
      </c>
      <c r="G742">
        <v>3.05</v>
      </c>
      <c r="H742" t="s">
        <v>576</v>
      </c>
      <c r="I742" t="s">
        <v>1862</v>
      </c>
      <c r="J742" t="s">
        <v>20</v>
      </c>
      <c r="K742" t="s">
        <v>34</v>
      </c>
    </row>
    <row r="743" spans="1:11" x14ac:dyDescent="0.45">
      <c r="A743" t="s">
        <v>1097</v>
      </c>
      <c r="B743">
        <v>45562</v>
      </c>
      <c r="C743" t="s">
        <v>2363</v>
      </c>
      <c r="D743" t="s">
        <v>31</v>
      </c>
      <c r="E743">
        <v>5</v>
      </c>
      <c r="G743">
        <v>8.11</v>
      </c>
      <c r="H743" t="s">
        <v>182</v>
      </c>
      <c r="I743" t="s">
        <v>1532</v>
      </c>
      <c r="J743" t="s">
        <v>27</v>
      </c>
      <c r="K743" t="s">
        <v>74</v>
      </c>
    </row>
    <row r="744" spans="1:11" x14ac:dyDescent="0.45">
      <c r="A744" t="s">
        <v>1098</v>
      </c>
      <c r="B744">
        <v>45562</v>
      </c>
      <c r="C744" t="s">
        <v>2364</v>
      </c>
      <c r="D744" t="s">
        <v>17</v>
      </c>
      <c r="E744">
        <v>10</v>
      </c>
      <c r="F744">
        <v>10</v>
      </c>
      <c r="G744">
        <v>3.29</v>
      </c>
      <c r="H744" t="s">
        <v>674</v>
      </c>
      <c r="I744" t="s">
        <v>1954</v>
      </c>
      <c r="J744" t="s">
        <v>27</v>
      </c>
      <c r="K744" t="s">
        <v>56</v>
      </c>
    </row>
    <row r="745" spans="1:11" x14ac:dyDescent="0.45">
      <c r="A745" t="s">
        <v>1099</v>
      </c>
      <c r="B745">
        <v>45563</v>
      </c>
      <c r="C745" t="s">
        <v>2365</v>
      </c>
      <c r="D745" t="s">
        <v>17</v>
      </c>
      <c r="E745">
        <v>5</v>
      </c>
      <c r="F745">
        <v>10</v>
      </c>
      <c r="G745">
        <v>2.66</v>
      </c>
      <c r="H745" t="s">
        <v>206</v>
      </c>
      <c r="I745" t="s">
        <v>1548</v>
      </c>
      <c r="J745" t="s">
        <v>20</v>
      </c>
      <c r="K745" t="s">
        <v>56</v>
      </c>
    </row>
    <row r="746" spans="1:11" x14ac:dyDescent="0.45">
      <c r="A746" t="s">
        <v>1100</v>
      </c>
      <c r="B746">
        <v>45563</v>
      </c>
      <c r="C746" t="s">
        <v>2366</v>
      </c>
      <c r="D746" t="s">
        <v>50</v>
      </c>
      <c r="E746">
        <v>7</v>
      </c>
      <c r="F746">
        <v>15</v>
      </c>
      <c r="G746">
        <v>3.82</v>
      </c>
      <c r="H746" t="s">
        <v>371</v>
      </c>
      <c r="I746" t="s">
        <v>1684</v>
      </c>
      <c r="J746" t="s">
        <v>27</v>
      </c>
      <c r="K746" t="s">
        <v>74</v>
      </c>
    </row>
    <row r="747" spans="1:11" x14ac:dyDescent="0.45">
      <c r="A747" t="s">
        <v>1101</v>
      </c>
      <c r="B747">
        <v>45564</v>
      </c>
      <c r="C747" t="s">
        <v>2367</v>
      </c>
      <c r="D747" t="s">
        <v>31</v>
      </c>
      <c r="E747">
        <v>4</v>
      </c>
      <c r="F747">
        <v>40</v>
      </c>
      <c r="G747">
        <v>9.31</v>
      </c>
      <c r="H747" t="s">
        <v>884</v>
      </c>
      <c r="I747" t="s">
        <v>2156</v>
      </c>
      <c r="J747" t="s">
        <v>20</v>
      </c>
      <c r="K747" t="s">
        <v>38</v>
      </c>
    </row>
    <row r="748" spans="1:11" x14ac:dyDescent="0.45">
      <c r="A748" t="s">
        <v>1102</v>
      </c>
      <c r="B748">
        <v>45564</v>
      </c>
      <c r="C748" t="s">
        <v>2368</v>
      </c>
      <c r="D748" t="s">
        <v>67</v>
      </c>
      <c r="E748">
        <v>6</v>
      </c>
      <c r="F748">
        <v>12</v>
      </c>
      <c r="G748">
        <v>3.66</v>
      </c>
      <c r="H748" t="s">
        <v>494</v>
      </c>
      <c r="I748" t="s">
        <v>1790</v>
      </c>
      <c r="J748" t="s">
        <v>27</v>
      </c>
      <c r="K748" t="s">
        <v>74</v>
      </c>
    </row>
    <row r="749" spans="1:11" x14ac:dyDescent="0.45">
      <c r="A749" t="s">
        <v>1103</v>
      </c>
      <c r="B749">
        <v>45565</v>
      </c>
      <c r="C749" t="s">
        <v>2369</v>
      </c>
      <c r="D749" t="s">
        <v>31</v>
      </c>
      <c r="E749">
        <v>1</v>
      </c>
      <c r="F749">
        <v>40</v>
      </c>
      <c r="G749">
        <v>9.89</v>
      </c>
      <c r="H749" t="s">
        <v>743</v>
      </c>
      <c r="I749" t="s">
        <v>2021</v>
      </c>
      <c r="J749" t="s">
        <v>20</v>
      </c>
      <c r="K749" t="s">
        <v>38</v>
      </c>
    </row>
    <row r="750" spans="1:11" x14ac:dyDescent="0.45">
      <c r="A750" t="s">
        <v>1104</v>
      </c>
      <c r="B750">
        <v>45565</v>
      </c>
      <c r="C750" t="s">
        <v>2370</v>
      </c>
      <c r="D750" t="s">
        <v>17</v>
      </c>
      <c r="E750">
        <v>1</v>
      </c>
      <c r="F750">
        <v>10</v>
      </c>
      <c r="G750">
        <v>3.17</v>
      </c>
      <c r="H750" t="s">
        <v>565</v>
      </c>
      <c r="I750" t="s">
        <v>1853</v>
      </c>
      <c r="J750" t="s">
        <v>20</v>
      </c>
      <c r="K750" t="s">
        <v>56</v>
      </c>
    </row>
    <row r="751" spans="1:11" x14ac:dyDescent="0.45">
      <c r="A751" t="s">
        <v>1105</v>
      </c>
      <c r="B751">
        <v>45565</v>
      </c>
      <c r="C751" t="s">
        <v>2371</v>
      </c>
      <c r="D751" t="s">
        <v>67</v>
      </c>
      <c r="E751">
        <v>1</v>
      </c>
      <c r="F751">
        <v>12</v>
      </c>
      <c r="G751">
        <v>2.92</v>
      </c>
      <c r="H751" t="s">
        <v>296</v>
      </c>
      <c r="I751" t="s">
        <v>1619</v>
      </c>
      <c r="J751" t="s">
        <v>27</v>
      </c>
      <c r="K751" t="s">
        <v>74</v>
      </c>
    </row>
    <row r="752" spans="1:11" x14ac:dyDescent="0.45">
      <c r="A752" t="s">
        <v>1106</v>
      </c>
      <c r="B752">
        <v>45566</v>
      </c>
      <c r="C752" t="s">
        <v>2372</v>
      </c>
      <c r="D752" t="s">
        <v>17</v>
      </c>
      <c r="E752">
        <v>10</v>
      </c>
      <c r="F752">
        <v>10</v>
      </c>
      <c r="G752">
        <v>2.95</v>
      </c>
      <c r="H752" t="s">
        <v>748</v>
      </c>
      <c r="I752" t="s">
        <v>2026</v>
      </c>
      <c r="J752" t="s">
        <v>20</v>
      </c>
      <c r="K752" t="s">
        <v>43</v>
      </c>
    </row>
    <row r="753" spans="1:11" x14ac:dyDescent="0.45">
      <c r="A753" t="s">
        <v>1107</v>
      </c>
      <c r="B753">
        <v>45566</v>
      </c>
      <c r="C753" t="s">
        <v>2373</v>
      </c>
      <c r="D753" t="s">
        <v>31</v>
      </c>
      <c r="E753">
        <v>10</v>
      </c>
      <c r="F753">
        <v>40</v>
      </c>
      <c r="G753">
        <v>15.92</v>
      </c>
      <c r="H753" t="s">
        <v>156</v>
      </c>
      <c r="I753" t="s">
        <v>1511</v>
      </c>
      <c r="J753" t="s">
        <v>27</v>
      </c>
      <c r="K753" t="s">
        <v>34</v>
      </c>
    </row>
    <row r="754" spans="1:11" x14ac:dyDescent="0.45">
      <c r="A754" t="s">
        <v>1108</v>
      </c>
      <c r="B754">
        <v>45567</v>
      </c>
      <c r="C754" t="s">
        <v>2374</v>
      </c>
      <c r="D754" t="s">
        <v>67</v>
      </c>
      <c r="E754">
        <v>5</v>
      </c>
      <c r="F754">
        <v>12</v>
      </c>
      <c r="G754">
        <v>4.0199999999999996</v>
      </c>
      <c r="H754" t="s">
        <v>58</v>
      </c>
      <c r="I754" t="s">
        <v>1445</v>
      </c>
      <c r="J754" t="s">
        <v>47</v>
      </c>
      <c r="K754" t="s">
        <v>56</v>
      </c>
    </row>
    <row r="755" spans="1:11" x14ac:dyDescent="0.45">
      <c r="A755" t="s">
        <v>1109</v>
      </c>
      <c r="B755">
        <v>45568</v>
      </c>
      <c r="C755" t="s">
        <v>2375</v>
      </c>
      <c r="D755" t="s">
        <v>17</v>
      </c>
      <c r="E755">
        <v>5</v>
      </c>
      <c r="F755">
        <v>10</v>
      </c>
      <c r="G755">
        <v>3.63</v>
      </c>
      <c r="H755" t="s">
        <v>482</v>
      </c>
      <c r="I755" t="s">
        <v>1779</v>
      </c>
      <c r="J755" t="s">
        <v>27</v>
      </c>
      <c r="K755" t="s">
        <v>43</v>
      </c>
    </row>
    <row r="756" spans="1:11" x14ac:dyDescent="0.45">
      <c r="A756" t="s">
        <v>1110</v>
      </c>
      <c r="B756">
        <v>45568</v>
      </c>
      <c r="C756" t="s">
        <v>2376</v>
      </c>
      <c r="D756" t="s">
        <v>31</v>
      </c>
      <c r="E756">
        <v>10</v>
      </c>
      <c r="F756">
        <v>40</v>
      </c>
      <c r="G756">
        <v>9.3800000000000008</v>
      </c>
      <c r="H756" t="s">
        <v>530</v>
      </c>
      <c r="I756" t="s">
        <v>1822</v>
      </c>
      <c r="J756" t="s">
        <v>42</v>
      </c>
      <c r="K756" t="s">
        <v>28</v>
      </c>
    </row>
    <row r="757" spans="1:11" x14ac:dyDescent="0.45">
      <c r="A757" t="s">
        <v>1111</v>
      </c>
      <c r="B757">
        <v>45568</v>
      </c>
      <c r="C757" t="s">
        <v>2377</v>
      </c>
      <c r="D757" t="s">
        <v>50</v>
      </c>
      <c r="E757">
        <v>9</v>
      </c>
      <c r="G757">
        <v>3.13</v>
      </c>
      <c r="H757" t="s">
        <v>160</v>
      </c>
      <c r="I757" t="s">
        <v>1515</v>
      </c>
      <c r="J757" t="s">
        <v>47</v>
      </c>
      <c r="K757" t="s">
        <v>43</v>
      </c>
    </row>
    <row r="758" spans="1:11" x14ac:dyDescent="0.45">
      <c r="A758" t="s">
        <v>1112</v>
      </c>
      <c r="B758">
        <v>45569</v>
      </c>
      <c r="C758" t="s">
        <v>2378</v>
      </c>
      <c r="D758" t="s">
        <v>17</v>
      </c>
      <c r="E758">
        <v>6</v>
      </c>
      <c r="F758">
        <v>10</v>
      </c>
      <c r="G758">
        <v>2.29</v>
      </c>
      <c r="H758" t="s">
        <v>552</v>
      </c>
      <c r="I758" t="s">
        <v>1843</v>
      </c>
      <c r="J758" t="s">
        <v>27</v>
      </c>
      <c r="K758" t="s">
        <v>34</v>
      </c>
    </row>
    <row r="759" spans="1:11" x14ac:dyDescent="0.45">
      <c r="A759" t="s">
        <v>1113</v>
      </c>
      <c r="B759">
        <v>45569</v>
      </c>
      <c r="C759" t="s">
        <v>2379</v>
      </c>
      <c r="D759" t="s">
        <v>50</v>
      </c>
      <c r="E759">
        <v>3</v>
      </c>
      <c r="F759">
        <v>15</v>
      </c>
      <c r="G759">
        <v>5.75</v>
      </c>
      <c r="H759" t="s">
        <v>795</v>
      </c>
      <c r="I759" t="s">
        <v>2070</v>
      </c>
      <c r="J759" t="s">
        <v>27</v>
      </c>
      <c r="K759" t="s">
        <v>134</v>
      </c>
    </row>
    <row r="760" spans="1:11" x14ac:dyDescent="0.45">
      <c r="A760" t="s">
        <v>1114</v>
      </c>
      <c r="B760">
        <v>45569</v>
      </c>
      <c r="C760" t="s">
        <v>2380</v>
      </c>
      <c r="D760" t="s">
        <v>67</v>
      </c>
      <c r="E760">
        <v>1</v>
      </c>
      <c r="F760">
        <v>12</v>
      </c>
      <c r="G760">
        <v>3.85</v>
      </c>
      <c r="H760" t="s">
        <v>171</v>
      </c>
      <c r="I760" t="s">
        <v>1524</v>
      </c>
      <c r="J760" t="s">
        <v>27</v>
      </c>
      <c r="K760" t="s">
        <v>59</v>
      </c>
    </row>
    <row r="761" spans="1:11" x14ac:dyDescent="0.45">
      <c r="A761" t="s">
        <v>1115</v>
      </c>
      <c r="B761">
        <v>45570</v>
      </c>
      <c r="C761" t="s">
        <v>2381</v>
      </c>
      <c r="D761" t="s">
        <v>31</v>
      </c>
      <c r="E761">
        <v>7</v>
      </c>
      <c r="F761">
        <v>40</v>
      </c>
      <c r="G761">
        <v>10.52</v>
      </c>
      <c r="H761" t="s">
        <v>238</v>
      </c>
      <c r="I761" t="s">
        <v>1573</v>
      </c>
      <c r="J761" t="s">
        <v>27</v>
      </c>
      <c r="K761" t="s">
        <v>134</v>
      </c>
    </row>
    <row r="762" spans="1:11" x14ac:dyDescent="0.45">
      <c r="A762" t="s">
        <v>1116</v>
      </c>
      <c r="B762">
        <v>45570</v>
      </c>
      <c r="C762" t="s">
        <v>2382</v>
      </c>
      <c r="D762" t="s">
        <v>17</v>
      </c>
      <c r="E762">
        <v>1</v>
      </c>
      <c r="F762">
        <v>10</v>
      </c>
      <c r="G762">
        <v>3.77</v>
      </c>
      <c r="H762" t="s">
        <v>235</v>
      </c>
      <c r="I762" t="s">
        <v>1571</v>
      </c>
      <c r="J762" t="s">
        <v>27</v>
      </c>
      <c r="K762" t="s">
        <v>28</v>
      </c>
    </row>
    <row r="763" spans="1:11" x14ac:dyDescent="0.45">
      <c r="A763" t="s">
        <v>1117</v>
      </c>
      <c r="B763">
        <v>45571</v>
      </c>
      <c r="C763" t="s">
        <v>2383</v>
      </c>
      <c r="D763" t="s">
        <v>24</v>
      </c>
      <c r="E763">
        <v>8</v>
      </c>
      <c r="F763">
        <v>25</v>
      </c>
      <c r="G763">
        <v>8.85</v>
      </c>
      <c r="H763" t="s">
        <v>691</v>
      </c>
      <c r="I763" t="s">
        <v>1971</v>
      </c>
      <c r="J763" t="s">
        <v>27</v>
      </c>
      <c r="K763" t="s">
        <v>134</v>
      </c>
    </row>
    <row r="764" spans="1:11" x14ac:dyDescent="0.45">
      <c r="A764" t="s">
        <v>1118</v>
      </c>
      <c r="B764">
        <v>45571</v>
      </c>
      <c r="C764" t="s">
        <v>2384</v>
      </c>
      <c r="D764" t="s">
        <v>24</v>
      </c>
      <c r="E764">
        <v>2</v>
      </c>
      <c r="G764">
        <v>8.5399999999999991</v>
      </c>
      <c r="H764" t="s">
        <v>365</v>
      </c>
      <c r="I764" t="s">
        <v>1679</v>
      </c>
      <c r="J764" t="s">
        <v>27</v>
      </c>
      <c r="K764" t="s">
        <v>59</v>
      </c>
    </row>
    <row r="765" spans="1:11" x14ac:dyDescent="0.45">
      <c r="A765" t="s">
        <v>1119</v>
      </c>
      <c r="B765">
        <v>45572</v>
      </c>
      <c r="C765" t="s">
        <v>2385</v>
      </c>
      <c r="D765" t="s">
        <v>50</v>
      </c>
      <c r="E765">
        <v>10</v>
      </c>
      <c r="F765">
        <v>15</v>
      </c>
      <c r="G765">
        <v>4.92</v>
      </c>
      <c r="H765" t="s">
        <v>506</v>
      </c>
      <c r="I765" t="s">
        <v>1801</v>
      </c>
      <c r="J765" t="s">
        <v>27</v>
      </c>
      <c r="K765" t="s">
        <v>70</v>
      </c>
    </row>
    <row r="766" spans="1:11" x14ac:dyDescent="0.45">
      <c r="A766" t="s">
        <v>1120</v>
      </c>
      <c r="B766">
        <v>45573</v>
      </c>
      <c r="C766" t="s">
        <v>2386</v>
      </c>
      <c r="D766" t="s">
        <v>31</v>
      </c>
      <c r="E766">
        <v>8</v>
      </c>
      <c r="F766">
        <v>40</v>
      </c>
      <c r="G766">
        <v>15.87</v>
      </c>
      <c r="H766" t="s">
        <v>150</v>
      </c>
      <c r="I766" t="s">
        <v>1507</v>
      </c>
      <c r="J766" t="s">
        <v>42</v>
      </c>
      <c r="K766" t="s">
        <v>21</v>
      </c>
    </row>
    <row r="767" spans="1:11" x14ac:dyDescent="0.45">
      <c r="A767" t="s">
        <v>1121</v>
      </c>
      <c r="B767">
        <v>45573</v>
      </c>
      <c r="C767" t="s">
        <v>2387</v>
      </c>
      <c r="D767" t="s">
        <v>67</v>
      </c>
      <c r="E767">
        <v>8</v>
      </c>
      <c r="F767">
        <v>12</v>
      </c>
      <c r="G767">
        <v>2.44</v>
      </c>
      <c r="H767" t="s">
        <v>326</v>
      </c>
      <c r="I767" t="s">
        <v>1645</v>
      </c>
      <c r="J767" t="s">
        <v>27</v>
      </c>
      <c r="K767" t="s">
        <v>56</v>
      </c>
    </row>
    <row r="768" spans="1:11" x14ac:dyDescent="0.45">
      <c r="A768" t="s">
        <v>1122</v>
      </c>
      <c r="B768">
        <v>45573</v>
      </c>
      <c r="C768" t="s">
        <v>2388</v>
      </c>
      <c r="D768" t="s">
        <v>50</v>
      </c>
      <c r="E768">
        <v>7</v>
      </c>
      <c r="F768">
        <v>15</v>
      </c>
      <c r="G768">
        <v>3.55</v>
      </c>
      <c r="H768" t="s">
        <v>469</v>
      </c>
      <c r="I768" t="s">
        <v>1770</v>
      </c>
      <c r="J768" t="s">
        <v>27</v>
      </c>
      <c r="K768" t="s">
        <v>38</v>
      </c>
    </row>
    <row r="769" spans="1:11" x14ac:dyDescent="0.45">
      <c r="A769" t="s">
        <v>1123</v>
      </c>
      <c r="B769">
        <v>45573</v>
      </c>
      <c r="C769" t="s">
        <v>2389</v>
      </c>
      <c r="D769" t="s">
        <v>17</v>
      </c>
      <c r="E769">
        <v>1</v>
      </c>
      <c r="F769">
        <v>10</v>
      </c>
      <c r="G769">
        <v>3.51</v>
      </c>
      <c r="H769" t="s">
        <v>795</v>
      </c>
      <c r="I769" t="s">
        <v>2070</v>
      </c>
      <c r="J769" t="s">
        <v>27</v>
      </c>
      <c r="K769" t="s">
        <v>56</v>
      </c>
    </row>
    <row r="770" spans="1:11" x14ac:dyDescent="0.45">
      <c r="A770" t="s">
        <v>1124</v>
      </c>
      <c r="B770">
        <v>45574</v>
      </c>
      <c r="C770" t="s">
        <v>2390</v>
      </c>
      <c r="D770" t="s">
        <v>24</v>
      </c>
      <c r="E770">
        <v>3</v>
      </c>
      <c r="F770">
        <v>25</v>
      </c>
      <c r="G770">
        <v>8.26</v>
      </c>
      <c r="H770" t="s">
        <v>45</v>
      </c>
      <c r="I770" t="s">
        <v>1439</v>
      </c>
      <c r="J770" t="s">
        <v>27</v>
      </c>
      <c r="K770" t="s">
        <v>56</v>
      </c>
    </row>
    <row r="771" spans="1:11" x14ac:dyDescent="0.45">
      <c r="A771" t="s">
        <v>1125</v>
      </c>
      <c r="B771">
        <v>45575</v>
      </c>
      <c r="C771" t="s">
        <v>2391</v>
      </c>
      <c r="D771" t="s">
        <v>24</v>
      </c>
      <c r="E771">
        <v>10</v>
      </c>
      <c r="F771">
        <v>25</v>
      </c>
      <c r="G771">
        <v>7.05</v>
      </c>
      <c r="H771" t="s">
        <v>802</v>
      </c>
      <c r="I771" t="s">
        <v>2077</v>
      </c>
      <c r="J771" t="s">
        <v>20</v>
      </c>
      <c r="K771" t="s">
        <v>21</v>
      </c>
    </row>
    <row r="772" spans="1:11" x14ac:dyDescent="0.45">
      <c r="A772" t="s">
        <v>1126</v>
      </c>
      <c r="B772">
        <v>45575</v>
      </c>
      <c r="C772" t="s">
        <v>2392</v>
      </c>
      <c r="D772" t="s">
        <v>31</v>
      </c>
      <c r="E772">
        <v>4</v>
      </c>
      <c r="G772">
        <v>14.12</v>
      </c>
      <c r="H772" t="s">
        <v>365</v>
      </c>
      <c r="I772" t="s">
        <v>1679</v>
      </c>
      <c r="J772" t="s">
        <v>42</v>
      </c>
      <c r="K772" t="s">
        <v>34</v>
      </c>
    </row>
    <row r="773" spans="1:11" x14ac:dyDescent="0.45">
      <c r="A773" t="s">
        <v>1127</v>
      </c>
      <c r="B773">
        <v>45576</v>
      </c>
      <c r="C773" t="s">
        <v>2393</v>
      </c>
      <c r="D773" t="s">
        <v>31</v>
      </c>
      <c r="E773">
        <v>7</v>
      </c>
      <c r="F773">
        <v>40</v>
      </c>
      <c r="G773">
        <v>10.23</v>
      </c>
      <c r="H773" t="s">
        <v>691</v>
      </c>
      <c r="I773" t="s">
        <v>1971</v>
      </c>
      <c r="J773" t="s">
        <v>27</v>
      </c>
      <c r="K773" t="s">
        <v>34</v>
      </c>
    </row>
    <row r="774" spans="1:11" x14ac:dyDescent="0.45">
      <c r="A774" t="s">
        <v>1128</v>
      </c>
      <c r="B774">
        <v>45576</v>
      </c>
      <c r="C774" t="s">
        <v>2394</v>
      </c>
      <c r="D774" t="s">
        <v>50</v>
      </c>
      <c r="E774">
        <v>5</v>
      </c>
      <c r="F774">
        <v>15</v>
      </c>
      <c r="G774">
        <v>5.01</v>
      </c>
      <c r="H774" t="s">
        <v>136</v>
      </c>
      <c r="I774" t="s">
        <v>1497</v>
      </c>
      <c r="J774" t="s">
        <v>42</v>
      </c>
      <c r="K774" t="s">
        <v>34</v>
      </c>
    </row>
    <row r="775" spans="1:11" x14ac:dyDescent="0.45">
      <c r="A775" t="s">
        <v>1129</v>
      </c>
      <c r="B775">
        <v>45577</v>
      </c>
      <c r="C775" t="s">
        <v>2395</v>
      </c>
      <c r="D775" t="s">
        <v>24</v>
      </c>
      <c r="E775">
        <v>9</v>
      </c>
      <c r="F775">
        <v>25</v>
      </c>
      <c r="G775">
        <v>7.98</v>
      </c>
      <c r="H775" t="s">
        <v>473</v>
      </c>
      <c r="I775" t="s">
        <v>1773</v>
      </c>
      <c r="J775" t="s">
        <v>27</v>
      </c>
      <c r="K775" t="s">
        <v>74</v>
      </c>
    </row>
    <row r="776" spans="1:11" x14ac:dyDescent="0.45">
      <c r="A776" t="s">
        <v>1130</v>
      </c>
      <c r="B776">
        <v>45577</v>
      </c>
      <c r="C776" t="s">
        <v>2396</v>
      </c>
      <c r="D776" t="s">
        <v>31</v>
      </c>
      <c r="E776">
        <v>7</v>
      </c>
      <c r="F776">
        <v>40</v>
      </c>
      <c r="G776">
        <v>14.85</v>
      </c>
      <c r="H776" t="s">
        <v>54</v>
      </c>
      <c r="I776" t="s">
        <v>1443</v>
      </c>
      <c r="J776" t="s">
        <v>42</v>
      </c>
      <c r="K776" t="s">
        <v>28</v>
      </c>
    </row>
    <row r="777" spans="1:11" x14ac:dyDescent="0.45">
      <c r="A777" t="s">
        <v>1131</v>
      </c>
      <c r="B777">
        <v>45577</v>
      </c>
      <c r="C777" t="s">
        <v>2397</v>
      </c>
      <c r="D777" t="s">
        <v>67</v>
      </c>
      <c r="E777">
        <v>7</v>
      </c>
      <c r="F777">
        <v>12</v>
      </c>
      <c r="G777">
        <v>4.57</v>
      </c>
      <c r="H777" t="s">
        <v>259</v>
      </c>
      <c r="I777" t="s">
        <v>1589</v>
      </c>
      <c r="J777" t="s">
        <v>27</v>
      </c>
      <c r="K777" t="s">
        <v>34</v>
      </c>
    </row>
    <row r="778" spans="1:11" x14ac:dyDescent="0.45">
      <c r="A778" t="s">
        <v>1132</v>
      </c>
      <c r="B778">
        <v>45578</v>
      </c>
      <c r="C778" t="s">
        <v>2398</v>
      </c>
      <c r="D778" t="s">
        <v>67</v>
      </c>
      <c r="E778">
        <v>7</v>
      </c>
      <c r="F778">
        <v>12</v>
      </c>
      <c r="G778">
        <v>4.38</v>
      </c>
      <c r="H778" t="s">
        <v>684</v>
      </c>
      <c r="I778" t="s">
        <v>1964</v>
      </c>
      <c r="J778" t="s">
        <v>27</v>
      </c>
      <c r="K778" t="s">
        <v>34</v>
      </c>
    </row>
    <row r="779" spans="1:11" x14ac:dyDescent="0.45">
      <c r="A779" t="s">
        <v>1133</v>
      </c>
      <c r="B779">
        <v>45578</v>
      </c>
      <c r="C779" t="s">
        <v>2399</v>
      </c>
      <c r="D779" t="s">
        <v>50</v>
      </c>
      <c r="E779">
        <v>10</v>
      </c>
      <c r="F779">
        <v>15</v>
      </c>
      <c r="G779">
        <v>3.73</v>
      </c>
      <c r="H779" t="s">
        <v>82</v>
      </c>
      <c r="I779" t="s">
        <v>1459</v>
      </c>
      <c r="J779" t="s">
        <v>47</v>
      </c>
      <c r="K779" t="s">
        <v>59</v>
      </c>
    </row>
    <row r="780" spans="1:11" x14ac:dyDescent="0.45">
      <c r="A780" t="s">
        <v>1134</v>
      </c>
      <c r="B780">
        <v>45578</v>
      </c>
      <c r="C780" t="s">
        <v>2400</v>
      </c>
      <c r="D780" t="s">
        <v>31</v>
      </c>
      <c r="E780">
        <v>6</v>
      </c>
      <c r="F780">
        <v>40</v>
      </c>
      <c r="G780">
        <v>10.78</v>
      </c>
      <c r="H780" t="s">
        <v>332</v>
      </c>
      <c r="I780" t="s">
        <v>1650</v>
      </c>
      <c r="J780" t="s">
        <v>20</v>
      </c>
      <c r="K780" t="s">
        <v>74</v>
      </c>
    </row>
    <row r="781" spans="1:11" x14ac:dyDescent="0.45">
      <c r="A781" t="s">
        <v>1135</v>
      </c>
      <c r="B781">
        <v>45578</v>
      </c>
      <c r="C781" t="s">
        <v>2401</v>
      </c>
      <c r="D781" t="s">
        <v>50</v>
      </c>
      <c r="E781">
        <v>9</v>
      </c>
      <c r="F781">
        <v>15</v>
      </c>
      <c r="G781">
        <v>4.62</v>
      </c>
      <c r="H781" t="s">
        <v>904</v>
      </c>
      <c r="I781" t="s">
        <v>2175</v>
      </c>
      <c r="J781" t="s">
        <v>20</v>
      </c>
      <c r="K781" t="s">
        <v>56</v>
      </c>
    </row>
    <row r="782" spans="1:11" x14ac:dyDescent="0.45">
      <c r="A782" t="s">
        <v>1136</v>
      </c>
      <c r="B782">
        <v>45578</v>
      </c>
      <c r="C782" t="s">
        <v>2402</v>
      </c>
      <c r="D782" t="s">
        <v>31</v>
      </c>
      <c r="E782">
        <v>10</v>
      </c>
      <c r="F782">
        <v>40</v>
      </c>
      <c r="G782">
        <v>10.4</v>
      </c>
      <c r="H782" t="s">
        <v>263</v>
      </c>
      <c r="I782" t="s">
        <v>1592</v>
      </c>
      <c r="J782" t="s">
        <v>47</v>
      </c>
      <c r="K782" t="s">
        <v>38</v>
      </c>
    </row>
    <row r="783" spans="1:11" x14ac:dyDescent="0.45">
      <c r="A783" t="s">
        <v>1137</v>
      </c>
      <c r="B783">
        <v>45579</v>
      </c>
      <c r="C783" t="s">
        <v>2403</v>
      </c>
      <c r="D783" t="s">
        <v>67</v>
      </c>
      <c r="E783">
        <v>6</v>
      </c>
      <c r="F783">
        <v>12</v>
      </c>
      <c r="G783">
        <v>4.6100000000000003</v>
      </c>
      <c r="H783" t="s">
        <v>641</v>
      </c>
      <c r="I783" t="s">
        <v>1926</v>
      </c>
      <c r="J783" t="s">
        <v>27</v>
      </c>
      <c r="K783" t="s">
        <v>59</v>
      </c>
    </row>
    <row r="784" spans="1:11" x14ac:dyDescent="0.45">
      <c r="A784" t="s">
        <v>1138</v>
      </c>
      <c r="B784">
        <v>45580</v>
      </c>
      <c r="C784" t="s">
        <v>2404</v>
      </c>
      <c r="D784" t="s">
        <v>50</v>
      </c>
      <c r="E784">
        <v>5</v>
      </c>
      <c r="F784">
        <v>15</v>
      </c>
      <c r="G784">
        <v>5.78</v>
      </c>
      <c r="H784" t="s">
        <v>228</v>
      </c>
      <c r="I784" t="s">
        <v>1564</v>
      </c>
      <c r="J784" t="s">
        <v>20</v>
      </c>
      <c r="K784" t="s">
        <v>21</v>
      </c>
    </row>
    <row r="785" spans="1:11" x14ac:dyDescent="0.45">
      <c r="A785" t="s">
        <v>1139</v>
      </c>
      <c r="B785">
        <v>45580</v>
      </c>
      <c r="C785" t="s">
        <v>2405</v>
      </c>
      <c r="D785" t="s">
        <v>24</v>
      </c>
      <c r="E785">
        <v>6</v>
      </c>
      <c r="F785">
        <v>25</v>
      </c>
      <c r="G785">
        <v>7.31</v>
      </c>
      <c r="H785" t="s">
        <v>169</v>
      </c>
      <c r="I785" t="s">
        <v>1522</v>
      </c>
      <c r="J785" t="s">
        <v>27</v>
      </c>
      <c r="K785" t="s">
        <v>28</v>
      </c>
    </row>
    <row r="786" spans="1:11" x14ac:dyDescent="0.45">
      <c r="A786" t="s">
        <v>1140</v>
      </c>
      <c r="B786">
        <v>45580</v>
      </c>
      <c r="C786" t="s">
        <v>2406</v>
      </c>
      <c r="D786" t="s">
        <v>24</v>
      </c>
      <c r="E786">
        <v>4</v>
      </c>
      <c r="F786">
        <v>25</v>
      </c>
      <c r="G786">
        <v>5.44</v>
      </c>
      <c r="H786" t="s">
        <v>1141</v>
      </c>
      <c r="I786" t="s">
        <v>2407</v>
      </c>
      <c r="J786" t="s">
        <v>27</v>
      </c>
      <c r="K786" t="s">
        <v>34</v>
      </c>
    </row>
    <row r="787" spans="1:11" x14ac:dyDescent="0.45">
      <c r="A787" t="s">
        <v>1142</v>
      </c>
      <c r="B787">
        <v>45581</v>
      </c>
      <c r="C787" t="s">
        <v>2408</v>
      </c>
      <c r="D787" t="s">
        <v>31</v>
      </c>
      <c r="E787">
        <v>1</v>
      </c>
      <c r="F787">
        <v>40</v>
      </c>
      <c r="G787">
        <v>15.04</v>
      </c>
      <c r="H787" t="s">
        <v>1084</v>
      </c>
      <c r="I787" t="s">
        <v>2350</v>
      </c>
      <c r="J787" t="s">
        <v>20</v>
      </c>
      <c r="K787" t="s">
        <v>38</v>
      </c>
    </row>
    <row r="788" spans="1:11" x14ac:dyDescent="0.45">
      <c r="A788" t="s">
        <v>1143</v>
      </c>
      <c r="B788">
        <v>45581</v>
      </c>
      <c r="C788" t="s">
        <v>2409</v>
      </c>
      <c r="D788" t="s">
        <v>50</v>
      </c>
      <c r="E788">
        <v>9</v>
      </c>
      <c r="F788">
        <v>15</v>
      </c>
      <c r="G788">
        <v>4.9000000000000004</v>
      </c>
      <c r="H788" t="s">
        <v>86</v>
      </c>
      <c r="I788" t="s">
        <v>1462</v>
      </c>
      <c r="J788" t="s">
        <v>20</v>
      </c>
      <c r="K788" t="s">
        <v>74</v>
      </c>
    </row>
    <row r="789" spans="1:11" x14ac:dyDescent="0.45">
      <c r="A789" t="s">
        <v>1144</v>
      </c>
      <c r="B789">
        <v>45581</v>
      </c>
      <c r="C789" t="s">
        <v>2410</v>
      </c>
      <c r="D789" t="s">
        <v>31</v>
      </c>
      <c r="E789">
        <v>6</v>
      </c>
      <c r="F789">
        <v>40</v>
      </c>
      <c r="G789">
        <v>11.76</v>
      </c>
      <c r="H789" t="s">
        <v>530</v>
      </c>
      <c r="I789" t="s">
        <v>1822</v>
      </c>
      <c r="J789" t="s">
        <v>27</v>
      </c>
      <c r="K789" t="s">
        <v>134</v>
      </c>
    </row>
    <row r="790" spans="1:11" x14ac:dyDescent="0.45">
      <c r="A790" t="s">
        <v>1145</v>
      </c>
      <c r="B790">
        <v>45581</v>
      </c>
      <c r="C790" t="s">
        <v>2411</v>
      </c>
      <c r="D790" t="s">
        <v>67</v>
      </c>
      <c r="E790">
        <v>5</v>
      </c>
      <c r="F790">
        <v>12</v>
      </c>
      <c r="G790">
        <v>4.68</v>
      </c>
      <c r="H790" t="s">
        <v>286</v>
      </c>
      <c r="I790" t="s">
        <v>1611</v>
      </c>
      <c r="J790" t="s">
        <v>20</v>
      </c>
      <c r="K790" t="s">
        <v>74</v>
      </c>
    </row>
    <row r="791" spans="1:11" x14ac:dyDescent="0.45">
      <c r="A791" t="s">
        <v>1146</v>
      </c>
      <c r="B791">
        <v>45582</v>
      </c>
      <c r="C791" t="s">
        <v>2412</v>
      </c>
      <c r="D791" t="s">
        <v>50</v>
      </c>
      <c r="E791">
        <v>7</v>
      </c>
      <c r="F791">
        <v>15</v>
      </c>
      <c r="G791">
        <v>4.3899999999999997</v>
      </c>
      <c r="H791" t="s">
        <v>114</v>
      </c>
      <c r="I791" t="s">
        <v>1482</v>
      </c>
      <c r="J791" t="s">
        <v>27</v>
      </c>
      <c r="K791" t="s">
        <v>70</v>
      </c>
    </row>
    <row r="792" spans="1:11" x14ac:dyDescent="0.45">
      <c r="A792" t="s">
        <v>1147</v>
      </c>
      <c r="B792">
        <v>45582</v>
      </c>
      <c r="C792" t="s">
        <v>2413</v>
      </c>
      <c r="D792" t="s">
        <v>67</v>
      </c>
      <c r="E792">
        <v>7</v>
      </c>
      <c r="F792">
        <v>12</v>
      </c>
      <c r="G792">
        <v>4.01</v>
      </c>
      <c r="H792" t="s">
        <v>51</v>
      </c>
      <c r="I792" t="s">
        <v>1441</v>
      </c>
      <c r="J792" t="s">
        <v>27</v>
      </c>
      <c r="K792" t="s">
        <v>34</v>
      </c>
    </row>
    <row r="793" spans="1:11" x14ac:dyDescent="0.45">
      <c r="A793" t="s">
        <v>1148</v>
      </c>
      <c r="B793">
        <v>45582</v>
      </c>
      <c r="C793" t="s">
        <v>2414</v>
      </c>
      <c r="D793" t="s">
        <v>50</v>
      </c>
      <c r="E793">
        <v>6</v>
      </c>
      <c r="F793">
        <v>15</v>
      </c>
      <c r="G793">
        <v>3.88</v>
      </c>
      <c r="H793" t="s">
        <v>502</v>
      </c>
      <c r="I793" t="s">
        <v>1797</v>
      </c>
      <c r="J793" t="s">
        <v>20</v>
      </c>
      <c r="K793" t="s">
        <v>59</v>
      </c>
    </row>
    <row r="794" spans="1:11" x14ac:dyDescent="0.45">
      <c r="A794" t="s">
        <v>1149</v>
      </c>
      <c r="B794">
        <v>45582</v>
      </c>
      <c r="C794" t="s">
        <v>2415</v>
      </c>
      <c r="D794" t="s">
        <v>24</v>
      </c>
      <c r="E794">
        <v>6</v>
      </c>
      <c r="F794">
        <v>25</v>
      </c>
      <c r="G794">
        <v>6.57</v>
      </c>
      <c r="H794" t="s">
        <v>1049</v>
      </c>
      <c r="I794" t="s">
        <v>2315</v>
      </c>
      <c r="J794" t="s">
        <v>20</v>
      </c>
      <c r="K794" t="s">
        <v>56</v>
      </c>
    </row>
    <row r="795" spans="1:11" x14ac:dyDescent="0.45">
      <c r="A795" t="s">
        <v>1150</v>
      </c>
      <c r="B795">
        <v>45582</v>
      </c>
      <c r="C795" t="s">
        <v>2416</v>
      </c>
      <c r="D795" t="s">
        <v>17</v>
      </c>
      <c r="E795">
        <v>7</v>
      </c>
      <c r="F795">
        <v>10</v>
      </c>
      <c r="G795">
        <v>3.92</v>
      </c>
      <c r="H795" t="s">
        <v>434</v>
      </c>
      <c r="I795" t="s">
        <v>1741</v>
      </c>
      <c r="J795" t="s">
        <v>47</v>
      </c>
      <c r="K795" t="s">
        <v>38</v>
      </c>
    </row>
    <row r="796" spans="1:11" x14ac:dyDescent="0.45">
      <c r="A796" t="s">
        <v>1151</v>
      </c>
      <c r="B796">
        <v>45582</v>
      </c>
      <c r="C796" t="s">
        <v>2417</v>
      </c>
      <c r="D796" t="s">
        <v>17</v>
      </c>
      <c r="E796">
        <v>4</v>
      </c>
      <c r="F796">
        <v>10</v>
      </c>
      <c r="G796">
        <v>2.33</v>
      </c>
      <c r="H796" t="s">
        <v>411</v>
      </c>
      <c r="I796" t="s">
        <v>1719</v>
      </c>
      <c r="J796" t="s">
        <v>27</v>
      </c>
      <c r="K796" t="s">
        <v>28</v>
      </c>
    </row>
    <row r="797" spans="1:11" x14ac:dyDescent="0.45">
      <c r="A797" t="s">
        <v>1152</v>
      </c>
      <c r="B797">
        <v>45582</v>
      </c>
      <c r="C797" t="s">
        <v>2418</v>
      </c>
      <c r="D797" t="s">
        <v>17</v>
      </c>
      <c r="E797">
        <v>2</v>
      </c>
      <c r="F797">
        <v>10</v>
      </c>
      <c r="G797">
        <v>3.79</v>
      </c>
      <c r="H797" t="s">
        <v>416</v>
      </c>
      <c r="I797" t="s">
        <v>1724</v>
      </c>
      <c r="J797" t="s">
        <v>27</v>
      </c>
      <c r="K797" t="s">
        <v>134</v>
      </c>
    </row>
    <row r="798" spans="1:11" x14ac:dyDescent="0.45">
      <c r="A798" t="s">
        <v>1153</v>
      </c>
      <c r="B798">
        <v>45583</v>
      </c>
      <c r="C798" t="s">
        <v>2419</v>
      </c>
      <c r="D798" t="s">
        <v>67</v>
      </c>
      <c r="E798">
        <v>4</v>
      </c>
      <c r="F798">
        <v>12</v>
      </c>
      <c r="G798">
        <v>4.72</v>
      </c>
      <c r="H798" t="s">
        <v>248</v>
      </c>
      <c r="I798" t="s">
        <v>1581</v>
      </c>
      <c r="J798" t="s">
        <v>27</v>
      </c>
      <c r="K798" t="s">
        <v>56</v>
      </c>
    </row>
    <row r="799" spans="1:11" x14ac:dyDescent="0.45">
      <c r="A799" t="s">
        <v>1154</v>
      </c>
      <c r="B799">
        <v>45583</v>
      </c>
      <c r="C799" t="s">
        <v>2420</v>
      </c>
      <c r="D799" t="s">
        <v>50</v>
      </c>
      <c r="E799">
        <v>1</v>
      </c>
      <c r="F799">
        <v>15</v>
      </c>
      <c r="G799">
        <v>4.58</v>
      </c>
      <c r="H799" t="s">
        <v>248</v>
      </c>
      <c r="I799" t="s">
        <v>1581</v>
      </c>
      <c r="J799" t="s">
        <v>27</v>
      </c>
      <c r="K799" t="s">
        <v>59</v>
      </c>
    </row>
    <row r="800" spans="1:11" x14ac:dyDescent="0.45">
      <c r="A800" t="s">
        <v>1155</v>
      </c>
      <c r="B800">
        <v>45584</v>
      </c>
      <c r="C800" t="s">
        <v>2421</v>
      </c>
      <c r="D800" t="s">
        <v>24</v>
      </c>
      <c r="E800">
        <v>3</v>
      </c>
      <c r="F800">
        <v>25</v>
      </c>
      <c r="G800">
        <v>8.26</v>
      </c>
      <c r="H800" t="s">
        <v>282</v>
      </c>
      <c r="I800" t="s">
        <v>1608</v>
      </c>
      <c r="J800" t="s">
        <v>27</v>
      </c>
      <c r="K800" t="s">
        <v>134</v>
      </c>
    </row>
    <row r="801" spans="1:11" x14ac:dyDescent="0.45">
      <c r="A801" t="s">
        <v>1156</v>
      </c>
      <c r="B801">
        <v>45584</v>
      </c>
      <c r="C801" t="s">
        <v>2422</v>
      </c>
      <c r="D801" t="s">
        <v>50</v>
      </c>
      <c r="E801">
        <v>9</v>
      </c>
      <c r="G801">
        <v>4.99</v>
      </c>
      <c r="H801" t="s">
        <v>773</v>
      </c>
      <c r="I801" t="s">
        <v>2049</v>
      </c>
      <c r="J801" t="s">
        <v>27</v>
      </c>
      <c r="K801" t="s">
        <v>134</v>
      </c>
    </row>
    <row r="802" spans="1:11" x14ac:dyDescent="0.45">
      <c r="A802" t="s">
        <v>1157</v>
      </c>
      <c r="B802">
        <v>45584</v>
      </c>
      <c r="C802" t="s">
        <v>2423</v>
      </c>
      <c r="D802" t="s">
        <v>67</v>
      </c>
      <c r="E802">
        <v>9</v>
      </c>
      <c r="F802">
        <v>12</v>
      </c>
      <c r="G802">
        <v>4.3499999999999996</v>
      </c>
      <c r="H802" t="s">
        <v>224</v>
      </c>
      <c r="I802" t="s">
        <v>1561</v>
      </c>
      <c r="J802" t="s">
        <v>27</v>
      </c>
      <c r="K802" t="s">
        <v>43</v>
      </c>
    </row>
    <row r="803" spans="1:11" x14ac:dyDescent="0.45">
      <c r="A803" t="s">
        <v>1158</v>
      </c>
      <c r="B803">
        <v>45584</v>
      </c>
      <c r="C803" t="s">
        <v>2424</v>
      </c>
      <c r="D803" t="s">
        <v>31</v>
      </c>
      <c r="E803">
        <v>1</v>
      </c>
      <c r="F803">
        <v>40</v>
      </c>
      <c r="G803">
        <v>13.06</v>
      </c>
      <c r="H803" t="s">
        <v>598</v>
      </c>
      <c r="I803" t="s">
        <v>1884</v>
      </c>
      <c r="J803" t="s">
        <v>27</v>
      </c>
      <c r="K803" t="s">
        <v>38</v>
      </c>
    </row>
    <row r="804" spans="1:11" x14ac:dyDescent="0.45">
      <c r="A804" t="s">
        <v>1159</v>
      </c>
      <c r="B804">
        <v>45584</v>
      </c>
      <c r="C804" t="s">
        <v>2425</v>
      </c>
      <c r="D804" t="s">
        <v>50</v>
      </c>
      <c r="E804">
        <v>10</v>
      </c>
      <c r="F804">
        <v>15</v>
      </c>
      <c r="G804">
        <v>5.31</v>
      </c>
      <c r="H804" t="s">
        <v>1160</v>
      </c>
      <c r="I804" t="s">
        <v>2426</v>
      </c>
      <c r="J804" t="s">
        <v>20</v>
      </c>
      <c r="K804" t="s">
        <v>134</v>
      </c>
    </row>
    <row r="805" spans="1:11" x14ac:dyDescent="0.45">
      <c r="A805" t="s">
        <v>1161</v>
      </c>
      <c r="B805">
        <v>45584</v>
      </c>
      <c r="C805" t="s">
        <v>2427</v>
      </c>
      <c r="D805" t="s">
        <v>50</v>
      </c>
      <c r="E805">
        <v>5</v>
      </c>
      <c r="F805">
        <v>15</v>
      </c>
      <c r="G805">
        <v>4.21</v>
      </c>
      <c r="H805" t="s">
        <v>479</v>
      </c>
      <c r="I805" t="s">
        <v>1777</v>
      </c>
      <c r="J805" t="s">
        <v>27</v>
      </c>
      <c r="K805" t="s">
        <v>43</v>
      </c>
    </row>
    <row r="806" spans="1:11" x14ac:dyDescent="0.45">
      <c r="A806" t="s">
        <v>1162</v>
      </c>
      <c r="B806">
        <v>45584</v>
      </c>
      <c r="C806" t="s">
        <v>2428</v>
      </c>
      <c r="D806" t="s">
        <v>17</v>
      </c>
      <c r="E806">
        <v>6</v>
      </c>
      <c r="F806">
        <v>10</v>
      </c>
      <c r="G806">
        <v>2.83</v>
      </c>
      <c r="H806" t="s">
        <v>361</v>
      </c>
      <c r="I806" t="s">
        <v>1675</v>
      </c>
      <c r="J806" t="s">
        <v>27</v>
      </c>
      <c r="K806" t="s">
        <v>21</v>
      </c>
    </row>
    <row r="807" spans="1:11" x14ac:dyDescent="0.45">
      <c r="A807" t="s">
        <v>1163</v>
      </c>
      <c r="B807">
        <v>45585</v>
      </c>
      <c r="C807" t="s">
        <v>2429</v>
      </c>
      <c r="D807" t="s">
        <v>24</v>
      </c>
      <c r="E807">
        <v>2</v>
      </c>
      <c r="F807">
        <v>25</v>
      </c>
      <c r="G807">
        <v>6.21</v>
      </c>
      <c r="H807" t="s">
        <v>703</v>
      </c>
      <c r="I807" t="s">
        <v>1982</v>
      </c>
      <c r="J807" t="s">
        <v>27</v>
      </c>
      <c r="K807" t="s">
        <v>21</v>
      </c>
    </row>
    <row r="808" spans="1:11" x14ac:dyDescent="0.45">
      <c r="A808" t="s">
        <v>1164</v>
      </c>
      <c r="B808">
        <v>45585</v>
      </c>
      <c r="C808" t="s">
        <v>2430</v>
      </c>
      <c r="D808" t="s">
        <v>50</v>
      </c>
      <c r="E808">
        <v>4</v>
      </c>
      <c r="G808">
        <v>5.58</v>
      </c>
      <c r="H808" t="s">
        <v>318</v>
      </c>
      <c r="I808" t="s">
        <v>1639</v>
      </c>
      <c r="J808" t="s">
        <v>27</v>
      </c>
      <c r="K808" t="s">
        <v>43</v>
      </c>
    </row>
    <row r="809" spans="1:11" x14ac:dyDescent="0.45">
      <c r="A809" t="s">
        <v>1165</v>
      </c>
      <c r="B809">
        <v>45586</v>
      </c>
      <c r="C809" t="s">
        <v>2431</v>
      </c>
      <c r="D809" t="s">
        <v>31</v>
      </c>
      <c r="E809">
        <v>4</v>
      </c>
      <c r="F809">
        <v>40</v>
      </c>
      <c r="G809">
        <v>8.16</v>
      </c>
      <c r="H809" t="s">
        <v>1166</v>
      </c>
      <c r="I809" t="s">
        <v>2432</v>
      </c>
      <c r="J809" t="s">
        <v>47</v>
      </c>
      <c r="K809" t="s">
        <v>28</v>
      </c>
    </row>
    <row r="810" spans="1:11" x14ac:dyDescent="0.45">
      <c r="A810" t="s">
        <v>1168</v>
      </c>
      <c r="B810">
        <v>45586</v>
      </c>
      <c r="C810" t="s">
        <v>2433</v>
      </c>
      <c r="D810" t="s">
        <v>50</v>
      </c>
      <c r="E810">
        <v>7</v>
      </c>
      <c r="F810">
        <v>15</v>
      </c>
      <c r="G810">
        <v>4.8899999999999997</v>
      </c>
      <c r="H810" t="s">
        <v>1049</v>
      </c>
      <c r="I810" t="s">
        <v>2315</v>
      </c>
      <c r="J810" t="s">
        <v>27</v>
      </c>
      <c r="K810" t="s">
        <v>74</v>
      </c>
    </row>
    <row r="811" spans="1:11" x14ac:dyDescent="0.45">
      <c r="A811" t="s">
        <v>1169</v>
      </c>
      <c r="B811">
        <v>45586</v>
      </c>
      <c r="C811" t="s">
        <v>2434</v>
      </c>
      <c r="D811" t="s">
        <v>31</v>
      </c>
      <c r="E811">
        <v>5</v>
      </c>
      <c r="F811">
        <v>40</v>
      </c>
      <c r="G811">
        <v>13.34</v>
      </c>
      <c r="H811" t="s">
        <v>524</v>
      </c>
      <c r="I811" t="s">
        <v>1817</v>
      </c>
      <c r="J811" t="s">
        <v>27</v>
      </c>
      <c r="K811" t="s">
        <v>28</v>
      </c>
    </row>
    <row r="812" spans="1:11" x14ac:dyDescent="0.45">
      <c r="A812" t="s">
        <v>1170</v>
      </c>
      <c r="B812">
        <v>45586</v>
      </c>
      <c r="C812" t="s">
        <v>2435</v>
      </c>
      <c r="D812" t="s">
        <v>31</v>
      </c>
      <c r="E812">
        <v>8</v>
      </c>
      <c r="F812">
        <v>40</v>
      </c>
      <c r="G812">
        <v>14.63</v>
      </c>
      <c r="H812" t="s">
        <v>238</v>
      </c>
      <c r="I812" t="s">
        <v>1573</v>
      </c>
      <c r="J812" t="s">
        <v>27</v>
      </c>
      <c r="K812" t="s">
        <v>38</v>
      </c>
    </row>
    <row r="813" spans="1:11" x14ac:dyDescent="0.45">
      <c r="A813" t="s">
        <v>1171</v>
      </c>
      <c r="B813">
        <v>45586</v>
      </c>
      <c r="C813" t="s">
        <v>2436</v>
      </c>
      <c r="D813" t="s">
        <v>31</v>
      </c>
      <c r="E813">
        <v>2</v>
      </c>
      <c r="F813">
        <v>40</v>
      </c>
      <c r="G813">
        <v>12.12</v>
      </c>
      <c r="H813" t="s">
        <v>153</v>
      </c>
      <c r="I813" t="s">
        <v>1509</v>
      </c>
      <c r="J813" t="s">
        <v>27</v>
      </c>
      <c r="K813" t="s">
        <v>134</v>
      </c>
    </row>
    <row r="814" spans="1:11" x14ac:dyDescent="0.45">
      <c r="A814" t="s">
        <v>1172</v>
      </c>
      <c r="B814">
        <v>45587</v>
      </c>
      <c r="C814" t="s">
        <v>2437</v>
      </c>
      <c r="D814" t="s">
        <v>17</v>
      </c>
      <c r="E814">
        <v>8</v>
      </c>
      <c r="G814">
        <v>3.74</v>
      </c>
      <c r="H814" t="s">
        <v>296</v>
      </c>
      <c r="I814" t="s">
        <v>1619</v>
      </c>
      <c r="J814" t="s">
        <v>27</v>
      </c>
      <c r="K814" t="s">
        <v>43</v>
      </c>
    </row>
    <row r="815" spans="1:11" x14ac:dyDescent="0.45">
      <c r="A815" t="s">
        <v>1173</v>
      </c>
      <c r="B815">
        <v>45588</v>
      </c>
      <c r="C815" t="s">
        <v>2438</v>
      </c>
      <c r="D815" t="s">
        <v>31</v>
      </c>
      <c r="E815">
        <v>9</v>
      </c>
      <c r="F815">
        <v>40</v>
      </c>
      <c r="G815">
        <v>9.27</v>
      </c>
      <c r="H815" t="s">
        <v>194</v>
      </c>
      <c r="I815" t="s">
        <v>1540</v>
      </c>
      <c r="J815" t="s">
        <v>42</v>
      </c>
      <c r="K815" t="s">
        <v>56</v>
      </c>
    </row>
    <row r="816" spans="1:11" x14ac:dyDescent="0.45">
      <c r="A816" t="s">
        <v>1174</v>
      </c>
      <c r="B816">
        <v>45588</v>
      </c>
      <c r="C816" t="s">
        <v>2439</v>
      </c>
      <c r="D816" t="s">
        <v>67</v>
      </c>
      <c r="E816">
        <v>3</v>
      </c>
      <c r="F816">
        <v>12</v>
      </c>
      <c r="G816">
        <v>4.5999999999999996</v>
      </c>
      <c r="H816" t="s">
        <v>245</v>
      </c>
      <c r="I816" t="s">
        <v>1578</v>
      </c>
      <c r="J816" t="s">
        <v>27</v>
      </c>
      <c r="K816" t="s">
        <v>38</v>
      </c>
    </row>
    <row r="817" spans="1:11" x14ac:dyDescent="0.45">
      <c r="A817" t="s">
        <v>1175</v>
      </c>
      <c r="B817">
        <v>45588</v>
      </c>
      <c r="C817" t="s">
        <v>2440</v>
      </c>
      <c r="D817" t="s">
        <v>67</v>
      </c>
      <c r="E817">
        <v>2</v>
      </c>
      <c r="F817">
        <v>12</v>
      </c>
      <c r="G817">
        <v>2.86</v>
      </c>
      <c r="H817" t="s">
        <v>245</v>
      </c>
      <c r="I817" t="s">
        <v>1578</v>
      </c>
      <c r="J817" t="s">
        <v>27</v>
      </c>
      <c r="K817" t="s">
        <v>59</v>
      </c>
    </row>
    <row r="818" spans="1:11" x14ac:dyDescent="0.45">
      <c r="A818" t="s">
        <v>1176</v>
      </c>
      <c r="B818">
        <v>45588</v>
      </c>
      <c r="C818" t="s">
        <v>2441</v>
      </c>
      <c r="D818" t="s">
        <v>17</v>
      </c>
      <c r="E818">
        <v>10</v>
      </c>
      <c r="G818">
        <v>3.01</v>
      </c>
      <c r="H818" t="s">
        <v>68</v>
      </c>
      <c r="I818" t="s">
        <v>1451</v>
      </c>
      <c r="J818" t="s">
        <v>27</v>
      </c>
      <c r="K818" t="s">
        <v>70</v>
      </c>
    </row>
    <row r="819" spans="1:11" x14ac:dyDescent="0.45">
      <c r="A819" t="s">
        <v>1177</v>
      </c>
      <c r="B819">
        <v>45588</v>
      </c>
      <c r="C819" t="s">
        <v>2442</v>
      </c>
      <c r="D819" t="s">
        <v>24</v>
      </c>
      <c r="E819">
        <v>4</v>
      </c>
      <c r="F819">
        <v>25</v>
      </c>
      <c r="G819">
        <v>5.63</v>
      </c>
      <c r="H819" t="s">
        <v>300</v>
      </c>
      <c r="I819" t="s">
        <v>1623</v>
      </c>
      <c r="J819" t="s">
        <v>20</v>
      </c>
      <c r="K819" t="s">
        <v>70</v>
      </c>
    </row>
    <row r="820" spans="1:11" x14ac:dyDescent="0.45">
      <c r="A820" t="s">
        <v>1178</v>
      </c>
      <c r="B820">
        <v>45589</v>
      </c>
      <c r="C820" t="s">
        <v>2443</v>
      </c>
      <c r="D820" t="s">
        <v>67</v>
      </c>
      <c r="E820">
        <v>2</v>
      </c>
      <c r="F820">
        <v>12</v>
      </c>
      <c r="G820">
        <v>2.46</v>
      </c>
      <c r="H820" t="s">
        <v>132</v>
      </c>
      <c r="I820" t="s">
        <v>1495</v>
      </c>
      <c r="J820" t="s">
        <v>27</v>
      </c>
      <c r="K820" t="s">
        <v>28</v>
      </c>
    </row>
    <row r="821" spans="1:11" x14ac:dyDescent="0.45">
      <c r="A821" t="s">
        <v>1179</v>
      </c>
      <c r="B821">
        <v>45589</v>
      </c>
      <c r="C821" t="s">
        <v>2444</v>
      </c>
      <c r="D821" t="s">
        <v>17</v>
      </c>
      <c r="E821">
        <v>10</v>
      </c>
      <c r="F821">
        <v>10</v>
      </c>
      <c r="G821">
        <v>3.42</v>
      </c>
      <c r="H821" t="s">
        <v>561</v>
      </c>
      <c r="I821" t="s">
        <v>1850</v>
      </c>
      <c r="J821" t="s">
        <v>27</v>
      </c>
      <c r="K821" t="s">
        <v>28</v>
      </c>
    </row>
    <row r="822" spans="1:11" x14ac:dyDescent="0.45">
      <c r="A822" t="s">
        <v>1180</v>
      </c>
      <c r="B822">
        <v>45590</v>
      </c>
      <c r="C822" t="s">
        <v>2445</v>
      </c>
      <c r="D822" t="s">
        <v>17</v>
      </c>
      <c r="E822">
        <v>1</v>
      </c>
      <c r="F822">
        <v>10</v>
      </c>
      <c r="G822">
        <v>3.95</v>
      </c>
      <c r="H822" t="s">
        <v>420</v>
      </c>
      <c r="I822" t="s">
        <v>1728</v>
      </c>
      <c r="J822" t="s">
        <v>20</v>
      </c>
      <c r="K822" t="s">
        <v>43</v>
      </c>
    </row>
    <row r="823" spans="1:11" x14ac:dyDescent="0.45">
      <c r="A823" t="s">
        <v>1181</v>
      </c>
      <c r="B823">
        <v>45590</v>
      </c>
      <c r="C823" t="s">
        <v>2446</v>
      </c>
      <c r="D823" t="s">
        <v>24</v>
      </c>
      <c r="E823">
        <v>9</v>
      </c>
      <c r="F823">
        <v>25</v>
      </c>
      <c r="G823">
        <v>9.23</v>
      </c>
      <c r="H823" t="s">
        <v>397</v>
      </c>
      <c r="I823" t="s">
        <v>1706</v>
      </c>
      <c r="J823" t="s">
        <v>27</v>
      </c>
      <c r="K823" t="s">
        <v>38</v>
      </c>
    </row>
    <row r="824" spans="1:11" x14ac:dyDescent="0.45">
      <c r="A824" t="s">
        <v>1182</v>
      </c>
      <c r="B824">
        <v>45591</v>
      </c>
      <c r="C824" t="s">
        <v>2447</v>
      </c>
      <c r="D824" t="s">
        <v>31</v>
      </c>
      <c r="E824">
        <v>2</v>
      </c>
      <c r="F824">
        <v>40</v>
      </c>
      <c r="G824">
        <v>11.27</v>
      </c>
      <c r="H824" t="s">
        <v>344</v>
      </c>
      <c r="I824" t="s">
        <v>1661</v>
      </c>
      <c r="J824" t="s">
        <v>27</v>
      </c>
      <c r="K824" t="s">
        <v>59</v>
      </c>
    </row>
    <row r="825" spans="1:11" x14ac:dyDescent="0.45">
      <c r="A825" t="s">
        <v>1183</v>
      </c>
      <c r="B825">
        <v>45591</v>
      </c>
      <c r="C825" t="s">
        <v>2448</v>
      </c>
      <c r="D825" t="s">
        <v>31</v>
      </c>
      <c r="E825">
        <v>4</v>
      </c>
      <c r="F825">
        <v>40</v>
      </c>
      <c r="G825">
        <v>9.61</v>
      </c>
      <c r="H825" t="s">
        <v>279</v>
      </c>
      <c r="I825" t="s">
        <v>1606</v>
      </c>
      <c r="J825" t="s">
        <v>27</v>
      </c>
      <c r="K825" t="s">
        <v>74</v>
      </c>
    </row>
    <row r="826" spans="1:11" x14ac:dyDescent="0.45">
      <c r="A826" t="s">
        <v>1184</v>
      </c>
      <c r="B826">
        <v>45591</v>
      </c>
      <c r="C826" t="s">
        <v>2449</v>
      </c>
      <c r="D826" t="s">
        <v>24</v>
      </c>
      <c r="E826">
        <v>6</v>
      </c>
      <c r="F826">
        <v>25</v>
      </c>
      <c r="G826">
        <v>9.08</v>
      </c>
      <c r="H826" t="s">
        <v>625</v>
      </c>
      <c r="I826" t="s">
        <v>1911</v>
      </c>
      <c r="J826" t="s">
        <v>27</v>
      </c>
      <c r="K826" t="s">
        <v>43</v>
      </c>
    </row>
    <row r="827" spans="1:11" x14ac:dyDescent="0.45">
      <c r="A827" t="s">
        <v>1185</v>
      </c>
      <c r="B827">
        <v>45592</v>
      </c>
      <c r="C827" t="s">
        <v>2450</v>
      </c>
      <c r="D827" t="s">
        <v>17</v>
      </c>
      <c r="E827">
        <v>10</v>
      </c>
      <c r="F827">
        <v>10</v>
      </c>
      <c r="G827">
        <v>3.48</v>
      </c>
      <c r="H827" t="s">
        <v>99</v>
      </c>
      <c r="I827" t="s">
        <v>1471</v>
      </c>
      <c r="J827" t="s">
        <v>27</v>
      </c>
      <c r="K827" t="s">
        <v>56</v>
      </c>
    </row>
    <row r="828" spans="1:11" x14ac:dyDescent="0.45">
      <c r="A828" t="s">
        <v>1186</v>
      </c>
      <c r="B828">
        <v>45592</v>
      </c>
      <c r="C828" t="s">
        <v>2451</v>
      </c>
      <c r="D828" t="s">
        <v>24</v>
      </c>
      <c r="E828">
        <v>1</v>
      </c>
      <c r="F828">
        <v>25</v>
      </c>
      <c r="G828">
        <v>6.8</v>
      </c>
      <c r="H828" t="s">
        <v>469</v>
      </c>
      <c r="I828" t="s">
        <v>1770</v>
      </c>
      <c r="J828" t="s">
        <v>27</v>
      </c>
      <c r="K828" t="s">
        <v>74</v>
      </c>
    </row>
    <row r="829" spans="1:11" x14ac:dyDescent="0.45">
      <c r="A829" t="s">
        <v>1187</v>
      </c>
      <c r="B829">
        <v>45592</v>
      </c>
      <c r="C829" t="s">
        <v>2452</v>
      </c>
      <c r="D829" t="s">
        <v>24</v>
      </c>
      <c r="E829">
        <v>10</v>
      </c>
      <c r="F829">
        <v>25</v>
      </c>
      <c r="G829">
        <v>8.74</v>
      </c>
      <c r="H829" t="s">
        <v>402</v>
      </c>
      <c r="I829" t="s">
        <v>1711</v>
      </c>
      <c r="J829" t="s">
        <v>27</v>
      </c>
      <c r="K829" t="s">
        <v>43</v>
      </c>
    </row>
    <row r="830" spans="1:11" x14ac:dyDescent="0.45">
      <c r="A830" t="s">
        <v>1188</v>
      </c>
      <c r="B830">
        <v>45592</v>
      </c>
      <c r="C830" t="s">
        <v>2453</v>
      </c>
      <c r="D830" t="s">
        <v>50</v>
      </c>
      <c r="E830">
        <v>8</v>
      </c>
      <c r="F830">
        <v>15</v>
      </c>
      <c r="G830">
        <v>5.93</v>
      </c>
      <c r="H830" t="s">
        <v>428</v>
      </c>
      <c r="I830" t="s">
        <v>1736</v>
      </c>
      <c r="J830" t="s">
        <v>20</v>
      </c>
      <c r="K830" t="s">
        <v>134</v>
      </c>
    </row>
    <row r="831" spans="1:11" x14ac:dyDescent="0.45">
      <c r="A831" t="s">
        <v>1189</v>
      </c>
      <c r="B831">
        <v>45592</v>
      </c>
      <c r="C831" t="s">
        <v>2454</v>
      </c>
      <c r="D831" t="s">
        <v>31</v>
      </c>
      <c r="E831">
        <v>2</v>
      </c>
      <c r="F831">
        <v>40</v>
      </c>
      <c r="G831">
        <v>11.4</v>
      </c>
      <c r="H831" t="s">
        <v>858</v>
      </c>
      <c r="I831" t="s">
        <v>2131</v>
      </c>
      <c r="J831" t="s">
        <v>27</v>
      </c>
      <c r="K831" t="s">
        <v>134</v>
      </c>
    </row>
    <row r="832" spans="1:11" x14ac:dyDescent="0.45">
      <c r="A832" t="s">
        <v>1190</v>
      </c>
      <c r="B832">
        <v>45593</v>
      </c>
      <c r="C832" t="s">
        <v>2455</v>
      </c>
      <c r="D832" t="s">
        <v>50</v>
      </c>
      <c r="E832">
        <v>10</v>
      </c>
      <c r="F832">
        <v>15</v>
      </c>
      <c r="G832">
        <v>3.2</v>
      </c>
      <c r="H832" t="s">
        <v>1071</v>
      </c>
      <c r="I832" t="s">
        <v>2337</v>
      </c>
      <c r="J832" t="s">
        <v>27</v>
      </c>
      <c r="K832" t="s">
        <v>38</v>
      </c>
    </row>
    <row r="833" spans="1:11" x14ac:dyDescent="0.45">
      <c r="A833" t="s">
        <v>1191</v>
      </c>
      <c r="B833">
        <v>45593</v>
      </c>
      <c r="C833" t="s">
        <v>2456</v>
      </c>
      <c r="D833" t="s">
        <v>17</v>
      </c>
      <c r="E833">
        <v>7</v>
      </c>
      <c r="F833">
        <v>10</v>
      </c>
      <c r="G833">
        <v>3.47</v>
      </c>
      <c r="H833" t="s">
        <v>530</v>
      </c>
      <c r="I833" t="s">
        <v>1822</v>
      </c>
      <c r="J833" t="s">
        <v>27</v>
      </c>
      <c r="K833" t="s">
        <v>28</v>
      </c>
    </row>
    <row r="834" spans="1:11" x14ac:dyDescent="0.45">
      <c r="A834" t="s">
        <v>1192</v>
      </c>
      <c r="B834">
        <v>45593</v>
      </c>
      <c r="C834" t="s">
        <v>2457</v>
      </c>
      <c r="D834" t="s">
        <v>31</v>
      </c>
      <c r="E834">
        <v>3</v>
      </c>
      <c r="F834">
        <v>40</v>
      </c>
      <c r="G834">
        <v>8.8800000000000008</v>
      </c>
      <c r="H834" t="s">
        <v>1071</v>
      </c>
      <c r="I834" t="s">
        <v>2337</v>
      </c>
      <c r="J834" t="s">
        <v>20</v>
      </c>
      <c r="K834" t="s">
        <v>43</v>
      </c>
    </row>
    <row r="835" spans="1:11" x14ac:dyDescent="0.45">
      <c r="A835" t="s">
        <v>1193</v>
      </c>
      <c r="B835">
        <v>45593</v>
      </c>
      <c r="C835" t="s">
        <v>2458</v>
      </c>
      <c r="D835" t="s">
        <v>50</v>
      </c>
      <c r="E835">
        <v>10</v>
      </c>
      <c r="F835">
        <v>15</v>
      </c>
      <c r="G835">
        <v>4.0999999999999996</v>
      </c>
      <c r="H835" t="s">
        <v>763</v>
      </c>
      <c r="I835" t="s">
        <v>2040</v>
      </c>
      <c r="J835" t="s">
        <v>42</v>
      </c>
      <c r="K835" t="s">
        <v>21</v>
      </c>
    </row>
    <row r="836" spans="1:11" x14ac:dyDescent="0.45">
      <c r="A836" t="s">
        <v>1194</v>
      </c>
      <c r="B836">
        <v>45594</v>
      </c>
      <c r="C836" t="s">
        <v>2459</v>
      </c>
      <c r="D836" t="s">
        <v>24</v>
      </c>
      <c r="E836">
        <v>5</v>
      </c>
      <c r="F836">
        <v>25</v>
      </c>
      <c r="G836">
        <v>9.99</v>
      </c>
      <c r="H836" t="s">
        <v>558</v>
      </c>
      <c r="I836" t="s">
        <v>1848</v>
      </c>
      <c r="J836" t="s">
        <v>27</v>
      </c>
      <c r="K836" t="s">
        <v>59</v>
      </c>
    </row>
    <row r="837" spans="1:11" x14ac:dyDescent="0.45">
      <c r="A837" t="s">
        <v>1195</v>
      </c>
      <c r="B837">
        <v>45594</v>
      </c>
      <c r="C837" t="s">
        <v>2460</v>
      </c>
      <c r="D837" t="s">
        <v>50</v>
      </c>
      <c r="E837">
        <v>7</v>
      </c>
      <c r="F837">
        <v>15</v>
      </c>
      <c r="G837">
        <v>5.7</v>
      </c>
      <c r="H837" t="s">
        <v>158</v>
      </c>
      <c r="I837" t="s">
        <v>1513</v>
      </c>
      <c r="J837" t="s">
        <v>47</v>
      </c>
      <c r="K837" t="s">
        <v>74</v>
      </c>
    </row>
    <row r="838" spans="1:11" x14ac:dyDescent="0.45">
      <c r="A838" t="s">
        <v>1196</v>
      </c>
      <c r="B838">
        <v>45594</v>
      </c>
      <c r="C838" t="s">
        <v>2461</v>
      </c>
      <c r="D838" t="s">
        <v>67</v>
      </c>
      <c r="E838">
        <v>2</v>
      </c>
      <c r="F838">
        <v>12</v>
      </c>
      <c r="G838">
        <v>3.58</v>
      </c>
      <c r="H838" t="s">
        <v>92</v>
      </c>
      <c r="I838" t="s">
        <v>1466</v>
      </c>
      <c r="J838" t="s">
        <v>27</v>
      </c>
      <c r="K838" t="s">
        <v>21</v>
      </c>
    </row>
    <row r="839" spans="1:11" x14ac:dyDescent="0.45">
      <c r="A839" t="s">
        <v>1197</v>
      </c>
      <c r="B839">
        <v>45594</v>
      </c>
      <c r="C839" t="s">
        <v>2462</v>
      </c>
      <c r="D839" t="s">
        <v>50</v>
      </c>
      <c r="E839">
        <v>5</v>
      </c>
      <c r="F839">
        <v>15</v>
      </c>
      <c r="G839">
        <v>4.07</v>
      </c>
      <c r="H839" t="s">
        <v>197</v>
      </c>
      <c r="I839" t="s">
        <v>1542</v>
      </c>
      <c r="J839" t="s">
        <v>27</v>
      </c>
      <c r="K839" t="s">
        <v>21</v>
      </c>
    </row>
    <row r="840" spans="1:11" x14ac:dyDescent="0.45">
      <c r="A840" t="s">
        <v>1198</v>
      </c>
      <c r="B840">
        <v>45594</v>
      </c>
      <c r="C840" t="s">
        <v>2463</v>
      </c>
      <c r="D840" t="s">
        <v>24</v>
      </c>
      <c r="E840">
        <v>10</v>
      </c>
      <c r="F840">
        <v>25</v>
      </c>
      <c r="G840">
        <v>9.42</v>
      </c>
      <c r="H840" t="s">
        <v>36</v>
      </c>
      <c r="I840" t="s">
        <v>1435</v>
      </c>
      <c r="J840" t="s">
        <v>27</v>
      </c>
      <c r="K840" t="s">
        <v>38</v>
      </c>
    </row>
    <row r="841" spans="1:11" x14ac:dyDescent="0.45">
      <c r="A841" t="s">
        <v>1199</v>
      </c>
      <c r="B841">
        <v>45596</v>
      </c>
      <c r="C841" t="s">
        <v>2464</v>
      </c>
      <c r="D841" t="s">
        <v>31</v>
      </c>
      <c r="E841">
        <v>1</v>
      </c>
      <c r="F841">
        <v>40</v>
      </c>
      <c r="G841">
        <v>13.18</v>
      </c>
      <c r="H841" t="s">
        <v>164</v>
      </c>
      <c r="I841" t="s">
        <v>1518</v>
      </c>
      <c r="J841" t="s">
        <v>20</v>
      </c>
      <c r="K841" t="s">
        <v>34</v>
      </c>
    </row>
    <row r="842" spans="1:11" x14ac:dyDescent="0.45">
      <c r="A842" t="s">
        <v>1200</v>
      </c>
      <c r="B842">
        <v>45596</v>
      </c>
      <c r="C842" t="s">
        <v>2465</v>
      </c>
      <c r="D842" t="s">
        <v>24</v>
      </c>
      <c r="E842">
        <v>2</v>
      </c>
      <c r="F842">
        <v>25</v>
      </c>
      <c r="G842">
        <v>7.53</v>
      </c>
      <c r="H842" t="s">
        <v>156</v>
      </c>
      <c r="I842" t="s">
        <v>1511</v>
      </c>
      <c r="J842" t="s">
        <v>27</v>
      </c>
      <c r="K842" t="s">
        <v>43</v>
      </c>
    </row>
    <row r="843" spans="1:11" x14ac:dyDescent="0.45">
      <c r="A843" t="s">
        <v>1201</v>
      </c>
      <c r="B843">
        <v>45596</v>
      </c>
      <c r="C843" t="s">
        <v>2466</v>
      </c>
      <c r="D843" t="s">
        <v>67</v>
      </c>
      <c r="E843">
        <v>7</v>
      </c>
      <c r="F843">
        <v>12</v>
      </c>
      <c r="G843">
        <v>4.74</v>
      </c>
      <c r="H843" t="s">
        <v>197</v>
      </c>
      <c r="I843" t="s">
        <v>1542</v>
      </c>
      <c r="J843" t="s">
        <v>47</v>
      </c>
      <c r="K843" t="s">
        <v>59</v>
      </c>
    </row>
    <row r="844" spans="1:11" x14ac:dyDescent="0.45">
      <c r="A844" t="s">
        <v>1202</v>
      </c>
      <c r="B844">
        <v>45596</v>
      </c>
      <c r="C844" t="s">
        <v>2467</v>
      </c>
      <c r="D844" t="s">
        <v>67</v>
      </c>
      <c r="E844">
        <v>7</v>
      </c>
      <c r="F844">
        <v>12</v>
      </c>
      <c r="G844">
        <v>3.58</v>
      </c>
      <c r="H844" t="s">
        <v>45</v>
      </c>
      <c r="I844" t="s">
        <v>1439</v>
      </c>
      <c r="J844" t="s">
        <v>27</v>
      </c>
      <c r="K844" t="s">
        <v>134</v>
      </c>
    </row>
    <row r="845" spans="1:11" x14ac:dyDescent="0.45">
      <c r="A845" t="s">
        <v>1203</v>
      </c>
      <c r="B845">
        <v>45597</v>
      </c>
      <c r="C845" t="s">
        <v>2468</v>
      </c>
      <c r="D845" t="s">
        <v>24</v>
      </c>
      <c r="E845">
        <v>8</v>
      </c>
      <c r="F845">
        <v>25</v>
      </c>
      <c r="G845">
        <v>5.8</v>
      </c>
      <c r="H845" t="s">
        <v>82</v>
      </c>
      <c r="I845" t="s">
        <v>1459</v>
      </c>
      <c r="J845" t="s">
        <v>47</v>
      </c>
      <c r="K845" t="s">
        <v>70</v>
      </c>
    </row>
    <row r="846" spans="1:11" x14ac:dyDescent="0.45">
      <c r="A846" t="s">
        <v>1204</v>
      </c>
      <c r="B846">
        <v>45597</v>
      </c>
      <c r="C846" t="s">
        <v>2469</v>
      </c>
      <c r="D846" t="s">
        <v>67</v>
      </c>
      <c r="E846">
        <v>2</v>
      </c>
      <c r="F846">
        <v>12</v>
      </c>
      <c r="G846">
        <v>3.34</v>
      </c>
      <c r="H846" t="s">
        <v>296</v>
      </c>
      <c r="I846" t="s">
        <v>1619</v>
      </c>
      <c r="J846" t="s">
        <v>27</v>
      </c>
      <c r="K846" t="s">
        <v>70</v>
      </c>
    </row>
    <row r="847" spans="1:11" x14ac:dyDescent="0.45">
      <c r="A847" t="s">
        <v>1205</v>
      </c>
      <c r="B847">
        <v>45597</v>
      </c>
      <c r="C847" t="s">
        <v>2470</v>
      </c>
      <c r="D847" t="s">
        <v>24</v>
      </c>
      <c r="E847">
        <v>8</v>
      </c>
      <c r="F847">
        <v>25</v>
      </c>
      <c r="G847">
        <v>9.2899999999999991</v>
      </c>
      <c r="H847" t="s">
        <v>795</v>
      </c>
      <c r="I847" t="s">
        <v>2070</v>
      </c>
      <c r="J847" t="s">
        <v>27</v>
      </c>
      <c r="K847" t="s">
        <v>134</v>
      </c>
    </row>
    <row r="848" spans="1:11" x14ac:dyDescent="0.45">
      <c r="A848" t="s">
        <v>1206</v>
      </c>
      <c r="B848">
        <v>45598</v>
      </c>
      <c r="C848" t="s">
        <v>2471</v>
      </c>
      <c r="D848" t="s">
        <v>50</v>
      </c>
      <c r="E848">
        <v>8</v>
      </c>
      <c r="F848">
        <v>15</v>
      </c>
      <c r="G848">
        <v>5.94</v>
      </c>
      <c r="H848" t="s">
        <v>51</v>
      </c>
      <c r="I848" t="s">
        <v>1441</v>
      </c>
      <c r="J848" t="s">
        <v>27</v>
      </c>
      <c r="K848" t="s">
        <v>56</v>
      </c>
    </row>
    <row r="849" spans="1:11" x14ac:dyDescent="0.45">
      <c r="A849" t="s">
        <v>1207</v>
      </c>
      <c r="B849">
        <v>45598</v>
      </c>
      <c r="C849" t="s">
        <v>2472</v>
      </c>
      <c r="D849" t="s">
        <v>17</v>
      </c>
      <c r="E849">
        <v>10</v>
      </c>
      <c r="F849">
        <v>10</v>
      </c>
      <c r="G849">
        <v>3.09</v>
      </c>
      <c r="H849" t="s">
        <v>153</v>
      </c>
      <c r="I849" t="s">
        <v>1509</v>
      </c>
      <c r="J849" t="s">
        <v>27</v>
      </c>
      <c r="K849" t="s">
        <v>59</v>
      </c>
    </row>
    <row r="850" spans="1:11" x14ac:dyDescent="0.45">
      <c r="A850" t="s">
        <v>1208</v>
      </c>
      <c r="B850">
        <v>45598</v>
      </c>
      <c r="C850" t="s">
        <v>2473</v>
      </c>
      <c r="D850" t="s">
        <v>67</v>
      </c>
      <c r="E850">
        <v>10</v>
      </c>
      <c r="G850">
        <v>3.06</v>
      </c>
      <c r="H850" t="s">
        <v>221</v>
      </c>
      <c r="I850" t="s">
        <v>1559</v>
      </c>
      <c r="J850" t="s">
        <v>27</v>
      </c>
      <c r="K850" t="s">
        <v>38</v>
      </c>
    </row>
    <row r="851" spans="1:11" x14ac:dyDescent="0.45">
      <c r="A851" t="s">
        <v>1209</v>
      </c>
      <c r="B851">
        <v>45598</v>
      </c>
      <c r="C851" t="s">
        <v>2474</v>
      </c>
      <c r="D851" t="s">
        <v>24</v>
      </c>
      <c r="E851">
        <v>1</v>
      </c>
      <c r="F851">
        <v>25</v>
      </c>
      <c r="G851">
        <v>5.0999999999999996</v>
      </c>
      <c r="H851" t="s">
        <v>114</v>
      </c>
      <c r="I851" t="s">
        <v>1482</v>
      </c>
      <c r="J851" t="s">
        <v>27</v>
      </c>
      <c r="K851" t="s">
        <v>28</v>
      </c>
    </row>
    <row r="852" spans="1:11" x14ac:dyDescent="0.45">
      <c r="A852" t="s">
        <v>1210</v>
      </c>
      <c r="B852">
        <v>45599</v>
      </c>
      <c r="C852" t="s">
        <v>2475</v>
      </c>
      <c r="D852" t="s">
        <v>24</v>
      </c>
      <c r="E852">
        <v>7</v>
      </c>
      <c r="F852">
        <v>25</v>
      </c>
      <c r="G852">
        <v>8.57</v>
      </c>
      <c r="H852" t="s">
        <v>251</v>
      </c>
      <c r="I852" t="s">
        <v>1583</v>
      </c>
      <c r="J852" t="s">
        <v>27</v>
      </c>
      <c r="K852" t="s">
        <v>28</v>
      </c>
    </row>
    <row r="853" spans="1:11" x14ac:dyDescent="0.45">
      <c r="A853" t="s">
        <v>1211</v>
      </c>
      <c r="B853">
        <v>45599</v>
      </c>
      <c r="C853" t="s">
        <v>2476</v>
      </c>
      <c r="D853" t="s">
        <v>31</v>
      </c>
      <c r="E853">
        <v>9</v>
      </c>
      <c r="F853">
        <v>40</v>
      </c>
      <c r="G853">
        <v>15.79</v>
      </c>
      <c r="H853" t="s">
        <v>166</v>
      </c>
      <c r="I853" t="s">
        <v>1520</v>
      </c>
      <c r="J853" t="s">
        <v>20</v>
      </c>
      <c r="K853" t="s">
        <v>56</v>
      </c>
    </row>
    <row r="854" spans="1:11" x14ac:dyDescent="0.45">
      <c r="A854" t="s">
        <v>1212</v>
      </c>
      <c r="B854">
        <v>45599</v>
      </c>
      <c r="C854" t="s">
        <v>2477</v>
      </c>
      <c r="D854" t="s">
        <v>17</v>
      </c>
      <c r="E854">
        <v>5</v>
      </c>
      <c r="F854">
        <v>10</v>
      </c>
      <c r="G854">
        <v>2.91</v>
      </c>
      <c r="H854" t="s">
        <v>61</v>
      </c>
      <c r="I854" t="s">
        <v>1447</v>
      </c>
      <c r="J854" t="s">
        <v>42</v>
      </c>
      <c r="K854" t="s">
        <v>34</v>
      </c>
    </row>
    <row r="855" spans="1:11" x14ac:dyDescent="0.45">
      <c r="A855" t="s">
        <v>1213</v>
      </c>
      <c r="B855">
        <v>45600</v>
      </c>
      <c r="C855" t="s">
        <v>2478</v>
      </c>
      <c r="D855" t="s">
        <v>17</v>
      </c>
      <c r="E855">
        <v>4</v>
      </c>
      <c r="F855">
        <v>10</v>
      </c>
      <c r="G855">
        <v>2.2200000000000002</v>
      </c>
      <c r="H855" t="s">
        <v>305</v>
      </c>
      <c r="I855" t="s">
        <v>1628</v>
      </c>
      <c r="J855" t="s">
        <v>42</v>
      </c>
      <c r="K855" t="s">
        <v>21</v>
      </c>
    </row>
    <row r="856" spans="1:11" x14ac:dyDescent="0.45">
      <c r="A856" t="s">
        <v>1214</v>
      </c>
      <c r="B856">
        <v>45600</v>
      </c>
      <c r="C856" t="s">
        <v>2479</v>
      </c>
      <c r="D856" t="s">
        <v>24</v>
      </c>
      <c r="E856">
        <v>1</v>
      </c>
      <c r="F856">
        <v>25</v>
      </c>
      <c r="G856">
        <v>8.4499999999999993</v>
      </c>
      <c r="H856" t="s">
        <v>840</v>
      </c>
      <c r="I856" t="s">
        <v>2114</v>
      </c>
      <c r="J856" t="s">
        <v>47</v>
      </c>
      <c r="K856" t="s">
        <v>70</v>
      </c>
    </row>
    <row r="857" spans="1:11" x14ac:dyDescent="0.45">
      <c r="A857" t="s">
        <v>1215</v>
      </c>
      <c r="B857">
        <v>45601</v>
      </c>
      <c r="C857" t="s">
        <v>2480</v>
      </c>
      <c r="D857" t="s">
        <v>50</v>
      </c>
      <c r="E857">
        <v>3</v>
      </c>
      <c r="F857">
        <v>15</v>
      </c>
      <c r="G857">
        <v>3.12</v>
      </c>
      <c r="H857" t="s">
        <v>482</v>
      </c>
      <c r="I857" t="s">
        <v>1779</v>
      </c>
      <c r="J857" t="s">
        <v>20</v>
      </c>
      <c r="K857" t="s">
        <v>56</v>
      </c>
    </row>
    <row r="858" spans="1:11" x14ac:dyDescent="0.45">
      <c r="A858" t="s">
        <v>1216</v>
      </c>
      <c r="B858">
        <v>45601</v>
      </c>
      <c r="C858" t="s">
        <v>2481</v>
      </c>
      <c r="D858" t="s">
        <v>24</v>
      </c>
      <c r="E858">
        <v>7</v>
      </c>
      <c r="F858">
        <v>25</v>
      </c>
      <c r="G858">
        <v>7.96</v>
      </c>
      <c r="H858" t="s">
        <v>428</v>
      </c>
      <c r="I858" t="s">
        <v>1736</v>
      </c>
      <c r="J858" t="s">
        <v>27</v>
      </c>
      <c r="K858" t="s">
        <v>59</v>
      </c>
    </row>
    <row r="859" spans="1:11" x14ac:dyDescent="0.45">
      <c r="A859" t="s">
        <v>1217</v>
      </c>
      <c r="B859">
        <v>45602</v>
      </c>
      <c r="C859" t="s">
        <v>2482</v>
      </c>
      <c r="D859" t="s">
        <v>17</v>
      </c>
      <c r="E859">
        <v>10</v>
      </c>
      <c r="F859">
        <v>10</v>
      </c>
      <c r="G859">
        <v>3.97</v>
      </c>
      <c r="H859" t="s">
        <v>176</v>
      </c>
      <c r="I859" t="s">
        <v>1528</v>
      </c>
      <c r="J859" t="s">
        <v>27</v>
      </c>
      <c r="K859" t="s">
        <v>56</v>
      </c>
    </row>
    <row r="860" spans="1:11" x14ac:dyDescent="0.45">
      <c r="A860" t="s">
        <v>1218</v>
      </c>
      <c r="B860">
        <v>45602</v>
      </c>
      <c r="C860" t="s">
        <v>2483</v>
      </c>
      <c r="D860" t="s">
        <v>17</v>
      </c>
      <c r="E860">
        <v>7</v>
      </c>
      <c r="F860">
        <v>10</v>
      </c>
      <c r="G860">
        <v>3.07</v>
      </c>
      <c r="H860" t="s">
        <v>254</v>
      </c>
      <c r="I860" t="s">
        <v>1585</v>
      </c>
      <c r="J860" t="s">
        <v>27</v>
      </c>
      <c r="K860" t="s">
        <v>28</v>
      </c>
    </row>
    <row r="861" spans="1:11" x14ac:dyDescent="0.45">
      <c r="A861" t="s">
        <v>1219</v>
      </c>
      <c r="B861">
        <v>45603</v>
      </c>
      <c r="C861" t="s">
        <v>2484</v>
      </c>
      <c r="D861" t="s">
        <v>50</v>
      </c>
      <c r="E861">
        <v>2</v>
      </c>
      <c r="F861">
        <v>15</v>
      </c>
      <c r="G861">
        <v>5.34</v>
      </c>
      <c r="H861" t="s">
        <v>139</v>
      </c>
      <c r="I861" t="s">
        <v>1499</v>
      </c>
      <c r="J861" t="s">
        <v>27</v>
      </c>
      <c r="K861" t="s">
        <v>28</v>
      </c>
    </row>
    <row r="862" spans="1:11" x14ac:dyDescent="0.45">
      <c r="A862" t="s">
        <v>1220</v>
      </c>
      <c r="B862">
        <v>45604</v>
      </c>
      <c r="C862" t="s">
        <v>2485</v>
      </c>
      <c r="D862" t="s">
        <v>50</v>
      </c>
      <c r="E862">
        <v>6</v>
      </c>
      <c r="F862">
        <v>15</v>
      </c>
      <c r="G862">
        <v>5.79</v>
      </c>
      <c r="H862" t="s">
        <v>25</v>
      </c>
      <c r="I862" t="s">
        <v>1431</v>
      </c>
      <c r="J862" t="s">
        <v>42</v>
      </c>
      <c r="K862" t="s">
        <v>34</v>
      </c>
    </row>
    <row r="863" spans="1:11" x14ac:dyDescent="0.45">
      <c r="A863" t="s">
        <v>1221</v>
      </c>
      <c r="B863">
        <v>45604</v>
      </c>
      <c r="C863" t="s">
        <v>2486</v>
      </c>
      <c r="D863" t="s">
        <v>17</v>
      </c>
      <c r="E863">
        <v>5</v>
      </c>
      <c r="F863">
        <v>10</v>
      </c>
      <c r="G863">
        <v>3.82</v>
      </c>
      <c r="H863" t="s">
        <v>96</v>
      </c>
      <c r="I863" t="s">
        <v>1469</v>
      </c>
      <c r="J863" t="s">
        <v>27</v>
      </c>
      <c r="K863" t="s">
        <v>38</v>
      </c>
    </row>
    <row r="864" spans="1:11" x14ac:dyDescent="0.45">
      <c r="A864" t="s">
        <v>1222</v>
      </c>
      <c r="B864">
        <v>45604</v>
      </c>
      <c r="C864" t="s">
        <v>2487</v>
      </c>
      <c r="D864" t="s">
        <v>17</v>
      </c>
      <c r="E864">
        <v>1</v>
      </c>
      <c r="F864">
        <v>10</v>
      </c>
      <c r="G864">
        <v>2</v>
      </c>
      <c r="H864" t="s">
        <v>326</v>
      </c>
      <c r="I864" t="s">
        <v>1645</v>
      </c>
      <c r="J864" t="s">
        <v>42</v>
      </c>
      <c r="K864" t="s">
        <v>70</v>
      </c>
    </row>
    <row r="865" spans="1:11" x14ac:dyDescent="0.45">
      <c r="A865" t="s">
        <v>1223</v>
      </c>
      <c r="B865">
        <v>45605</v>
      </c>
      <c r="C865" t="s">
        <v>2488</v>
      </c>
      <c r="D865" t="s">
        <v>17</v>
      </c>
      <c r="E865">
        <v>3</v>
      </c>
      <c r="F865">
        <v>10</v>
      </c>
      <c r="G865">
        <v>2.39</v>
      </c>
      <c r="H865" t="s">
        <v>449</v>
      </c>
      <c r="I865" t="s">
        <v>1753</v>
      </c>
      <c r="J865" t="s">
        <v>20</v>
      </c>
      <c r="K865" t="s">
        <v>34</v>
      </c>
    </row>
    <row r="866" spans="1:11" x14ac:dyDescent="0.45">
      <c r="A866" t="s">
        <v>1224</v>
      </c>
      <c r="B866">
        <v>45605</v>
      </c>
      <c r="C866" t="s">
        <v>2489</v>
      </c>
      <c r="D866" t="s">
        <v>17</v>
      </c>
      <c r="E866">
        <v>5</v>
      </c>
      <c r="F866">
        <v>10</v>
      </c>
      <c r="G866">
        <v>2.48</v>
      </c>
      <c r="H866" t="s">
        <v>416</v>
      </c>
      <c r="I866" t="s">
        <v>1724</v>
      </c>
      <c r="J866" t="s">
        <v>47</v>
      </c>
      <c r="K866" t="s">
        <v>70</v>
      </c>
    </row>
    <row r="867" spans="1:11" x14ac:dyDescent="0.45">
      <c r="A867" t="s">
        <v>1225</v>
      </c>
      <c r="B867">
        <v>45606</v>
      </c>
      <c r="C867" t="s">
        <v>2490</v>
      </c>
      <c r="D867" t="s">
        <v>24</v>
      </c>
      <c r="E867">
        <v>4</v>
      </c>
      <c r="F867">
        <v>25</v>
      </c>
      <c r="G867">
        <v>6.48</v>
      </c>
      <c r="H867" t="s">
        <v>92</v>
      </c>
      <c r="I867" t="s">
        <v>1466</v>
      </c>
      <c r="J867" t="s">
        <v>27</v>
      </c>
      <c r="K867" t="s">
        <v>134</v>
      </c>
    </row>
    <row r="868" spans="1:11" x14ac:dyDescent="0.45">
      <c r="A868" t="s">
        <v>1226</v>
      </c>
      <c r="B868">
        <v>45606</v>
      </c>
      <c r="C868" t="s">
        <v>2491</v>
      </c>
      <c r="D868" t="s">
        <v>67</v>
      </c>
      <c r="E868">
        <v>8</v>
      </c>
      <c r="F868">
        <v>12</v>
      </c>
      <c r="G868">
        <v>3.72</v>
      </c>
      <c r="H868" t="s">
        <v>256</v>
      </c>
      <c r="I868" t="s">
        <v>1587</v>
      </c>
      <c r="J868" t="s">
        <v>20</v>
      </c>
      <c r="K868" t="s">
        <v>56</v>
      </c>
    </row>
    <row r="869" spans="1:11" x14ac:dyDescent="0.45">
      <c r="A869" t="s">
        <v>1227</v>
      </c>
      <c r="B869">
        <v>45606</v>
      </c>
      <c r="C869" t="s">
        <v>2492</v>
      </c>
      <c r="D869" t="s">
        <v>67</v>
      </c>
      <c r="E869">
        <v>8</v>
      </c>
      <c r="F869">
        <v>12</v>
      </c>
      <c r="G869">
        <v>3.33</v>
      </c>
      <c r="H869" t="s">
        <v>731</v>
      </c>
      <c r="I869" t="s">
        <v>2010</v>
      </c>
      <c r="J869" t="s">
        <v>27</v>
      </c>
      <c r="K869" t="s">
        <v>21</v>
      </c>
    </row>
    <row r="870" spans="1:11" x14ac:dyDescent="0.45">
      <c r="A870" t="s">
        <v>1228</v>
      </c>
      <c r="B870">
        <v>45606</v>
      </c>
      <c r="C870" t="s">
        <v>2493</v>
      </c>
      <c r="D870" t="s">
        <v>17</v>
      </c>
      <c r="E870">
        <v>4</v>
      </c>
      <c r="F870">
        <v>10</v>
      </c>
      <c r="G870">
        <v>2.23</v>
      </c>
      <c r="H870" t="s">
        <v>1166</v>
      </c>
      <c r="I870" t="s">
        <v>2432</v>
      </c>
      <c r="J870" t="s">
        <v>27</v>
      </c>
      <c r="K870" t="s">
        <v>74</v>
      </c>
    </row>
    <row r="871" spans="1:11" x14ac:dyDescent="0.45">
      <c r="A871" t="s">
        <v>1229</v>
      </c>
      <c r="B871">
        <v>45607</v>
      </c>
      <c r="C871" t="s">
        <v>2494</v>
      </c>
      <c r="D871" t="s">
        <v>31</v>
      </c>
      <c r="E871">
        <v>4</v>
      </c>
      <c r="F871">
        <v>40</v>
      </c>
      <c r="G871">
        <v>13.67</v>
      </c>
      <c r="H871" t="s">
        <v>530</v>
      </c>
      <c r="I871" t="s">
        <v>1822</v>
      </c>
      <c r="J871" t="s">
        <v>27</v>
      </c>
      <c r="K871" t="s">
        <v>34</v>
      </c>
    </row>
    <row r="872" spans="1:11" x14ac:dyDescent="0.45">
      <c r="A872" t="s">
        <v>1230</v>
      </c>
      <c r="B872">
        <v>45607</v>
      </c>
      <c r="C872" t="s">
        <v>2495</v>
      </c>
      <c r="D872" t="s">
        <v>31</v>
      </c>
      <c r="E872">
        <v>10</v>
      </c>
      <c r="F872">
        <v>40</v>
      </c>
      <c r="G872">
        <v>8.85</v>
      </c>
      <c r="H872" t="s">
        <v>337</v>
      </c>
      <c r="I872" t="s">
        <v>1654</v>
      </c>
      <c r="J872" t="s">
        <v>27</v>
      </c>
      <c r="K872" t="s">
        <v>43</v>
      </c>
    </row>
    <row r="873" spans="1:11" x14ac:dyDescent="0.45">
      <c r="A873" t="s">
        <v>1231</v>
      </c>
      <c r="B873">
        <v>45607</v>
      </c>
      <c r="C873" t="s">
        <v>2496</v>
      </c>
      <c r="D873" t="s">
        <v>67</v>
      </c>
      <c r="E873">
        <v>9</v>
      </c>
      <c r="F873">
        <v>12</v>
      </c>
      <c r="G873">
        <v>2.5499999999999998</v>
      </c>
      <c r="H873" t="s">
        <v>1232</v>
      </c>
      <c r="I873" t="s">
        <v>2497</v>
      </c>
      <c r="J873" t="s">
        <v>27</v>
      </c>
      <c r="K873" t="s">
        <v>38</v>
      </c>
    </row>
    <row r="874" spans="1:11" x14ac:dyDescent="0.45">
      <c r="A874" t="s">
        <v>1234</v>
      </c>
      <c r="B874">
        <v>45607</v>
      </c>
      <c r="C874" t="s">
        <v>2498</v>
      </c>
      <c r="D874" t="s">
        <v>50</v>
      </c>
      <c r="E874">
        <v>4</v>
      </c>
      <c r="F874">
        <v>15</v>
      </c>
      <c r="G874">
        <v>5.0199999999999996</v>
      </c>
      <c r="H874" t="s">
        <v>1049</v>
      </c>
      <c r="I874" t="s">
        <v>2315</v>
      </c>
      <c r="J874" t="s">
        <v>27</v>
      </c>
      <c r="K874" t="s">
        <v>28</v>
      </c>
    </row>
    <row r="875" spans="1:11" x14ac:dyDescent="0.45">
      <c r="A875" t="s">
        <v>1235</v>
      </c>
      <c r="B875">
        <v>45607</v>
      </c>
      <c r="C875" t="s">
        <v>2499</v>
      </c>
      <c r="D875" t="s">
        <v>50</v>
      </c>
      <c r="E875">
        <v>1</v>
      </c>
      <c r="F875">
        <v>15</v>
      </c>
      <c r="G875">
        <v>5.27</v>
      </c>
      <c r="H875" t="s">
        <v>1160</v>
      </c>
      <c r="I875" t="s">
        <v>2426</v>
      </c>
      <c r="J875" t="s">
        <v>27</v>
      </c>
      <c r="K875" t="s">
        <v>28</v>
      </c>
    </row>
    <row r="876" spans="1:11" x14ac:dyDescent="0.45">
      <c r="A876" t="s">
        <v>1236</v>
      </c>
      <c r="B876">
        <v>45607</v>
      </c>
      <c r="C876" t="s">
        <v>2500</v>
      </c>
      <c r="D876" t="s">
        <v>50</v>
      </c>
      <c r="E876">
        <v>8</v>
      </c>
      <c r="F876">
        <v>15</v>
      </c>
      <c r="G876">
        <v>3.79</v>
      </c>
      <c r="H876" t="s">
        <v>142</v>
      </c>
      <c r="I876" t="s">
        <v>1501</v>
      </c>
      <c r="J876" t="s">
        <v>27</v>
      </c>
      <c r="K876" t="s">
        <v>43</v>
      </c>
    </row>
    <row r="877" spans="1:11" x14ac:dyDescent="0.45">
      <c r="A877" t="s">
        <v>1237</v>
      </c>
      <c r="B877">
        <v>45608</v>
      </c>
      <c r="C877" t="s">
        <v>2501</v>
      </c>
      <c r="D877" t="s">
        <v>17</v>
      </c>
      <c r="E877">
        <v>8</v>
      </c>
      <c r="F877">
        <v>10</v>
      </c>
      <c r="G877">
        <v>2.94</v>
      </c>
      <c r="H877" t="s">
        <v>191</v>
      </c>
      <c r="I877" t="s">
        <v>1538</v>
      </c>
      <c r="J877" t="s">
        <v>27</v>
      </c>
      <c r="K877" t="s">
        <v>38</v>
      </c>
    </row>
    <row r="878" spans="1:11" x14ac:dyDescent="0.45">
      <c r="A878" t="s">
        <v>1238</v>
      </c>
      <c r="B878">
        <v>45608</v>
      </c>
      <c r="C878" t="s">
        <v>2502</v>
      </c>
      <c r="D878" t="s">
        <v>24</v>
      </c>
      <c r="E878">
        <v>10</v>
      </c>
      <c r="F878">
        <v>25</v>
      </c>
      <c r="G878">
        <v>6.9</v>
      </c>
      <c r="H878" t="s">
        <v>259</v>
      </c>
      <c r="I878" t="s">
        <v>1589</v>
      </c>
      <c r="J878" t="s">
        <v>20</v>
      </c>
      <c r="K878" t="s">
        <v>74</v>
      </c>
    </row>
    <row r="879" spans="1:11" x14ac:dyDescent="0.45">
      <c r="A879" t="s">
        <v>1239</v>
      </c>
      <c r="B879">
        <v>45609</v>
      </c>
      <c r="C879" t="s">
        <v>2503</v>
      </c>
      <c r="D879" t="s">
        <v>31</v>
      </c>
      <c r="E879">
        <v>9</v>
      </c>
      <c r="F879">
        <v>40</v>
      </c>
      <c r="G879">
        <v>14.51</v>
      </c>
      <c r="H879" t="s">
        <v>251</v>
      </c>
      <c r="I879" t="s">
        <v>1583</v>
      </c>
      <c r="J879" t="s">
        <v>27</v>
      </c>
      <c r="K879" t="s">
        <v>34</v>
      </c>
    </row>
    <row r="880" spans="1:11" x14ac:dyDescent="0.45">
      <c r="A880" t="s">
        <v>1240</v>
      </c>
      <c r="B880">
        <v>45609</v>
      </c>
      <c r="C880" t="s">
        <v>2504</v>
      </c>
      <c r="D880" t="s">
        <v>50</v>
      </c>
      <c r="E880">
        <v>9</v>
      </c>
      <c r="F880">
        <v>15</v>
      </c>
      <c r="G880">
        <v>4.51</v>
      </c>
      <c r="H880" t="s">
        <v>238</v>
      </c>
      <c r="I880" t="s">
        <v>1573</v>
      </c>
      <c r="J880" t="s">
        <v>47</v>
      </c>
      <c r="K880" t="s">
        <v>59</v>
      </c>
    </row>
    <row r="881" spans="1:11" x14ac:dyDescent="0.45">
      <c r="A881" t="s">
        <v>1241</v>
      </c>
      <c r="B881">
        <v>45609</v>
      </c>
      <c r="C881" t="s">
        <v>2505</v>
      </c>
      <c r="D881" t="s">
        <v>31</v>
      </c>
      <c r="E881">
        <v>8</v>
      </c>
      <c r="F881">
        <v>40</v>
      </c>
      <c r="G881">
        <v>14.12</v>
      </c>
      <c r="H881" t="s">
        <v>142</v>
      </c>
      <c r="I881" t="s">
        <v>1501</v>
      </c>
      <c r="J881" t="s">
        <v>27</v>
      </c>
      <c r="K881" t="s">
        <v>59</v>
      </c>
    </row>
    <row r="882" spans="1:11" x14ac:dyDescent="0.45">
      <c r="A882" t="s">
        <v>1242</v>
      </c>
      <c r="B882">
        <v>45609</v>
      </c>
      <c r="C882" t="s">
        <v>2506</v>
      </c>
      <c r="D882" t="s">
        <v>31</v>
      </c>
      <c r="E882">
        <v>1</v>
      </c>
      <c r="F882">
        <v>40</v>
      </c>
      <c r="G882">
        <v>9.23</v>
      </c>
      <c r="H882" t="s">
        <v>494</v>
      </c>
      <c r="I882" t="s">
        <v>1790</v>
      </c>
      <c r="J882" t="s">
        <v>20</v>
      </c>
      <c r="K882" t="s">
        <v>21</v>
      </c>
    </row>
    <row r="883" spans="1:11" x14ac:dyDescent="0.45">
      <c r="A883" t="s">
        <v>1243</v>
      </c>
      <c r="B883">
        <v>45610</v>
      </c>
      <c r="C883" t="s">
        <v>2507</v>
      </c>
      <c r="D883" t="s">
        <v>67</v>
      </c>
      <c r="E883">
        <v>3</v>
      </c>
      <c r="F883">
        <v>12</v>
      </c>
      <c r="G883">
        <v>3.16</v>
      </c>
      <c r="H883" t="s">
        <v>102</v>
      </c>
      <c r="I883" t="s">
        <v>1473</v>
      </c>
      <c r="J883" t="s">
        <v>27</v>
      </c>
      <c r="K883" t="s">
        <v>134</v>
      </c>
    </row>
    <row r="884" spans="1:11" x14ac:dyDescent="0.45">
      <c r="A884" t="s">
        <v>1244</v>
      </c>
      <c r="B884">
        <v>45610</v>
      </c>
      <c r="C884" t="s">
        <v>2508</v>
      </c>
      <c r="D884" t="s">
        <v>24</v>
      </c>
      <c r="E884">
        <v>8</v>
      </c>
      <c r="F884">
        <v>25</v>
      </c>
      <c r="G884">
        <v>9.1199999999999992</v>
      </c>
      <c r="H884" t="s">
        <v>174</v>
      </c>
      <c r="I884" t="s">
        <v>1526</v>
      </c>
      <c r="J884" t="s">
        <v>27</v>
      </c>
      <c r="K884" t="s">
        <v>34</v>
      </c>
    </row>
    <row r="885" spans="1:11" x14ac:dyDescent="0.45">
      <c r="A885" t="s">
        <v>1245</v>
      </c>
      <c r="B885">
        <v>45611</v>
      </c>
      <c r="C885" t="s">
        <v>2509</v>
      </c>
      <c r="D885" t="s">
        <v>31</v>
      </c>
      <c r="E885">
        <v>6</v>
      </c>
      <c r="F885">
        <v>40</v>
      </c>
      <c r="G885">
        <v>13.56</v>
      </c>
      <c r="H885" t="s">
        <v>594</v>
      </c>
      <c r="I885" t="s">
        <v>1880</v>
      </c>
      <c r="J885" t="s">
        <v>27</v>
      </c>
      <c r="K885" t="s">
        <v>56</v>
      </c>
    </row>
    <row r="886" spans="1:11" x14ac:dyDescent="0.45">
      <c r="A886" t="s">
        <v>1246</v>
      </c>
      <c r="B886">
        <v>45612</v>
      </c>
      <c r="C886" t="s">
        <v>2510</v>
      </c>
      <c r="D886" t="s">
        <v>31</v>
      </c>
      <c r="E886">
        <v>6</v>
      </c>
      <c r="F886">
        <v>40</v>
      </c>
      <c r="G886">
        <v>9.3699999999999992</v>
      </c>
      <c r="H886" t="s">
        <v>851</v>
      </c>
      <c r="I886" t="s">
        <v>2125</v>
      </c>
      <c r="J886" t="s">
        <v>27</v>
      </c>
      <c r="K886" t="s">
        <v>43</v>
      </c>
    </row>
    <row r="887" spans="1:11" x14ac:dyDescent="0.45">
      <c r="A887" t="s">
        <v>1247</v>
      </c>
      <c r="B887">
        <v>45612</v>
      </c>
      <c r="C887" t="s">
        <v>2511</v>
      </c>
      <c r="D887" t="s">
        <v>24</v>
      </c>
      <c r="E887">
        <v>4</v>
      </c>
      <c r="F887">
        <v>25</v>
      </c>
      <c r="G887">
        <v>7.64</v>
      </c>
      <c r="H887" t="s">
        <v>321</v>
      </c>
      <c r="I887" t="s">
        <v>1641</v>
      </c>
      <c r="J887" t="s">
        <v>42</v>
      </c>
      <c r="K887" t="s">
        <v>56</v>
      </c>
    </row>
    <row r="888" spans="1:11" x14ac:dyDescent="0.45">
      <c r="A888" t="s">
        <v>1248</v>
      </c>
      <c r="B888">
        <v>45613</v>
      </c>
      <c r="C888" t="s">
        <v>2512</v>
      </c>
      <c r="D888" t="s">
        <v>24</v>
      </c>
      <c r="E888">
        <v>9</v>
      </c>
      <c r="F888">
        <v>25</v>
      </c>
      <c r="G888">
        <v>6.72</v>
      </c>
      <c r="H888" t="s">
        <v>206</v>
      </c>
      <c r="I888" t="s">
        <v>1548</v>
      </c>
      <c r="J888" t="s">
        <v>27</v>
      </c>
      <c r="K888" t="s">
        <v>134</v>
      </c>
    </row>
    <row r="889" spans="1:11" x14ac:dyDescent="0.45">
      <c r="A889" t="s">
        <v>1249</v>
      </c>
      <c r="B889">
        <v>45613</v>
      </c>
      <c r="C889" t="s">
        <v>2513</v>
      </c>
      <c r="D889" t="s">
        <v>67</v>
      </c>
      <c r="E889">
        <v>6</v>
      </c>
      <c r="F889">
        <v>12</v>
      </c>
      <c r="G889">
        <v>4.53</v>
      </c>
      <c r="H889" t="s">
        <v>221</v>
      </c>
      <c r="I889" t="s">
        <v>1559</v>
      </c>
      <c r="J889" t="s">
        <v>27</v>
      </c>
      <c r="K889" t="s">
        <v>56</v>
      </c>
    </row>
    <row r="890" spans="1:11" x14ac:dyDescent="0.45">
      <c r="A890" t="s">
        <v>1250</v>
      </c>
      <c r="B890">
        <v>45613</v>
      </c>
      <c r="C890" t="s">
        <v>2514</v>
      </c>
      <c r="D890" t="s">
        <v>24</v>
      </c>
      <c r="E890">
        <v>2</v>
      </c>
      <c r="F890">
        <v>25</v>
      </c>
      <c r="G890">
        <v>8.14</v>
      </c>
      <c r="H890" t="s">
        <v>76</v>
      </c>
      <c r="I890" t="s">
        <v>1455</v>
      </c>
      <c r="J890" t="s">
        <v>20</v>
      </c>
      <c r="K890" t="s">
        <v>134</v>
      </c>
    </row>
    <row r="891" spans="1:11" x14ac:dyDescent="0.45">
      <c r="A891" t="s">
        <v>1251</v>
      </c>
      <c r="B891">
        <v>45614</v>
      </c>
      <c r="C891" t="s">
        <v>2515</v>
      </c>
      <c r="D891" t="s">
        <v>50</v>
      </c>
      <c r="E891">
        <v>2</v>
      </c>
      <c r="F891">
        <v>15</v>
      </c>
      <c r="G891">
        <v>5.3</v>
      </c>
      <c r="H891" t="s">
        <v>188</v>
      </c>
      <c r="I891" t="s">
        <v>1536</v>
      </c>
      <c r="J891" t="s">
        <v>27</v>
      </c>
      <c r="K891" t="s">
        <v>70</v>
      </c>
    </row>
    <row r="892" spans="1:11" x14ac:dyDescent="0.45">
      <c r="A892" t="s">
        <v>1252</v>
      </c>
      <c r="B892">
        <v>45614</v>
      </c>
      <c r="C892" t="s">
        <v>2516</v>
      </c>
      <c r="D892" t="s">
        <v>67</v>
      </c>
      <c r="E892">
        <v>10</v>
      </c>
      <c r="F892">
        <v>12</v>
      </c>
      <c r="G892">
        <v>2.4500000000000002</v>
      </c>
      <c r="H892" t="s">
        <v>647</v>
      </c>
      <c r="I892" t="s">
        <v>1932</v>
      </c>
      <c r="J892" t="s">
        <v>27</v>
      </c>
      <c r="K892" t="s">
        <v>74</v>
      </c>
    </row>
    <row r="893" spans="1:11" x14ac:dyDescent="0.45">
      <c r="A893" t="s">
        <v>1253</v>
      </c>
      <c r="B893">
        <v>45614</v>
      </c>
      <c r="C893" t="s">
        <v>2517</v>
      </c>
      <c r="D893" t="s">
        <v>31</v>
      </c>
      <c r="E893">
        <v>1</v>
      </c>
      <c r="F893">
        <v>40</v>
      </c>
      <c r="G893">
        <v>8.51</v>
      </c>
      <c r="H893" t="s">
        <v>182</v>
      </c>
      <c r="I893" t="s">
        <v>1532</v>
      </c>
      <c r="J893" t="s">
        <v>47</v>
      </c>
      <c r="K893" t="s">
        <v>34</v>
      </c>
    </row>
    <row r="894" spans="1:11" x14ac:dyDescent="0.45">
      <c r="A894" t="s">
        <v>1254</v>
      </c>
      <c r="B894">
        <v>45614</v>
      </c>
      <c r="C894" t="s">
        <v>2518</v>
      </c>
      <c r="D894" t="s">
        <v>24</v>
      </c>
      <c r="E894">
        <v>3</v>
      </c>
      <c r="F894">
        <v>25</v>
      </c>
      <c r="G894">
        <v>5.0999999999999996</v>
      </c>
      <c r="H894" t="s">
        <v>96</v>
      </c>
      <c r="I894" t="s">
        <v>1469</v>
      </c>
      <c r="J894" t="s">
        <v>20</v>
      </c>
      <c r="K894" t="s">
        <v>28</v>
      </c>
    </row>
    <row r="895" spans="1:11" x14ac:dyDescent="0.45">
      <c r="A895" t="s">
        <v>1255</v>
      </c>
      <c r="B895">
        <v>45614</v>
      </c>
      <c r="C895" t="s">
        <v>2519</v>
      </c>
      <c r="D895" t="s">
        <v>17</v>
      </c>
      <c r="E895">
        <v>9</v>
      </c>
      <c r="F895">
        <v>10</v>
      </c>
      <c r="G895">
        <v>2.68</v>
      </c>
      <c r="H895" t="s">
        <v>104</v>
      </c>
      <c r="I895" t="s">
        <v>1475</v>
      </c>
      <c r="J895" t="s">
        <v>47</v>
      </c>
      <c r="K895" t="s">
        <v>28</v>
      </c>
    </row>
    <row r="896" spans="1:11" x14ac:dyDescent="0.45">
      <c r="A896" t="s">
        <v>1256</v>
      </c>
      <c r="B896">
        <v>45614</v>
      </c>
      <c r="C896" t="s">
        <v>2520</v>
      </c>
      <c r="D896" t="s">
        <v>17</v>
      </c>
      <c r="E896">
        <v>10</v>
      </c>
      <c r="F896">
        <v>10</v>
      </c>
      <c r="G896">
        <v>3.4</v>
      </c>
      <c r="H896" t="s">
        <v>292</v>
      </c>
      <c r="I896" t="s">
        <v>1615</v>
      </c>
      <c r="J896" t="s">
        <v>20</v>
      </c>
      <c r="K896" t="s">
        <v>43</v>
      </c>
    </row>
    <row r="897" spans="1:11" x14ac:dyDescent="0.45">
      <c r="A897" t="s">
        <v>1257</v>
      </c>
      <c r="B897">
        <v>45615</v>
      </c>
      <c r="C897" t="s">
        <v>2521</v>
      </c>
      <c r="D897" t="s">
        <v>17</v>
      </c>
      <c r="E897">
        <v>1</v>
      </c>
      <c r="F897">
        <v>10</v>
      </c>
      <c r="G897">
        <v>3.72</v>
      </c>
      <c r="H897" t="s">
        <v>150</v>
      </c>
      <c r="I897" t="s">
        <v>1507</v>
      </c>
      <c r="J897" t="s">
        <v>20</v>
      </c>
      <c r="K897" t="s">
        <v>34</v>
      </c>
    </row>
    <row r="898" spans="1:11" x14ac:dyDescent="0.45">
      <c r="A898" t="s">
        <v>1258</v>
      </c>
      <c r="B898">
        <v>45616</v>
      </c>
      <c r="C898" t="s">
        <v>2522</v>
      </c>
      <c r="D898" t="s">
        <v>24</v>
      </c>
      <c r="E898">
        <v>10</v>
      </c>
      <c r="F898">
        <v>25</v>
      </c>
      <c r="G898">
        <v>9.86</v>
      </c>
      <c r="H898" t="s">
        <v>489</v>
      </c>
      <c r="I898" t="s">
        <v>1786</v>
      </c>
      <c r="J898" t="s">
        <v>47</v>
      </c>
      <c r="K898" t="s">
        <v>74</v>
      </c>
    </row>
    <row r="899" spans="1:11" x14ac:dyDescent="0.45">
      <c r="A899" t="s">
        <v>1259</v>
      </c>
      <c r="B899">
        <v>45617</v>
      </c>
      <c r="C899" t="s">
        <v>2523</v>
      </c>
      <c r="D899" t="s">
        <v>67</v>
      </c>
      <c r="E899">
        <v>2</v>
      </c>
      <c r="F899">
        <v>12</v>
      </c>
      <c r="G899">
        <v>4.3899999999999997</v>
      </c>
      <c r="H899" t="s">
        <v>40</v>
      </c>
      <c r="I899" t="s">
        <v>1437</v>
      </c>
      <c r="J899" t="s">
        <v>27</v>
      </c>
      <c r="K899" t="s">
        <v>74</v>
      </c>
    </row>
    <row r="900" spans="1:11" x14ac:dyDescent="0.45">
      <c r="A900" t="s">
        <v>1260</v>
      </c>
      <c r="B900">
        <v>45618</v>
      </c>
      <c r="C900" t="s">
        <v>2524</v>
      </c>
      <c r="D900" t="s">
        <v>50</v>
      </c>
      <c r="E900">
        <v>1</v>
      </c>
      <c r="F900">
        <v>15</v>
      </c>
      <c r="G900">
        <v>3.55</v>
      </c>
      <c r="H900" t="s">
        <v>191</v>
      </c>
      <c r="I900" t="s">
        <v>1538</v>
      </c>
      <c r="J900" t="s">
        <v>27</v>
      </c>
      <c r="K900" t="s">
        <v>34</v>
      </c>
    </row>
    <row r="901" spans="1:11" x14ac:dyDescent="0.45">
      <c r="A901" t="s">
        <v>1261</v>
      </c>
      <c r="B901">
        <v>45618</v>
      </c>
      <c r="C901" t="s">
        <v>2525</v>
      </c>
      <c r="D901" t="s">
        <v>50</v>
      </c>
      <c r="E901">
        <v>7</v>
      </c>
      <c r="F901">
        <v>15</v>
      </c>
      <c r="G901">
        <v>4.03</v>
      </c>
      <c r="H901" t="s">
        <v>1071</v>
      </c>
      <c r="I901" t="s">
        <v>2337</v>
      </c>
      <c r="J901" t="s">
        <v>27</v>
      </c>
      <c r="K901" t="s">
        <v>134</v>
      </c>
    </row>
    <row r="902" spans="1:11" x14ac:dyDescent="0.45">
      <c r="A902" t="s">
        <v>1262</v>
      </c>
      <c r="B902">
        <v>45619</v>
      </c>
      <c r="C902" t="s">
        <v>2526</v>
      </c>
      <c r="D902" t="s">
        <v>24</v>
      </c>
      <c r="E902">
        <v>1</v>
      </c>
      <c r="F902">
        <v>25</v>
      </c>
      <c r="G902">
        <v>9.8800000000000008</v>
      </c>
      <c r="H902" t="s">
        <v>494</v>
      </c>
      <c r="I902" t="s">
        <v>1790</v>
      </c>
      <c r="J902" t="s">
        <v>27</v>
      </c>
      <c r="K902" t="s">
        <v>34</v>
      </c>
    </row>
    <row r="903" spans="1:11" x14ac:dyDescent="0.45">
      <c r="A903" t="s">
        <v>1263</v>
      </c>
      <c r="B903">
        <v>45619</v>
      </c>
      <c r="C903" t="s">
        <v>2527</v>
      </c>
      <c r="D903" t="s">
        <v>24</v>
      </c>
      <c r="E903">
        <v>8</v>
      </c>
      <c r="F903">
        <v>25</v>
      </c>
      <c r="G903">
        <v>6.58</v>
      </c>
      <c r="H903" t="s">
        <v>99</v>
      </c>
      <c r="I903" t="s">
        <v>1471</v>
      </c>
      <c r="J903" t="s">
        <v>27</v>
      </c>
      <c r="K903" t="s">
        <v>74</v>
      </c>
    </row>
    <row r="904" spans="1:11" x14ac:dyDescent="0.45">
      <c r="A904" t="s">
        <v>1264</v>
      </c>
      <c r="B904">
        <v>45619</v>
      </c>
      <c r="C904" t="s">
        <v>2528</v>
      </c>
      <c r="D904" t="s">
        <v>24</v>
      </c>
      <c r="E904">
        <v>8</v>
      </c>
      <c r="F904">
        <v>25</v>
      </c>
      <c r="G904">
        <v>6.56</v>
      </c>
      <c r="H904" t="s">
        <v>594</v>
      </c>
      <c r="I904" t="s">
        <v>1880</v>
      </c>
      <c r="J904" t="s">
        <v>20</v>
      </c>
      <c r="K904" t="s">
        <v>28</v>
      </c>
    </row>
    <row r="905" spans="1:11" x14ac:dyDescent="0.45">
      <c r="A905" t="s">
        <v>1265</v>
      </c>
      <c r="B905">
        <v>45620</v>
      </c>
      <c r="C905" t="s">
        <v>2529</v>
      </c>
      <c r="D905" t="s">
        <v>17</v>
      </c>
      <c r="E905">
        <v>9</v>
      </c>
      <c r="F905">
        <v>10</v>
      </c>
      <c r="G905">
        <v>2.66</v>
      </c>
      <c r="H905" t="s">
        <v>428</v>
      </c>
      <c r="I905" t="s">
        <v>1736</v>
      </c>
      <c r="J905" t="s">
        <v>20</v>
      </c>
      <c r="K905" t="s">
        <v>34</v>
      </c>
    </row>
    <row r="906" spans="1:11" x14ac:dyDescent="0.45">
      <c r="A906" t="s">
        <v>1266</v>
      </c>
      <c r="B906">
        <v>45622</v>
      </c>
      <c r="C906" t="s">
        <v>2530</v>
      </c>
      <c r="D906" t="s">
        <v>31</v>
      </c>
      <c r="E906">
        <v>1</v>
      </c>
      <c r="F906">
        <v>40</v>
      </c>
      <c r="G906">
        <v>10.130000000000001</v>
      </c>
      <c r="H906" t="s">
        <v>795</v>
      </c>
      <c r="I906" t="s">
        <v>2070</v>
      </c>
      <c r="J906" t="s">
        <v>27</v>
      </c>
      <c r="K906" t="s">
        <v>43</v>
      </c>
    </row>
    <row r="907" spans="1:11" x14ac:dyDescent="0.45">
      <c r="A907" t="s">
        <v>1267</v>
      </c>
      <c r="B907">
        <v>45622</v>
      </c>
      <c r="C907" t="s">
        <v>2531</v>
      </c>
      <c r="D907" t="s">
        <v>50</v>
      </c>
      <c r="E907">
        <v>2</v>
      </c>
      <c r="F907">
        <v>15</v>
      </c>
      <c r="G907">
        <v>3.3</v>
      </c>
      <c r="H907" t="s">
        <v>382</v>
      </c>
      <c r="I907" t="s">
        <v>1693</v>
      </c>
      <c r="J907" t="s">
        <v>20</v>
      </c>
      <c r="K907" t="s">
        <v>56</v>
      </c>
    </row>
    <row r="908" spans="1:11" x14ac:dyDescent="0.45">
      <c r="A908" t="s">
        <v>1268</v>
      </c>
      <c r="B908">
        <v>45622</v>
      </c>
      <c r="C908" t="s">
        <v>2532</v>
      </c>
      <c r="D908" t="s">
        <v>50</v>
      </c>
      <c r="E908">
        <v>6</v>
      </c>
      <c r="F908">
        <v>15</v>
      </c>
      <c r="G908">
        <v>5.45</v>
      </c>
      <c r="H908" t="s">
        <v>164</v>
      </c>
      <c r="I908" t="s">
        <v>1518</v>
      </c>
      <c r="J908" t="s">
        <v>20</v>
      </c>
      <c r="K908" t="s">
        <v>38</v>
      </c>
    </row>
    <row r="909" spans="1:11" x14ac:dyDescent="0.45">
      <c r="A909" t="s">
        <v>1269</v>
      </c>
      <c r="B909">
        <v>45622</v>
      </c>
      <c r="C909" t="s">
        <v>2533</v>
      </c>
      <c r="D909" t="s">
        <v>31</v>
      </c>
      <c r="E909">
        <v>2</v>
      </c>
      <c r="F909">
        <v>40</v>
      </c>
      <c r="G909">
        <v>12.19</v>
      </c>
      <c r="H909" t="s">
        <v>691</v>
      </c>
      <c r="I909" t="s">
        <v>1971</v>
      </c>
      <c r="J909" t="s">
        <v>27</v>
      </c>
      <c r="K909" t="s">
        <v>74</v>
      </c>
    </row>
    <row r="910" spans="1:11" x14ac:dyDescent="0.45">
      <c r="A910" t="s">
        <v>1270</v>
      </c>
      <c r="B910">
        <v>45622</v>
      </c>
      <c r="C910" t="s">
        <v>2534</v>
      </c>
      <c r="D910" t="s">
        <v>24</v>
      </c>
      <c r="E910">
        <v>2</v>
      </c>
      <c r="F910">
        <v>25</v>
      </c>
      <c r="G910">
        <v>6.17</v>
      </c>
      <c r="H910" t="s">
        <v>72</v>
      </c>
      <c r="I910" t="s">
        <v>1453</v>
      </c>
      <c r="J910" t="s">
        <v>27</v>
      </c>
      <c r="K910" t="s">
        <v>59</v>
      </c>
    </row>
    <row r="911" spans="1:11" x14ac:dyDescent="0.45">
      <c r="A911" t="s">
        <v>1271</v>
      </c>
      <c r="B911">
        <v>45622</v>
      </c>
      <c r="C911" t="s">
        <v>2535</v>
      </c>
      <c r="D911" t="s">
        <v>24</v>
      </c>
      <c r="E911">
        <v>9</v>
      </c>
      <c r="F911">
        <v>25</v>
      </c>
      <c r="G911">
        <v>6.35</v>
      </c>
      <c r="H911" t="s">
        <v>633</v>
      </c>
      <c r="I911" t="s">
        <v>1919</v>
      </c>
      <c r="J911" t="s">
        <v>42</v>
      </c>
      <c r="K911" t="s">
        <v>134</v>
      </c>
    </row>
    <row r="912" spans="1:11" x14ac:dyDescent="0.45">
      <c r="A912" t="s">
        <v>1272</v>
      </c>
      <c r="B912">
        <v>45623</v>
      </c>
      <c r="C912" t="s">
        <v>2536</v>
      </c>
      <c r="D912" t="s">
        <v>50</v>
      </c>
      <c r="E912">
        <v>2</v>
      </c>
      <c r="G912">
        <v>4.1500000000000004</v>
      </c>
      <c r="H912" t="s">
        <v>356</v>
      </c>
      <c r="I912" t="s">
        <v>1671</v>
      </c>
      <c r="J912" t="s">
        <v>20</v>
      </c>
      <c r="K912" t="s">
        <v>38</v>
      </c>
    </row>
    <row r="913" spans="1:11" x14ac:dyDescent="0.45">
      <c r="A913" t="s">
        <v>1273</v>
      </c>
      <c r="B913">
        <v>45623</v>
      </c>
      <c r="C913" t="s">
        <v>2537</v>
      </c>
      <c r="D913" t="s">
        <v>24</v>
      </c>
      <c r="E913">
        <v>3</v>
      </c>
      <c r="F913">
        <v>25</v>
      </c>
      <c r="G913">
        <v>9.27</v>
      </c>
      <c r="H913" t="s">
        <v>489</v>
      </c>
      <c r="I913" t="s">
        <v>1786</v>
      </c>
      <c r="J913" t="s">
        <v>42</v>
      </c>
      <c r="K913" t="s">
        <v>34</v>
      </c>
    </row>
    <row r="914" spans="1:11" x14ac:dyDescent="0.45">
      <c r="A914" t="s">
        <v>1274</v>
      </c>
      <c r="B914">
        <v>45623</v>
      </c>
      <c r="C914" t="s">
        <v>2538</v>
      </c>
      <c r="D914" t="s">
        <v>67</v>
      </c>
      <c r="E914">
        <v>4</v>
      </c>
      <c r="F914">
        <v>12</v>
      </c>
      <c r="G914">
        <v>4.3899999999999997</v>
      </c>
      <c r="H914" t="s">
        <v>510</v>
      </c>
      <c r="I914" t="s">
        <v>1805</v>
      </c>
      <c r="J914" t="s">
        <v>27</v>
      </c>
      <c r="K914" t="s">
        <v>70</v>
      </c>
    </row>
    <row r="915" spans="1:11" x14ac:dyDescent="0.45">
      <c r="A915" t="s">
        <v>1275</v>
      </c>
      <c r="B915">
        <v>45623</v>
      </c>
      <c r="C915" t="s">
        <v>2539</v>
      </c>
      <c r="D915" t="s">
        <v>24</v>
      </c>
      <c r="E915">
        <v>10</v>
      </c>
      <c r="F915">
        <v>25</v>
      </c>
      <c r="G915">
        <v>9.83</v>
      </c>
      <c r="H915" t="s">
        <v>389</v>
      </c>
      <c r="I915" t="s">
        <v>1699</v>
      </c>
      <c r="J915" t="s">
        <v>20</v>
      </c>
      <c r="K915" t="s">
        <v>34</v>
      </c>
    </row>
    <row r="916" spans="1:11" x14ac:dyDescent="0.45">
      <c r="A916" t="s">
        <v>1276</v>
      </c>
      <c r="B916">
        <v>45623</v>
      </c>
      <c r="C916" t="s">
        <v>2540</v>
      </c>
      <c r="D916" t="s">
        <v>67</v>
      </c>
      <c r="E916">
        <v>2</v>
      </c>
      <c r="F916">
        <v>12</v>
      </c>
      <c r="G916">
        <v>3.46</v>
      </c>
      <c r="H916" t="s">
        <v>206</v>
      </c>
      <c r="I916" t="s">
        <v>1548</v>
      </c>
      <c r="J916" t="s">
        <v>20</v>
      </c>
      <c r="K916" t="s">
        <v>43</v>
      </c>
    </row>
    <row r="917" spans="1:11" x14ac:dyDescent="0.45">
      <c r="A917" t="s">
        <v>1277</v>
      </c>
      <c r="B917">
        <v>45624</v>
      </c>
      <c r="C917" t="s">
        <v>2541</v>
      </c>
      <c r="D917" t="s">
        <v>24</v>
      </c>
      <c r="E917">
        <v>2</v>
      </c>
      <c r="F917">
        <v>25</v>
      </c>
      <c r="G917">
        <v>7.66</v>
      </c>
      <c r="H917" t="s">
        <v>68</v>
      </c>
      <c r="I917" t="s">
        <v>1451</v>
      </c>
      <c r="J917" t="s">
        <v>27</v>
      </c>
      <c r="K917" t="s">
        <v>34</v>
      </c>
    </row>
    <row r="918" spans="1:11" x14ac:dyDescent="0.45">
      <c r="A918" t="s">
        <v>1278</v>
      </c>
      <c r="B918">
        <v>45625</v>
      </c>
      <c r="C918" t="s">
        <v>2542</v>
      </c>
      <c r="D918" t="s">
        <v>17</v>
      </c>
      <c r="E918">
        <v>10</v>
      </c>
      <c r="F918">
        <v>10</v>
      </c>
      <c r="G918">
        <v>2.0299999999999998</v>
      </c>
      <c r="H918" t="s">
        <v>434</v>
      </c>
      <c r="I918" t="s">
        <v>1741</v>
      </c>
      <c r="J918" t="s">
        <v>20</v>
      </c>
      <c r="K918" t="s">
        <v>74</v>
      </c>
    </row>
    <row r="919" spans="1:11" x14ac:dyDescent="0.45">
      <c r="A919" t="s">
        <v>1279</v>
      </c>
      <c r="B919">
        <v>45625</v>
      </c>
      <c r="C919" t="s">
        <v>2543</v>
      </c>
      <c r="D919" t="s">
        <v>17</v>
      </c>
      <c r="E919">
        <v>10</v>
      </c>
      <c r="F919">
        <v>10</v>
      </c>
      <c r="G919">
        <v>3.83</v>
      </c>
      <c r="H919" t="s">
        <v>524</v>
      </c>
      <c r="I919" t="s">
        <v>1817</v>
      </c>
      <c r="J919" t="s">
        <v>42</v>
      </c>
      <c r="K919" t="s">
        <v>34</v>
      </c>
    </row>
    <row r="920" spans="1:11" x14ac:dyDescent="0.45">
      <c r="A920" t="s">
        <v>1280</v>
      </c>
      <c r="B920">
        <v>45625</v>
      </c>
      <c r="C920" t="s">
        <v>2544</v>
      </c>
      <c r="D920" t="s">
        <v>24</v>
      </c>
      <c r="E920">
        <v>2</v>
      </c>
      <c r="F920">
        <v>25</v>
      </c>
      <c r="G920">
        <v>7.63</v>
      </c>
      <c r="H920" t="s">
        <v>245</v>
      </c>
      <c r="I920" t="s">
        <v>1578</v>
      </c>
      <c r="J920" t="s">
        <v>47</v>
      </c>
      <c r="K920" t="s">
        <v>74</v>
      </c>
    </row>
    <row r="921" spans="1:11" x14ac:dyDescent="0.45">
      <c r="A921" t="s">
        <v>1281</v>
      </c>
      <c r="B921">
        <v>45625</v>
      </c>
      <c r="C921" t="s">
        <v>2545</v>
      </c>
      <c r="D921" t="s">
        <v>50</v>
      </c>
      <c r="E921">
        <v>4</v>
      </c>
      <c r="F921">
        <v>15</v>
      </c>
      <c r="G921">
        <v>4.93</v>
      </c>
      <c r="H921" t="s">
        <v>118</v>
      </c>
      <c r="I921" t="s">
        <v>1485</v>
      </c>
      <c r="J921" t="s">
        <v>27</v>
      </c>
      <c r="K921" t="s">
        <v>70</v>
      </c>
    </row>
    <row r="922" spans="1:11" x14ac:dyDescent="0.45">
      <c r="A922" t="s">
        <v>1282</v>
      </c>
      <c r="B922">
        <v>45627</v>
      </c>
      <c r="C922" t="s">
        <v>2546</v>
      </c>
      <c r="D922" t="s">
        <v>24</v>
      </c>
      <c r="E922">
        <v>8</v>
      </c>
      <c r="F922">
        <v>25</v>
      </c>
      <c r="G922">
        <v>7.07</v>
      </c>
      <c r="H922" t="s">
        <v>840</v>
      </c>
      <c r="I922" t="s">
        <v>2114</v>
      </c>
      <c r="J922" t="s">
        <v>27</v>
      </c>
      <c r="K922" t="s">
        <v>38</v>
      </c>
    </row>
    <row r="923" spans="1:11" x14ac:dyDescent="0.45">
      <c r="A923" t="s">
        <v>1283</v>
      </c>
      <c r="B923">
        <v>45627</v>
      </c>
      <c r="C923" t="s">
        <v>2547</v>
      </c>
      <c r="D923" t="s">
        <v>67</v>
      </c>
      <c r="E923">
        <v>9</v>
      </c>
      <c r="F923">
        <v>12</v>
      </c>
      <c r="G923">
        <v>2.78</v>
      </c>
      <c r="H923" t="s">
        <v>174</v>
      </c>
      <c r="I923" t="s">
        <v>1526</v>
      </c>
      <c r="J923" t="s">
        <v>20</v>
      </c>
      <c r="K923" t="s">
        <v>43</v>
      </c>
    </row>
    <row r="924" spans="1:11" x14ac:dyDescent="0.45">
      <c r="A924" t="s">
        <v>1284</v>
      </c>
      <c r="B924">
        <v>45627</v>
      </c>
      <c r="C924" t="s">
        <v>2548</v>
      </c>
      <c r="D924" t="s">
        <v>31</v>
      </c>
      <c r="E924">
        <v>3</v>
      </c>
      <c r="F924">
        <v>40</v>
      </c>
      <c r="G924">
        <v>15.33</v>
      </c>
      <c r="H924" t="s">
        <v>598</v>
      </c>
      <c r="I924" t="s">
        <v>1884</v>
      </c>
      <c r="J924" t="s">
        <v>27</v>
      </c>
      <c r="K924" t="s">
        <v>21</v>
      </c>
    </row>
    <row r="925" spans="1:11" x14ac:dyDescent="0.45">
      <c r="A925" t="s">
        <v>1285</v>
      </c>
      <c r="B925">
        <v>45628</v>
      </c>
      <c r="C925" t="s">
        <v>2549</v>
      </c>
      <c r="D925" t="s">
        <v>67</v>
      </c>
      <c r="E925">
        <v>1</v>
      </c>
      <c r="F925">
        <v>12</v>
      </c>
      <c r="G925">
        <v>4.46</v>
      </c>
      <c r="H925" t="s">
        <v>45</v>
      </c>
      <c r="I925" t="s">
        <v>1439</v>
      </c>
      <c r="J925" t="s">
        <v>20</v>
      </c>
      <c r="K925" t="s">
        <v>43</v>
      </c>
    </row>
    <row r="926" spans="1:11" x14ac:dyDescent="0.45">
      <c r="A926" t="s">
        <v>1286</v>
      </c>
      <c r="B926">
        <v>45629</v>
      </c>
      <c r="C926" t="s">
        <v>2550</v>
      </c>
      <c r="D926" t="s">
        <v>50</v>
      </c>
      <c r="E926">
        <v>10</v>
      </c>
      <c r="F926">
        <v>15</v>
      </c>
      <c r="G926">
        <v>3.12</v>
      </c>
      <c r="H926" t="s">
        <v>904</v>
      </c>
      <c r="I926" t="s">
        <v>2175</v>
      </c>
      <c r="J926" t="s">
        <v>27</v>
      </c>
      <c r="K926" t="s">
        <v>34</v>
      </c>
    </row>
    <row r="927" spans="1:11" x14ac:dyDescent="0.45">
      <c r="A927" t="s">
        <v>1287</v>
      </c>
      <c r="B927">
        <v>45629</v>
      </c>
      <c r="C927" t="s">
        <v>2551</v>
      </c>
      <c r="D927" t="s">
        <v>24</v>
      </c>
      <c r="E927">
        <v>5</v>
      </c>
      <c r="F927">
        <v>25</v>
      </c>
      <c r="G927">
        <v>5.22</v>
      </c>
      <c r="H927" t="s">
        <v>289</v>
      </c>
      <c r="I927" t="s">
        <v>1613</v>
      </c>
      <c r="J927" t="s">
        <v>47</v>
      </c>
      <c r="K927" t="s">
        <v>74</v>
      </c>
    </row>
    <row r="928" spans="1:11" x14ac:dyDescent="0.45">
      <c r="A928" t="s">
        <v>1288</v>
      </c>
      <c r="B928">
        <v>45630</v>
      </c>
      <c r="C928" t="s">
        <v>2552</v>
      </c>
      <c r="D928" t="s">
        <v>24</v>
      </c>
      <c r="E928">
        <v>2</v>
      </c>
      <c r="F928">
        <v>25</v>
      </c>
      <c r="G928">
        <v>7.12</v>
      </c>
      <c r="H928" t="s">
        <v>773</v>
      </c>
      <c r="I928" t="s">
        <v>2049</v>
      </c>
      <c r="J928" t="s">
        <v>47</v>
      </c>
      <c r="K928" t="s">
        <v>28</v>
      </c>
    </row>
    <row r="929" spans="1:11" x14ac:dyDescent="0.45">
      <c r="A929" t="s">
        <v>1289</v>
      </c>
      <c r="B929">
        <v>45631</v>
      </c>
      <c r="C929" t="s">
        <v>2553</v>
      </c>
      <c r="D929" t="s">
        <v>67</v>
      </c>
      <c r="E929">
        <v>4</v>
      </c>
      <c r="G929">
        <v>4.01</v>
      </c>
      <c r="H929" t="s">
        <v>1232</v>
      </c>
      <c r="I929" t="s">
        <v>2497</v>
      </c>
      <c r="J929" t="s">
        <v>27</v>
      </c>
      <c r="K929" t="s">
        <v>74</v>
      </c>
    </row>
    <row r="930" spans="1:11" x14ac:dyDescent="0.45">
      <c r="A930" t="s">
        <v>1290</v>
      </c>
      <c r="B930">
        <v>45631</v>
      </c>
      <c r="C930" t="s">
        <v>2554</v>
      </c>
      <c r="D930" t="s">
        <v>31</v>
      </c>
      <c r="E930">
        <v>8</v>
      </c>
      <c r="F930">
        <v>40</v>
      </c>
      <c r="G930">
        <v>8.52</v>
      </c>
      <c r="H930" t="s">
        <v>251</v>
      </c>
      <c r="I930" t="s">
        <v>1583</v>
      </c>
      <c r="J930" t="s">
        <v>27</v>
      </c>
      <c r="K930" t="s">
        <v>21</v>
      </c>
    </row>
    <row r="931" spans="1:11" x14ac:dyDescent="0.45">
      <c r="A931" t="s">
        <v>1291</v>
      </c>
      <c r="B931">
        <v>45631</v>
      </c>
      <c r="C931" t="s">
        <v>2555</v>
      </c>
      <c r="D931" t="s">
        <v>24</v>
      </c>
      <c r="E931">
        <v>10</v>
      </c>
      <c r="F931">
        <v>25</v>
      </c>
      <c r="G931">
        <v>6.39</v>
      </c>
      <c r="H931" t="s">
        <v>573</v>
      </c>
      <c r="I931" t="s">
        <v>1860</v>
      </c>
      <c r="J931" t="s">
        <v>20</v>
      </c>
      <c r="K931" t="s">
        <v>59</v>
      </c>
    </row>
    <row r="932" spans="1:11" x14ac:dyDescent="0.45">
      <c r="A932" t="s">
        <v>1292</v>
      </c>
      <c r="B932">
        <v>45631</v>
      </c>
      <c r="C932" t="s">
        <v>2556</v>
      </c>
      <c r="D932" t="s">
        <v>24</v>
      </c>
      <c r="E932">
        <v>6</v>
      </c>
      <c r="F932">
        <v>25</v>
      </c>
      <c r="G932">
        <v>7.8</v>
      </c>
      <c r="H932" t="s">
        <v>550</v>
      </c>
      <c r="I932" t="s">
        <v>1841</v>
      </c>
      <c r="J932" t="s">
        <v>20</v>
      </c>
      <c r="K932" t="s">
        <v>28</v>
      </c>
    </row>
    <row r="933" spans="1:11" x14ac:dyDescent="0.45">
      <c r="A933" t="s">
        <v>1293</v>
      </c>
      <c r="B933">
        <v>45631</v>
      </c>
      <c r="C933" t="s">
        <v>2557</v>
      </c>
      <c r="D933" t="s">
        <v>31</v>
      </c>
      <c r="E933">
        <v>4</v>
      </c>
      <c r="F933">
        <v>40</v>
      </c>
      <c r="G933">
        <v>8.2899999999999991</v>
      </c>
      <c r="H933" t="s">
        <v>156</v>
      </c>
      <c r="I933" t="s">
        <v>1511</v>
      </c>
      <c r="J933" t="s">
        <v>20</v>
      </c>
      <c r="K933" t="s">
        <v>43</v>
      </c>
    </row>
    <row r="934" spans="1:11" x14ac:dyDescent="0.45">
      <c r="A934" t="s">
        <v>1294</v>
      </c>
      <c r="B934">
        <v>45632</v>
      </c>
      <c r="C934" t="s">
        <v>2558</v>
      </c>
      <c r="D934" t="s">
        <v>17</v>
      </c>
      <c r="E934">
        <v>10</v>
      </c>
      <c r="F934">
        <v>10</v>
      </c>
      <c r="G934">
        <v>3.14</v>
      </c>
      <c r="H934" t="s">
        <v>703</v>
      </c>
      <c r="I934" t="s">
        <v>1982</v>
      </c>
      <c r="J934" t="s">
        <v>27</v>
      </c>
      <c r="K934" t="s">
        <v>70</v>
      </c>
    </row>
    <row r="935" spans="1:11" x14ac:dyDescent="0.45">
      <c r="A935" t="s">
        <v>1295</v>
      </c>
      <c r="B935">
        <v>45632</v>
      </c>
      <c r="C935" t="s">
        <v>2559</v>
      </c>
      <c r="D935" t="s">
        <v>24</v>
      </c>
      <c r="E935">
        <v>3</v>
      </c>
      <c r="F935">
        <v>25</v>
      </c>
      <c r="G935">
        <v>8.4700000000000006</v>
      </c>
      <c r="H935" t="s">
        <v>561</v>
      </c>
      <c r="I935" t="s">
        <v>1850</v>
      </c>
      <c r="J935" t="s">
        <v>20</v>
      </c>
      <c r="K935" t="s">
        <v>43</v>
      </c>
    </row>
    <row r="936" spans="1:11" x14ac:dyDescent="0.45">
      <c r="A936" t="s">
        <v>1296</v>
      </c>
      <c r="B936">
        <v>45632</v>
      </c>
      <c r="C936" t="s">
        <v>2560</v>
      </c>
      <c r="D936" t="s">
        <v>31</v>
      </c>
      <c r="E936">
        <v>9</v>
      </c>
      <c r="F936">
        <v>40</v>
      </c>
      <c r="G936">
        <v>14.84</v>
      </c>
      <c r="H936" t="s">
        <v>337</v>
      </c>
      <c r="I936" t="s">
        <v>1654</v>
      </c>
      <c r="J936" t="s">
        <v>27</v>
      </c>
      <c r="K936" t="s">
        <v>21</v>
      </c>
    </row>
    <row r="937" spans="1:11" x14ac:dyDescent="0.45">
      <c r="A937" t="s">
        <v>1297</v>
      </c>
      <c r="B937">
        <v>45633</v>
      </c>
      <c r="C937" t="s">
        <v>2561</v>
      </c>
      <c r="D937" t="s">
        <v>17</v>
      </c>
      <c r="E937">
        <v>6</v>
      </c>
      <c r="F937">
        <v>10</v>
      </c>
      <c r="G937">
        <v>3.49</v>
      </c>
      <c r="H937" t="s">
        <v>238</v>
      </c>
      <c r="I937" t="s">
        <v>1573</v>
      </c>
      <c r="J937" t="s">
        <v>27</v>
      </c>
      <c r="K937" t="s">
        <v>70</v>
      </c>
    </row>
    <row r="938" spans="1:11" x14ac:dyDescent="0.45">
      <c r="A938" t="s">
        <v>1298</v>
      </c>
      <c r="B938">
        <v>45633</v>
      </c>
      <c r="C938" t="s">
        <v>2562</v>
      </c>
      <c r="D938" t="s">
        <v>50</v>
      </c>
      <c r="E938">
        <v>2</v>
      </c>
      <c r="F938">
        <v>15</v>
      </c>
      <c r="G938">
        <v>5.61</v>
      </c>
      <c r="H938" t="s">
        <v>124</v>
      </c>
      <c r="I938" t="s">
        <v>1489</v>
      </c>
      <c r="J938" t="s">
        <v>27</v>
      </c>
      <c r="K938" t="s">
        <v>21</v>
      </c>
    </row>
    <row r="939" spans="1:11" x14ac:dyDescent="0.45">
      <c r="A939" t="s">
        <v>1299</v>
      </c>
      <c r="B939">
        <v>45633</v>
      </c>
      <c r="C939" t="s">
        <v>2563</v>
      </c>
      <c r="D939" t="s">
        <v>24</v>
      </c>
      <c r="E939">
        <v>7</v>
      </c>
      <c r="G939">
        <v>7.45</v>
      </c>
      <c r="H939" t="s">
        <v>51</v>
      </c>
      <c r="I939" t="s">
        <v>1441</v>
      </c>
      <c r="J939" t="s">
        <v>27</v>
      </c>
      <c r="K939" t="s">
        <v>28</v>
      </c>
    </row>
    <row r="940" spans="1:11" x14ac:dyDescent="0.45">
      <c r="A940" t="s">
        <v>1300</v>
      </c>
      <c r="B940">
        <v>45635</v>
      </c>
      <c r="C940" t="s">
        <v>2564</v>
      </c>
      <c r="D940" t="s">
        <v>31</v>
      </c>
      <c r="E940">
        <v>3</v>
      </c>
      <c r="F940">
        <v>40</v>
      </c>
      <c r="G940">
        <v>13.88</v>
      </c>
      <c r="H940" t="s">
        <v>473</v>
      </c>
      <c r="I940" t="s">
        <v>1773</v>
      </c>
      <c r="J940" t="s">
        <v>27</v>
      </c>
      <c r="K940" t="s">
        <v>74</v>
      </c>
    </row>
    <row r="941" spans="1:11" x14ac:dyDescent="0.45">
      <c r="A941" t="s">
        <v>1301</v>
      </c>
      <c r="B941">
        <v>45635</v>
      </c>
      <c r="C941" t="s">
        <v>2565</v>
      </c>
      <c r="D941" t="s">
        <v>31</v>
      </c>
      <c r="E941">
        <v>10</v>
      </c>
      <c r="F941">
        <v>40</v>
      </c>
      <c r="G941">
        <v>10.5</v>
      </c>
      <c r="H941" t="s">
        <v>565</v>
      </c>
      <c r="I941" t="s">
        <v>1853</v>
      </c>
      <c r="J941" t="s">
        <v>27</v>
      </c>
      <c r="K941" t="s">
        <v>59</v>
      </c>
    </row>
    <row r="942" spans="1:11" x14ac:dyDescent="0.45">
      <c r="A942" t="s">
        <v>1302</v>
      </c>
      <c r="B942">
        <v>45636</v>
      </c>
      <c r="C942" t="s">
        <v>2566</v>
      </c>
      <c r="D942" t="s">
        <v>50</v>
      </c>
      <c r="E942">
        <v>3</v>
      </c>
      <c r="F942">
        <v>15</v>
      </c>
      <c r="G942">
        <v>3.32</v>
      </c>
      <c r="H942" t="s">
        <v>209</v>
      </c>
      <c r="I942" t="s">
        <v>1550</v>
      </c>
      <c r="J942" t="s">
        <v>27</v>
      </c>
      <c r="K942" t="s">
        <v>38</v>
      </c>
    </row>
    <row r="943" spans="1:11" x14ac:dyDescent="0.45">
      <c r="A943" t="s">
        <v>1303</v>
      </c>
      <c r="B943">
        <v>45636</v>
      </c>
      <c r="C943" t="s">
        <v>2567</v>
      </c>
      <c r="D943" t="s">
        <v>31</v>
      </c>
      <c r="E943">
        <v>10</v>
      </c>
      <c r="F943">
        <v>40</v>
      </c>
      <c r="G943">
        <v>11.45</v>
      </c>
      <c r="H943" t="s">
        <v>191</v>
      </c>
      <c r="I943" t="s">
        <v>1538</v>
      </c>
      <c r="J943" t="s">
        <v>47</v>
      </c>
      <c r="K943" t="s">
        <v>59</v>
      </c>
    </row>
    <row r="944" spans="1:11" x14ac:dyDescent="0.45">
      <c r="A944" t="s">
        <v>1304</v>
      </c>
      <c r="B944">
        <v>45637</v>
      </c>
      <c r="C944" t="s">
        <v>2568</v>
      </c>
      <c r="D944" t="s">
        <v>24</v>
      </c>
      <c r="E944">
        <v>10</v>
      </c>
      <c r="F944">
        <v>25</v>
      </c>
      <c r="G944">
        <v>9.69</v>
      </c>
      <c r="H944" t="s">
        <v>835</v>
      </c>
      <c r="I944" t="s">
        <v>2109</v>
      </c>
      <c r="J944" t="s">
        <v>27</v>
      </c>
      <c r="K944" t="s">
        <v>38</v>
      </c>
    </row>
    <row r="945" spans="1:11" x14ac:dyDescent="0.45">
      <c r="A945" t="s">
        <v>1305</v>
      </c>
      <c r="B945">
        <v>45637</v>
      </c>
      <c r="C945" t="s">
        <v>2569</v>
      </c>
      <c r="D945" t="s">
        <v>67</v>
      </c>
      <c r="E945">
        <v>9</v>
      </c>
      <c r="F945">
        <v>12</v>
      </c>
      <c r="G945">
        <v>3.65</v>
      </c>
      <c r="H945" t="s">
        <v>363</v>
      </c>
      <c r="I945" t="s">
        <v>1677</v>
      </c>
      <c r="J945" t="s">
        <v>47</v>
      </c>
      <c r="K945" t="s">
        <v>21</v>
      </c>
    </row>
    <row r="946" spans="1:11" x14ac:dyDescent="0.45">
      <c r="A946" t="s">
        <v>1306</v>
      </c>
      <c r="B946">
        <v>45637</v>
      </c>
      <c r="C946" t="s">
        <v>2570</v>
      </c>
      <c r="D946" t="s">
        <v>24</v>
      </c>
      <c r="E946">
        <v>5</v>
      </c>
      <c r="F946">
        <v>25</v>
      </c>
      <c r="G946">
        <v>8.9600000000000009</v>
      </c>
      <c r="H946" t="s">
        <v>561</v>
      </c>
      <c r="I946" t="s">
        <v>1850</v>
      </c>
      <c r="J946" t="s">
        <v>27</v>
      </c>
      <c r="K946" t="s">
        <v>43</v>
      </c>
    </row>
    <row r="947" spans="1:11" x14ac:dyDescent="0.45">
      <c r="A947" t="s">
        <v>1307</v>
      </c>
      <c r="B947">
        <v>45637</v>
      </c>
      <c r="C947" t="s">
        <v>2571</v>
      </c>
      <c r="D947" t="s">
        <v>24</v>
      </c>
      <c r="E947">
        <v>4</v>
      </c>
      <c r="F947">
        <v>25</v>
      </c>
      <c r="G947">
        <v>9.9499999999999993</v>
      </c>
      <c r="H947" t="s">
        <v>387</v>
      </c>
      <c r="I947" t="s">
        <v>1697</v>
      </c>
      <c r="J947" t="s">
        <v>27</v>
      </c>
      <c r="K947" t="s">
        <v>43</v>
      </c>
    </row>
    <row r="948" spans="1:11" x14ac:dyDescent="0.45">
      <c r="A948" t="s">
        <v>1308</v>
      </c>
      <c r="B948">
        <v>45637</v>
      </c>
      <c r="C948" t="s">
        <v>2572</v>
      </c>
      <c r="D948" t="s">
        <v>67</v>
      </c>
      <c r="E948">
        <v>3</v>
      </c>
      <c r="F948">
        <v>12</v>
      </c>
      <c r="G948">
        <v>4.3899999999999997</v>
      </c>
      <c r="H948" t="s">
        <v>289</v>
      </c>
      <c r="I948" t="s">
        <v>1613</v>
      </c>
      <c r="J948" t="s">
        <v>20</v>
      </c>
      <c r="K948" t="s">
        <v>43</v>
      </c>
    </row>
    <row r="949" spans="1:11" x14ac:dyDescent="0.45">
      <c r="A949" t="s">
        <v>1309</v>
      </c>
      <c r="B949">
        <v>45638</v>
      </c>
      <c r="C949" t="s">
        <v>2573</v>
      </c>
      <c r="D949" t="s">
        <v>24</v>
      </c>
      <c r="E949">
        <v>5</v>
      </c>
      <c r="F949">
        <v>25</v>
      </c>
      <c r="G949">
        <v>9.1199999999999992</v>
      </c>
      <c r="H949" t="s">
        <v>449</v>
      </c>
      <c r="I949" t="s">
        <v>1753</v>
      </c>
      <c r="J949" t="s">
        <v>27</v>
      </c>
      <c r="K949" t="s">
        <v>134</v>
      </c>
    </row>
    <row r="950" spans="1:11" x14ac:dyDescent="0.45">
      <c r="A950" t="s">
        <v>1310</v>
      </c>
      <c r="B950">
        <v>45638</v>
      </c>
      <c r="C950" t="s">
        <v>2574</v>
      </c>
      <c r="D950" t="s">
        <v>17</v>
      </c>
      <c r="E950">
        <v>5</v>
      </c>
      <c r="F950">
        <v>10</v>
      </c>
      <c r="G950">
        <v>2.04</v>
      </c>
      <c r="H950" t="s">
        <v>356</v>
      </c>
      <c r="I950" t="s">
        <v>1671</v>
      </c>
      <c r="J950" t="s">
        <v>27</v>
      </c>
      <c r="K950" t="s">
        <v>21</v>
      </c>
    </row>
    <row r="951" spans="1:11" x14ac:dyDescent="0.45">
      <c r="A951" t="s">
        <v>1311</v>
      </c>
      <c r="B951">
        <v>45639</v>
      </c>
      <c r="C951" t="s">
        <v>2575</v>
      </c>
      <c r="D951" t="s">
        <v>50</v>
      </c>
      <c r="E951">
        <v>5</v>
      </c>
      <c r="F951">
        <v>15</v>
      </c>
      <c r="G951">
        <v>5.67</v>
      </c>
      <c r="H951" t="s">
        <v>108</v>
      </c>
      <c r="I951" t="s">
        <v>1478</v>
      </c>
      <c r="J951" t="s">
        <v>27</v>
      </c>
      <c r="K951" t="s">
        <v>28</v>
      </c>
    </row>
    <row r="952" spans="1:11" x14ac:dyDescent="0.45">
      <c r="A952" t="s">
        <v>1312</v>
      </c>
      <c r="B952">
        <v>45639</v>
      </c>
      <c r="C952" t="s">
        <v>2576</v>
      </c>
      <c r="D952" t="s">
        <v>50</v>
      </c>
      <c r="E952">
        <v>1</v>
      </c>
      <c r="F952">
        <v>15</v>
      </c>
      <c r="G952">
        <v>5.36</v>
      </c>
      <c r="H952" t="s">
        <v>576</v>
      </c>
      <c r="I952" t="s">
        <v>1862</v>
      </c>
      <c r="J952" t="s">
        <v>42</v>
      </c>
      <c r="K952" t="s">
        <v>56</v>
      </c>
    </row>
    <row r="953" spans="1:11" x14ac:dyDescent="0.45">
      <c r="A953" t="s">
        <v>1313</v>
      </c>
      <c r="B953">
        <v>45640</v>
      </c>
      <c r="C953" t="s">
        <v>2577</v>
      </c>
      <c r="D953" t="s">
        <v>50</v>
      </c>
      <c r="E953">
        <v>5</v>
      </c>
      <c r="F953">
        <v>15</v>
      </c>
      <c r="G953">
        <v>3.45</v>
      </c>
      <c r="H953" t="s">
        <v>904</v>
      </c>
      <c r="I953" t="s">
        <v>2175</v>
      </c>
      <c r="J953" t="s">
        <v>27</v>
      </c>
      <c r="K953" t="s">
        <v>56</v>
      </c>
    </row>
    <row r="954" spans="1:11" x14ac:dyDescent="0.45">
      <c r="A954" t="s">
        <v>1314</v>
      </c>
      <c r="B954">
        <v>45641</v>
      </c>
      <c r="C954" t="s">
        <v>2578</v>
      </c>
      <c r="D954" t="s">
        <v>67</v>
      </c>
      <c r="E954">
        <v>9</v>
      </c>
      <c r="F954">
        <v>12</v>
      </c>
      <c r="G954">
        <v>3.54</v>
      </c>
      <c r="H954" t="s">
        <v>166</v>
      </c>
      <c r="I954" t="s">
        <v>1520</v>
      </c>
      <c r="J954" t="s">
        <v>27</v>
      </c>
      <c r="K954" t="s">
        <v>70</v>
      </c>
    </row>
    <row r="955" spans="1:11" x14ac:dyDescent="0.45">
      <c r="A955" t="s">
        <v>1315</v>
      </c>
      <c r="B955">
        <v>45641</v>
      </c>
      <c r="C955" t="s">
        <v>2579</v>
      </c>
      <c r="D955" t="s">
        <v>67</v>
      </c>
      <c r="E955">
        <v>5</v>
      </c>
      <c r="F955">
        <v>12</v>
      </c>
      <c r="G955">
        <v>4.01</v>
      </c>
      <c r="H955" t="s">
        <v>684</v>
      </c>
      <c r="I955" t="s">
        <v>1964</v>
      </c>
      <c r="J955" t="s">
        <v>27</v>
      </c>
      <c r="K955" t="s">
        <v>56</v>
      </c>
    </row>
    <row r="956" spans="1:11" x14ac:dyDescent="0.45">
      <c r="A956" t="s">
        <v>1316</v>
      </c>
      <c r="B956">
        <v>45641</v>
      </c>
      <c r="C956" t="s">
        <v>2580</v>
      </c>
      <c r="D956" t="s">
        <v>31</v>
      </c>
      <c r="E956">
        <v>10</v>
      </c>
      <c r="F956">
        <v>40</v>
      </c>
      <c r="G956">
        <v>15.7</v>
      </c>
      <c r="H956" t="s">
        <v>453</v>
      </c>
      <c r="I956" t="s">
        <v>1756</v>
      </c>
      <c r="J956" t="s">
        <v>20</v>
      </c>
      <c r="K956" t="s">
        <v>43</v>
      </c>
    </row>
    <row r="957" spans="1:11" x14ac:dyDescent="0.45">
      <c r="A957" t="s">
        <v>1317</v>
      </c>
      <c r="B957">
        <v>45641</v>
      </c>
      <c r="C957" t="s">
        <v>2581</v>
      </c>
      <c r="D957" t="s">
        <v>31</v>
      </c>
      <c r="E957">
        <v>3</v>
      </c>
      <c r="F957">
        <v>40</v>
      </c>
      <c r="G957">
        <v>12.54</v>
      </c>
      <c r="H957" t="s">
        <v>558</v>
      </c>
      <c r="I957" t="s">
        <v>1848</v>
      </c>
      <c r="J957" t="s">
        <v>27</v>
      </c>
      <c r="K957" t="s">
        <v>43</v>
      </c>
    </row>
    <row r="958" spans="1:11" x14ac:dyDescent="0.45">
      <c r="A958" t="s">
        <v>1318</v>
      </c>
      <c r="B958">
        <v>45641</v>
      </c>
      <c r="C958" t="s">
        <v>2582</v>
      </c>
      <c r="D958" t="s">
        <v>24</v>
      </c>
      <c r="E958">
        <v>5</v>
      </c>
      <c r="F958">
        <v>25</v>
      </c>
      <c r="G958">
        <v>8.98</v>
      </c>
      <c r="H958" t="s">
        <v>326</v>
      </c>
      <c r="I958" t="s">
        <v>1645</v>
      </c>
      <c r="J958" t="s">
        <v>47</v>
      </c>
      <c r="K958" t="s">
        <v>21</v>
      </c>
    </row>
    <row r="959" spans="1:11" x14ac:dyDescent="0.45">
      <c r="A959" t="s">
        <v>1319</v>
      </c>
      <c r="B959">
        <v>45642</v>
      </c>
      <c r="C959" t="s">
        <v>2583</v>
      </c>
      <c r="D959" t="s">
        <v>31</v>
      </c>
      <c r="E959">
        <v>7</v>
      </c>
      <c r="F959">
        <v>40</v>
      </c>
      <c r="G959">
        <v>14.44</v>
      </c>
      <c r="H959" t="s">
        <v>248</v>
      </c>
      <c r="I959" t="s">
        <v>1581</v>
      </c>
      <c r="J959" t="s">
        <v>27</v>
      </c>
      <c r="K959" t="s">
        <v>28</v>
      </c>
    </row>
    <row r="960" spans="1:11" x14ac:dyDescent="0.45">
      <c r="A960" t="s">
        <v>1320</v>
      </c>
      <c r="B960">
        <v>45642</v>
      </c>
      <c r="C960" t="s">
        <v>2584</v>
      </c>
      <c r="D960" t="s">
        <v>31</v>
      </c>
      <c r="E960">
        <v>8</v>
      </c>
      <c r="F960">
        <v>40</v>
      </c>
      <c r="G960">
        <v>9.3699999999999992</v>
      </c>
      <c r="H960" t="s">
        <v>550</v>
      </c>
      <c r="I960" t="s">
        <v>1841</v>
      </c>
      <c r="J960" t="s">
        <v>27</v>
      </c>
      <c r="K960" t="s">
        <v>28</v>
      </c>
    </row>
    <row r="961" spans="1:11" x14ac:dyDescent="0.45">
      <c r="A961" t="s">
        <v>1321</v>
      </c>
      <c r="B961">
        <v>45642</v>
      </c>
      <c r="C961" t="s">
        <v>2585</v>
      </c>
      <c r="D961" t="s">
        <v>67</v>
      </c>
      <c r="E961">
        <v>8</v>
      </c>
      <c r="F961">
        <v>12</v>
      </c>
      <c r="G961">
        <v>2.73</v>
      </c>
      <c r="H961" t="s">
        <v>598</v>
      </c>
      <c r="I961" t="s">
        <v>1884</v>
      </c>
      <c r="J961" t="s">
        <v>20</v>
      </c>
      <c r="K961" t="s">
        <v>21</v>
      </c>
    </row>
    <row r="962" spans="1:11" x14ac:dyDescent="0.45">
      <c r="A962" t="s">
        <v>1322</v>
      </c>
      <c r="B962">
        <v>45643</v>
      </c>
      <c r="C962" t="s">
        <v>2586</v>
      </c>
      <c r="D962" t="s">
        <v>50</v>
      </c>
      <c r="E962">
        <v>5</v>
      </c>
      <c r="F962">
        <v>15</v>
      </c>
      <c r="G962">
        <v>5.13</v>
      </c>
      <c r="H962" t="s">
        <v>748</v>
      </c>
      <c r="I962" t="s">
        <v>2026</v>
      </c>
      <c r="J962" t="s">
        <v>27</v>
      </c>
      <c r="K962" t="s">
        <v>56</v>
      </c>
    </row>
    <row r="963" spans="1:11" x14ac:dyDescent="0.45">
      <c r="A963" t="s">
        <v>1323</v>
      </c>
      <c r="B963">
        <v>45643</v>
      </c>
      <c r="C963" t="s">
        <v>2587</v>
      </c>
      <c r="D963" t="s">
        <v>17</v>
      </c>
      <c r="E963">
        <v>3</v>
      </c>
      <c r="F963">
        <v>10</v>
      </c>
      <c r="G963">
        <v>2.86</v>
      </c>
      <c r="H963" t="s">
        <v>457</v>
      </c>
      <c r="I963" t="s">
        <v>1759</v>
      </c>
      <c r="J963" t="s">
        <v>27</v>
      </c>
      <c r="K963" t="s">
        <v>34</v>
      </c>
    </row>
    <row r="964" spans="1:11" x14ac:dyDescent="0.45">
      <c r="A964" t="s">
        <v>1324</v>
      </c>
      <c r="B964">
        <v>45643</v>
      </c>
      <c r="C964" t="s">
        <v>2588</v>
      </c>
      <c r="D964" t="s">
        <v>50</v>
      </c>
      <c r="E964">
        <v>10</v>
      </c>
      <c r="F964">
        <v>15</v>
      </c>
      <c r="G964">
        <v>5.18</v>
      </c>
      <c r="H964" t="s">
        <v>185</v>
      </c>
      <c r="I964" t="s">
        <v>1534</v>
      </c>
      <c r="J964" t="s">
        <v>27</v>
      </c>
      <c r="K964" t="s">
        <v>21</v>
      </c>
    </row>
    <row r="965" spans="1:11" x14ac:dyDescent="0.45">
      <c r="A965" t="s">
        <v>1325</v>
      </c>
      <c r="B965">
        <v>45643</v>
      </c>
      <c r="C965" t="s">
        <v>2589</v>
      </c>
      <c r="D965" t="s">
        <v>24</v>
      </c>
      <c r="E965">
        <v>7</v>
      </c>
      <c r="F965">
        <v>25</v>
      </c>
      <c r="G965">
        <v>9.41</v>
      </c>
      <c r="H965" t="s">
        <v>296</v>
      </c>
      <c r="I965" t="s">
        <v>1619</v>
      </c>
      <c r="J965" t="s">
        <v>27</v>
      </c>
      <c r="K965" t="s">
        <v>21</v>
      </c>
    </row>
    <row r="966" spans="1:11" x14ac:dyDescent="0.45">
      <c r="A966" t="s">
        <v>1326</v>
      </c>
      <c r="B966">
        <v>45644</v>
      </c>
      <c r="C966" t="s">
        <v>2590</v>
      </c>
      <c r="D966" t="s">
        <v>31</v>
      </c>
      <c r="E966">
        <v>3</v>
      </c>
      <c r="F966">
        <v>40</v>
      </c>
      <c r="G966">
        <v>12.72</v>
      </c>
      <c r="H966" t="s">
        <v>482</v>
      </c>
      <c r="I966" t="s">
        <v>1779</v>
      </c>
      <c r="J966" t="s">
        <v>20</v>
      </c>
      <c r="K966" t="s">
        <v>34</v>
      </c>
    </row>
    <row r="967" spans="1:11" x14ac:dyDescent="0.45">
      <c r="A967" t="s">
        <v>1327</v>
      </c>
      <c r="B967">
        <v>45644</v>
      </c>
      <c r="C967" t="s">
        <v>2591</v>
      </c>
      <c r="D967" t="s">
        <v>24</v>
      </c>
      <c r="E967">
        <v>2</v>
      </c>
      <c r="F967">
        <v>25</v>
      </c>
      <c r="G967">
        <v>7.31</v>
      </c>
      <c r="H967" t="s">
        <v>305</v>
      </c>
      <c r="I967" t="s">
        <v>1628</v>
      </c>
      <c r="J967" t="s">
        <v>20</v>
      </c>
      <c r="K967" t="s">
        <v>74</v>
      </c>
    </row>
    <row r="968" spans="1:11" x14ac:dyDescent="0.45">
      <c r="A968" t="s">
        <v>1328</v>
      </c>
      <c r="B968">
        <v>45644</v>
      </c>
      <c r="C968" t="s">
        <v>2592</v>
      </c>
      <c r="D968" t="s">
        <v>17</v>
      </c>
      <c r="E968">
        <v>2</v>
      </c>
      <c r="F968">
        <v>10</v>
      </c>
      <c r="G968">
        <v>3.87</v>
      </c>
      <c r="H968" t="s">
        <v>365</v>
      </c>
      <c r="I968" t="s">
        <v>1679</v>
      </c>
      <c r="J968" t="s">
        <v>27</v>
      </c>
      <c r="K968" t="s">
        <v>21</v>
      </c>
    </row>
    <row r="969" spans="1:11" x14ac:dyDescent="0.45">
      <c r="A969" t="s">
        <v>1329</v>
      </c>
      <c r="B969">
        <v>45644</v>
      </c>
      <c r="C969" t="s">
        <v>2593</v>
      </c>
      <c r="D969" t="s">
        <v>24</v>
      </c>
      <c r="E969">
        <v>3</v>
      </c>
      <c r="F969">
        <v>25</v>
      </c>
      <c r="G969">
        <v>8.4600000000000009</v>
      </c>
      <c r="H969" t="s">
        <v>200</v>
      </c>
      <c r="I969" t="s">
        <v>1544</v>
      </c>
      <c r="J969" t="s">
        <v>27</v>
      </c>
      <c r="K969" t="s">
        <v>38</v>
      </c>
    </row>
    <row r="970" spans="1:11" x14ac:dyDescent="0.45">
      <c r="A970" t="s">
        <v>1330</v>
      </c>
      <c r="B970">
        <v>45645</v>
      </c>
      <c r="C970" t="s">
        <v>2594</v>
      </c>
      <c r="D970" t="s">
        <v>50</v>
      </c>
      <c r="E970">
        <v>8</v>
      </c>
      <c r="F970">
        <v>15</v>
      </c>
      <c r="G970">
        <v>4.0199999999999996</v>
      </c>
      <c r="H970" t="s">
        <v>348</v>
      </c>
      <c r="I970" t="s">
        <v>1665</v>
      </c>
      <c r="J970" t="s">
        <v>27</v>
      </c>
      <c r="K970" t="s">
        <v>21</v>
      </c>
    </row>
    <row r="971" spans="1:11" x14ac:dyDescent="0.45">
      <c r="A971" t="s">
        <v>1331</v>
      </c>
      <c r="B971">
        <v>45645</v>
      </c>
      <c r="C971" t="s">
        <v>2595</v>
      </c>
      <c r="D971" t="s">
        <v>31</v>
      </c>
      <c r="E971">
        <v>6</v>
      </c>
      <c r="F971">
        <v>40</v>
      </c>
      <c r="G971">
        <v>8.58</v>
      </c>
      <c r="H971" t="s">
        <v>1166</v>
      </c>
      <c r="I971" t="s">
        <v>2432</v>
      </c>
      <c r="J971" t="s">
        <v>20</v>
      </c>
      <c r="K971" t="s">
        <v>34</v>
      </c>
    </row>
    <row r="972" spans="1:11" x14ac:dyDescent="0.45">
      <c r="A972" t="s">
        <v>1332</v>
      </c>
      <c r="B972">
        <v>45645</v>
      </c>
      <c r="C972" t="s">
        <v>2596</v>
      </c>
      <c r="D972" t="s">
        <v>67</v>
      </c>
      <c r="E972">
        <v>10</v>
      </c>
      <c r="F972">
        <v>12</v>
      </c>
      <c r="G972">
        <v>2.78</v>
      </c>
      <c r="H972" t="s">
        <v>420</v>
      </c>
      <c r="I972" t="s">
        <v>1728</v>
      </c>
      <c r="J972" t="s">
        <v>27</v>
      </c>
      <c r="K972" t="s">
        <v>70</v>
      </c>
    </row>
    <row r="973" spans="1:11" x14ac:dyDescent="0.45">
      <c r="A973" t="s">
        <v>1333</v>
      </c>
      <c r="B973">
        <v>45646</v>
      </c>
      <c r="C973" t="s">
        <v>2597</v>
      </c>
      <c r="D973" t="s">
        <v>31</v>
      </c>
      <c r="E973">
        <v>5</v>
      </c>
      <c r="G973">
        <v>14.51</v>
      </c>
      <c r="H973" t="s">
        <v>473</v>
      </c>
      <c r="I973" t="s">
        <v>1773</v>
      </c>
      <c r="J973" t="s">
        <v>27</v>
      </c>
      <c r="K973" t="s">
        <v>21</v>
      </c>
    </row>
    <row r="974" spans="1:11" x14ac:dyDescent="0.45">
      <c r="A974" t="s">
        <v>1334</v>
      </c>
      <c r="B974">
        <v>45646</v>
      </c>
      <c r="C974" t="s">
        <v>2598</v>
      </c>
      <c r="D974" t="s">
        <v>17</v>
      </c>
      <c r="E974">
        <v>9</v>
      </c>
      <c r="F974">
        <v>10</v>
      </c>
      <c r="G974">
        <v>3.78</v>
      </c>
      <c r="H974" t="s">
        <v>1049</v>
      </c>
      <c r="I974" t="s">
        <v>2315</v>
      </c>
      <c r="J974" t="s">
        <v>42</v>
      </c>
      <c r="K974" t="s">
        <v>28</v>
      </c>
    </row>
    <row r="975" spans="1:11" x14ac:dyDescent="0.45">
      <c r="A975" t="s">
        <v>1335</v>
      </c>
      <c r="B975">
        <v>45646</v>
      </c>
      <c r="C975" t="s">
        <v>2599</v>
      </c>
      <c r="D975" t="s">
        <v>24</v>
      </c>
      <c r="E975">
        <v>2</v>
      </c>
      <c r="F975">
        <v>25</v>
      </c>
      <c r="G975">
        <v>9.3000000000000007</v>
      </c>
      <c r="H975" t="s">
        <v>402</v>
      </c>
      <c r="I975" t="s">
        <v>1711</v>
      </c>
      <c r="J975" t="s">
        <v>47</v>
      </c>
      <c r="K975" t="s">
        <v>28</v>
      </c>
    </row>
    <row r="976" spans="1:11" x14ac:dyDescent="0.45">
      <c r="A976" t="s">
        <v>1336</v>
      </c>
      <c r="B976">
        <v>45647</v>
      </c>
      <c r="C976" t="s">
        <v>2600</v>
      </c>
      <c r="D976" t="s">
        <v>50</v>
      </c>
      <c r="E976">
        <v>9</v>
      </c>
      <c r="F976">
        <v>15</v>
      </c>
      <c r="G976">
        <v>4.68</v>
      </c>
      <c r="H976" t="s">
        <v>371</v>
      </c>
      <c r="I976" t="s">
        <v>1684</v>
      </c>
      <c r="J976" t="s">
        <v>47</v>
      </c>
      <c r="K976" t="s">
        <v>38</v>
      </c>
    </row>
    <row r="977" spans="1:11" x14ac:dyDescent="0.45">
      <c r="A977" t="s">
        <v>1337</v>
      </c>
      <c r="B977">
        <v>45647</v>
      </c>
      <c r="C977" t="s">
        <v>2601</v>
      </c>
      <c r="D977" t="s">
        <v>31</v>
      </c>
      <c r="E977">
        <v>8</v>
      </c>
      <c r="F977">
        <v>40</v>
      </c>
      <c r="G977">
        <v>15.62</v>
      </c>
      <c r="H977" t="s">
        <v>139</v>
      </c>
      <c r="I977" t="s">
        <v>1499</v>
      </c>
      <c r="J977" t="s">
        <v>27</v>
      </c>
      <c r="K977" t="s">
        <v>43</v>
      </c>
    </row>
    <row r="978" spans="1:11" x14ac:dyDescent="0.45">
      <c r="A978" t="s">
        <v>1338</v>
      </c>
      <c r="B978">
        <v>45647</v>
      </c>
      <c r="C978" t="s">
        <v>2602</v>
      </c>
      <c r="D978" t="s">
        <v>17</v>
      </c>
      <c r="E978">
        <v>5</v>
      </c>
      <c r="F978">
        <v>10</v>
      </c>
      <c r="G978">
        <v>3.28</v>
      </c>
      <c r="H978" t="s">
        <v>373</v>
      </c>
      <c r="I978" t="s">
        <v>1686</v>
      </c>
      <c r="J978" t="s">
        <v>27</v>
      </c>
      <c r="K978" t="s">
        <v>38</v>
      </c>
    </row>
    <row r="979" spans="1:11" x14ac:dyDescent="0.45">
      <c r="A979" t="s">
        <v>1339</v>
      </c>
      <c r="B979">
        <v>45647</v>
      </c>
      <c r="C979" t="s">
        <v>2603</v>
      </c>
      <c r="D979" t="s">
        <v>17</v>
      </c>
      <c r="E979">
        <v>3</v>
      </c>
      <c r="F979">
        <v>10</v>
      </c>
      <c r="G979">
        <v>3.25</v>
      </c>
      <c r="H979" t="s">
        <v>145</v>
      </c>
      <c r="I979" t="s">
        <v>1503</v>
      </c>
      <c r="J979" t="s">
        <v>27</v>
      </c>
      <c r="K979" t="s">
        <v>56</v>
      </c>
    </row>
    <row r="980" spans="1:11" x14ac:dyDescent="0.45">
      <c r="A980" t="s">
        <v>1340</v>
      </c>
      <c r="B980">
        <v>45648</v>
      </c>
      <c r="C980" t="s">
        <v>2604</v>
      </c>
      <c r="D980" t="s">
        <v>50</v>
      </c>
      <c r="E980">
        <v>3</v>
      </c>
      <c r="F980">
        <v>15</v>
      </c>
      <c r="G980">
        <v>3.77</v>
      </c>
      <c r="H980" t="s">
        <v>305</v>
      </c>
      <c r="I980" t="s">
        <v>1628</v>
      </c>
      <c r="J980" t="s">
        <v>27</v>
      </c>
      <c r="K980" t="s">
        <v>34</v>
      </c>
    </row>
    <row r="981" spans="1:11" x14ac:dyDescent="0.45">
      <c r="A981" t="s">
        <v>1341</v>
      </c>
      <c r="B981">
        <v>45648</v>
      </c>
      <c r="C981" t="s">
        <v>2605</v>
      </c>
      <c r="D981" t="s">
        <v>31</v>
      </c>
      <c r="E981">
        <v>1</v>
      </c>
      <c r="F981">
        <v>40</v>
      </c>
      <c r="G981">
        <v>14.45</v>
      </c>
      <c r="H981" t="s">
        <v>1342</v>
      </c>
      <c r="I981" t="s">
        <v>2606</v>
      </c>
      <c r="J981" t="s">
        <v>20</v>
      </c>
      <c r="K981" t="s">
        <v>56</v>
      </c>
    </row>
    <row r="982" spans="1:11" x14ac:dyDescent="0.45">
      <c r="A982" t="s">
        <v>1344</v>
      </c>
      <c r="B982">
        <v>45648</v>
      </c>
      <c r="C982" t="s">
        <v>2607</v>
      </c>
      <c r="D982" t="s">
        <v>67</v>
      </c>
      <c r="E982">
        <v>8</v>
      </c>
      <c r="F982">
        <v>12</v>
      </c>
      <c r="G982">
        <v>2.61</v>
      </c>
      <c r="H982" t="s">
        <v>166</v>
      </c>
      <c r="I982" t="s">
        <v>1520</v>
      </c>
      <c r="J982" t="s">
        <v>27</v>
      </c>
      <c r="K982" t="s">
        <v>43</v>
      </c>
    </row>
    <row r="983" spans="1:11" x14ac:dyDescent="0.45">
      <c r="A983" t="s">
        <v>1345</v>
      </c>
      <c r="B983">
        <v>45648</v>
      </c>
      <c r="C983" t="s">
        <v>2608</v>
      </c>
      <c r="D983" t="s">
        <v>50</v>
      </c>
      <c r="E983">
        <v>4</v>
      </c>
      <c r="F983">
        <v>15</v>
      </c>
      <c r="G983">
        <v>4.01</v>
      </c>
      <c r="H983" t="s">
        <v>139</v>
      </c>
      <c r="I983" t="s">
        <v>1499</v>
      </c>
      <c r="J983" t="s">
        <v>47</v>
      </c>
      <c r="K983" t="s">
        <v>28</v>
      </c>
    </row>
    <row r="984" spans="1:11" x14ac:dyDescent="0.45">
      <c r="A984" t="s">
        <v>1346</v>
      </c>
      <c r="B984">
        <v>45648</v>
      </c>
      <c r="C984" t="s">
        <v>2609</v>
      </c>
      <c r="D984" t="s">
        <v>17</v>
      </c>
      <c r="E984">
        <v>10</v>
      </c>
      <c r="F984">
        <v>10</v>
      </c>
      <c r="G984">
        <v>2.96</v>
      </c>
      <c r="H984" t="s">
        <v>530</v>
      </c>
      <c r="I984" t="s">
        <v>1822</v>
      </c>
      <c r="J984" t="s">
        <v>20</v>
      </c>
      <c r="K984" t="s">
        <v>43</v>
      </c>
    </row>
    <row r="985" spans="1:11" x14ac:dyDescent="0.45">
      <c r="A985" t="s">
        <v>1347</v>
      </c>
      <c r="B985">
        <v>45648</v>
      </c>
      <c r="C985" t="s">
        <v>2610</v>
      </c>
      <c r="D985" t="s">
        <v>24</v>
      </c>
      <c r="E985">
        <v>2</v>
      </c>
      <c r="F985">
        <v>25</v>
      </c>
      <c r="G985">
        <v>9.57</v>
      </c>
      <c r="H985" t="s">
        <v>108</v>
      </c>
      <c r="I985" t="s">
        <v>1478</v>
      </c>
      <c r="J985" t="s">
        <v>20</v>
      </c>
      <c r="K985" t="s">
        <v>70</v>
      </c>
    </row>
    <row r="986" spans="1:11" x14ac:dyDescent="0.45">
      <c r="A986" t="s">
        <v>1348</v>
      </c>
      <c r="B986">
        <v>45649</v>
      </c>
      <c r="C986" t="s">
        <v>2611</v>
      </c>
      <c r="D986" t="s">
        <v>50</v>
      </c>
      <c r="E986">
        <v>10</v>
      </c>
      <c r="G986">
        <v>3.45</v>
      </c>
      <c r="H986" t="s">
        <v>348</v>
      </c>
      <c r="I986" t="s">
        <v>1665</v>
      </c>
      <c r="J986" t="s">
        <v>27</v>
      </c>
      <c r="K986" t="s">
        <v>34</v>
      </c>
    </row>
    <row r="987" spans="1:11" x14ac:dyDescent="0.45">
      <c r="A987" t="s">
        <v>1349</v>
      </c>
      <c r="B987">
        <v>45650</v>
      </c>
      <c r="C987" t="s">
        <v>2612</v>
      </c>
      <c r="D987" t="s">
        <v>50</v>
      </c>
      <c r="E987">
        <v>1</v>
      </c>
      <c r="F987">
        <v>15</v>
      </c>
      <c r="G987">
        <v>3.86</v>
      </c>
      <c r="H987" t="s">
        <v>64</v>
      </c>
      <c r="I987" t="s">
        <v>1449</v>
      </c>
      <c r="J987" t="s">
        <v>27</v>
      </c>
      <c r="K987" t="s">
        <v>59</v>
      </c>
    </row>
    <row r="988" spans="1:11" x14ac:dyDescent="0.45">
      <c r="A988" t="s">
        <v>1350</v>
      </c>
      <c r="B988">
        <v>45650</v>
      </c>
      <c r="C988" t="s">
        <v>2613</v>
      </c>
      <c r="D988" t="s">
        <v>24</v>
      </c>
      <c r="E988">
        <v>8</v>
      </c>
      <c r="F988">
        <v>25</v>
      </c>
      <c r="G988">
        <v>8.4499999999999993</v>
      </c>
      <c r="H988" t="s">
        <v>576</v>
      </c>
      <c r="I988" t="s">
        <v>1862</v>
      </c>
      <c r="J988" t="s">
        <v>27</v>
      </c>
      <c r="K988" t="s">
        <v>134</v>
      </c>
    </row>
    <row r="989" spans="1:11" x14ac:dyDescent="0.45">
      <c r="A989" t="s">
        <v>1351</v>
      </c>
      <c r="B989">
        <v>45650</v>
      </c>
      <c r="C989" t="s">
        <v>2614</v>
      </c>
      <c r="D989" t="s">
        <v>50</v>
      </c>
      <c r="E989">
        <v>1</v>
      </c>
      <c r="F989">
        <v>15</v>
      </c>
      <c r="G989">
        <v>5.61</v>
      </c>
      <c r="H989" t="s">
        <v>25</v>
      </c>
      <c r="I989" t="s">
        <v>1431</v>
      </c>
      <c r="J989" t="s">
        <v>27</v>
      </c>
      <c r="K989" t="s">
        <v>70</v>
      </c>
    </row>
    <row r="990" spans="1:11" x14ac:dyDescent="0.45">
      <c r="A990" t="s">
        <v>1352</v>
      </c>
      <c r="B990">
        <v>45650</v>
      </c>
      <c r="C990" t="s">
        <v>2615</v>
      </c>
      <c r="D990" t="s">
        <v>67</v>
      </c>
      <c r="E990">
        <v>7</v>
      </c>
      <c r="F990">
        <v>12</v>
      </c>
      <c r="G990">
        <v>3.23</v>
      </c>
      <c r="H990" t="s">
        <v>365</v>
      </c>
      <c r="I990" t="s">
        <v>1679</v>
      </c>
      <c r="J990" t="s">
        <v>27</v>
      </c>
      <c r="K990" t="s">
        <v>56</v>
      </c>
    </row>
    <row r="991" spans="1:11" x14ac:dyDescent="0.45">
      <c r="A991" t="s">
        <v>1353</v>
      </c>
      <c r="B991">
        <v>45651</v>
      </c>
      <c r="C991" t="s">
        <v>2616</v>
      </c>
      <c r="D991" t="s">
        <v>31</v>
      </c>
      <c r="E991">
        <v>8</v>
      </c>
      <c r="F991">
        <v>40</v>
      </c>
      <c r="G991">
        <v>12.11</v>
      </c>
      <c r="H991" t="s">
        <v>552</v>
      </c>
      <c r="I991" t="s">
        <v>1843</v>
      </c>
      <c r="J991" t="s">
        <v>27</v>
      </c>
      <c r="K991" t="s">
        <v>74</v>
      </c>
    </row>
    <row r="992" spans="1:11" x14ac:dyDescent="0.45">
      <c r="A992" t="s">
        <v>1354</v>
      </c>
      <c r="B992">
        <v>45651</v>
      </c>
      <c r="C992" t="s">
        <v>2617</v>
      </c>
      <c r="D992" t="s">
        <v>24</v>
      </c>
      <c r="E992">
        <v>10</v>
      </c>
      <c r="F992">
        <v>25</v>
      </c>
      <c r="G992">
        <v>5.58</v>
      </c>
      <c r="H992" t="s">
        <v>814</v>
      </c>
      <c r="I992" t="s">
        <v>2089</v>
      </c>
      <c r="J992" t="s">
        <v>27</v>
      </c>
      <c r="K992" t="s">
        <v>28</v>
      </c>
    </row>
    <row r="993" spans="1:11" x14ac:dyDescent="0.45">
      <c r="A993" t="s">
        <v>1355</v>
      </c>
      <c r="B993">
        <v>45651</v>
      </c>
      <c r="C993" t="s">
        <v>2618</v>
      </c>
      <c r="D993" t="s">
        <v>31</v>
      </c>
      <c r="E993">
        <v>7</v>
      </c>
      <c r="F993">
        <v>40</v>
      </c>
      <c r="G993">
        <v>8.07</v>
      </c>
      <c r="H993" t="s">
        <v>45</v>
      </c>
      <c r="I993" t="s">
        <v>1439</v>
      </c>
      <c r="J993" t="s">
        <v>27</v>
      </c>
      <c r="K993" t="s">
        <v>56</v>
      </c>
    </row>
    <row r="994" spans="1:11" x14ac:dyDescent="0.45">
      <c r="A994" t="s">
        <v>1356</v>
      </c>
      <c r="B994">
        <v>45652</v>
      </c>
      <c r="C994" t="s">
        <v>2619</v>
      </c>
      <c r="D994" t="s">
        <v>24</v>
      </c>
      <c r="E994">
        <v>1</v>
      </c>
      <c r="F994">
        <v>25</v>
      </c>
      <c r="G994">
        <v>7.33</v>
      </c>
      <c r="H994" t="s">
        <v>662</v>
      </c>
      <c r="I994" t="s">
        <v>1946</v>
      </c>
      <c r="J994" t="s">
        <v>20</v>
      </c>
      <c r="K994" t="s">
        <v>34</v>
      </c>
    </row>
    <row r="995" spans="1:11" x14ac:dyDescent="0.45">
      <c r="A995" t="s">
        <v>1357</v>
      </c>
      <c r="B995">
        <v>45653</v>
      </c>
      <c r="C995" t="s">
        <v>2620</v>
      </c>
      <c r="D995" t="s">
        <v>67</v>
      </c>
      <c r="E995">
        <v>5</v>
      </c>
      <c r="F995">
        <v>12</v>
      </c>
      <c r="G995">
        <v>4.26</v>
      </c>
      <c r="H995" t="s">
        <v>303</v>
      </c>
      <c r="I995" t="s">
        <v>1626</v>
      </c>
      <c r="J995" t="s">
        <v>27</v>
      </c>
      <c r="K995" t="s">
        <v>21</v>
      </c>
    </row>
    <row r="996" spans="1:11" x14ac:dyDescent="0.45">
      <c r="A996" t="s">
        <v>1358</v>
      </c>
      <c r="B996">
        <v>45653</v>
      </c>
      <c r="C996" t="s">
        <v>2621</v>
      </c>
      <c r="D996" t="s">
        <v>50</v>
      </c>
      <c r="E996">
        <v>8</v>
      </c>
      <c r="F996">
        <v>15</v>
      </c>
      <c r="G996">
        <v>3.68</v>
      </c>
      <c r="H996" t="s">
        <v>814</v>
      </c>
      <c r="I996" t="s">
        <v>2089</v>
      </c>
      <c r="J996" t="s">
        <v>27</v>
      </c>
      <c r="K996" t="s">
        <v>21</v>
      </c>
    </row>
    <row r="997" spans="1:11" x14ac:dyDescent="0.45">
      <c r="A997" t="s">
        <v>1359</v>
      </c>
      <c r="B997">
        <v>45654</v>
      </c>
      <c r="C997" t="s">
        <v>2622</v>
      </c>
      <c r="D997" t="s">
        <v>50</v>
      </c>
      <c r="E997">
        <v>1</v>
      </c>
      <c r="F997">
        <v>15</v>
      </c>
      <c r="G997">
        <v>3.83</v>
      </c>
      <c r="H997" t="s">
        <v>439</v>
      </c>
      <c r="I997" t="s">
        <v>1745</v>
      </c>
      <c r="J997" t="s">
        <v>42</v>
      </c>
      <c r="K997" t="s">
        <v>38</v>
      </c>
    </row>
    <row r="998" spans="1:11" x14ac:dyDescent="0.45">
      <c r="A998" t="s">
        <v>1360</v>
      </c>
      <c r="B998">
        <v>45654</v>
      </c>
      <c r="C998" t="s">
        <v>2623</v>
      </c>
      <c r="D998" t="s">
        <v>50</v>
      </c>
      <c r="E998">
        <v>3</v>
      </c>
      <c r="F998">
        <v>15</v>
      </c>
      <c r="G998">
        <v>3.05</v>
      </c>
      <c r="H998" t="s">
        <v>76</v>
      </c>
      <c r="I998" t="s">
        <v>1455</v>
      </c>
      <c r="J998" t="s">
        <v>27</v>
      </c>
      <c r="K998" t="s">
        <v>56</v>
      </c>
    </row>
    <row r="999" spans="1:11" x14ac:dyDescent="0.45">
      <c r="A999" t="s">
        <v>1361</v>
      </c>
      <c r="B999">
        <v>45655</v>
      </c>
      <c r="C999" t="s">
        <v>2624</v>
      </c>
      <c r="D999" t="s">
        <v>17</v>
      </c>
      <c r="E999">
        <v>1</v>
      </c>
      <c r="F999">
        <v>10</v>
      </c>
      <c r="G999">
        <v>3.56</v>
      </c>
      <c r="H999" t="s">
        <v>598</v>
      </c>
      <c r="I999" t="s">
        <v>1884</v>
      </c>
      <c r="J999" t="s">
        <v>20</v>
      </c>
      <c r="K999" t="s">
        <v>38</v>
      </c>
    </row>
    <row r="1000" spans="1:11" x14ac:dyDescent="0.45">
      <c r="A1000" t="s">
        <v>1362</v>
      </c>
      <c r="B1000">
        <v>45656</v>
      </c>
      <c r="C1000" t="s">
        <v>2625</v>
      </c>
      <c r="D1000" t="s">
        <v>31</v>
      </c>
      <c r="E1000">
        <v>3</v>
      </c>
      <c r="F1000">
        <v>40</v>
      </c>
      <c r="G1000">
        <v>13.05</v>
      </c>
      <c r="H1000" t="s">
        <v>259</v>
      </c>
      <c r="I1000" t="s">
        <v>1589</v>
      </c>
      <c r="J1000" t="s">
        <v>27</v>
      </c>
      <c r="K1000" t="s">
        <v>70</v>
      </c>
    </row>
    <row r="1001" spans="1:11" x14ac:dyDescent="0.45">
      <c r="A1001" t="s">
        <v>1363</v>
      </c>
      <c r="B1001">
        <v>45656</v>
      </c>
      <c r="C1001" t="s">
        <v>2626</v>
      </c>
      <c r="D1001" t="s">
        <v>50</v>
      </c>
      <c r="E1001">
        <v>6</v>
      </c>
      <c r="F1001">
        <v>15</v>
      </c>
      <c r="G1001">
        <v>5.15</v>
      </c>
      <c r="H1001" t="s">
        <v>1012</v>
      </c>
      <c r="I1001" t="s">
        <v>2279</v>
      </c>
      <c r="J1001" t="s">
        <v>27</v>
      </c>
      <c r="K1001"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ED08F-C265-4B97-BAFF-C7D1CF66F6CB}">
  <dimension ref="A1:Q1001"/>
  <sheetViews>
    <sheetView topLeftCell="A2" workbookViewId="0">
      <selection activeCell="D15" sqref="D15"/>
    </sheetView>
  </sheetViews>
  <sheetFormatPr defaultRowHeight="14.25" x14ac:dyDescent="0.45"/>
  <cols>
    <col min="1" max="1" width="10.73046875" bestFit="1" customWidth="1"/>
    <col min="2" max="2" width="14.59765625" customWidth="1"/>
    <col min="3" max="3" width="39.59765625" customWidth="1"/>
    <col min="4" max="4" width="18.59765625" bestFit="1" customWidth="1"/>
    <col min="5" max="5" width="15.265625" bestFit="1" customWidth="1"/>
    <col min="6" max="6" width="13.3984375" bestFit="1" customWidth="1"/>
    <col min="7" max="7" width="13.1328125" bestFit="1" customWidth="1"/>
    <col min="8" max="8" width="15.59765625" customWidth="1"/>
    <col min="9" max="9" width="17.86328125" bestFit="1" customWidth="1"/>
    <col min="10" max="10" width="17.73046875" bestFit="1" customWidth="1"/>
    <col min="11" max="11" width="18.1328125" customWidth="1"/>
    <col min="12" max="12" width="25.59765625" customWidth="1"/>
    <col min="13" max="13" width="12.86328125" customWidth="1"/>
    <col min="14" max="14" width="14" customWidth="1"/>
    <col min="15" max="15" width="16.265625" customWidth="1"/>
  </cols>
  <sheetData>
    <row r="1" spans="1:17" x14ac:dyDescent="0.45">
      <c r="A1" t="s">
        <v>0</v>
      </c>
      <c r="B1" t="s">
        <v>1</v>
      </c>
      <c r="C1" t="s">
        <v>2</v>
      </c>
      <c r="D1" t="s">
        <v>3</v>
      </c>
      <c r="E1" t="s">
        <v>4</v>
      </c>
      <c r="F1" t="s">
        <v>5</v>
      </c>
      <c r="G1" t="s">
        <v>6</v>
      </c>
      <c r="H1" t="s">
        <v>7</v>
      </c>
      <c r="I1" t="s">
        <v>8</v>
      </c>
      <c r="J1" t="s">
        <v>9</v>
      </c>
      <c r="K1" t="s">
        <v>10</v>
      </c>
      <c r="L1" t="s">
        <v>11</v>
      </c>
      <c r="M1" t="s">
        <v>12</v>
      </c>
      <c r="N1" t="s">
        <v>13</v>
      </c>
      <c r="O1" t="s">
        <v>14</v>
      </c>
      <c r="P1" t="s">
        <v>1418</v>
      </c>
      <c r="Q1" t="s">
        <v>1419</v>
      </c>
    </row>
    <row r="2" spans="1:17" x14ac:dyDescent="0.45">
      <c r="A2" t="s">
        <v>15</v>
      </c>
      <c r="B2">
        <v>45292</v>
      </c>
      <c r="C2" t="s">
        <v>16</v>
      </c>
      <c r="D2" t="s">
        <v>17</v>
      </c>
      <c r="E2">
        <v>10</v>
      </c>
      <c r="F2">
        <v>10</v>
      </c>
      <c r="G2">
        <v>3.42</v>
      </c>
      <c r="H2" t="s">
        <v>18</v>
      </c>
      <c r="I2" t="s">
        <v>19</v>
      </c>
      <c r="J2" t="s">
        <v>20</v>
      </c>
      <c r="K2" t="s">
        <v>21</v>
      </c>
      <c r="L2">
        <f t="shared" ref="L2:L65" si="0">E2*F2</f>
        <v>100</v>
      </c>
      <c r="M2">
        <f t="shared" ref="M2:M65" si="1">E2*G2</f>
        <v>34.200000000000003</v>
      </c>
      <c r="N2">
        <f t="shared" ref="N2:N65" si="2">L2-M2</f>
        <v>65.8</v>
      </c>
      <c r="O2" cm="1">
        <f t="array" ref="O2">_xlfn.LET(_xlpm.cat, Greenleaf[[#This Row],[Product Category]], _xlpm.prices, _xlfn._xlws.FILTER(Greenleaf[Unit Price], (Greenleaf[Product Category]=_xlpm.cat)*(Greenleaf[Unit Price]&lt;&gt;"")), IFERROR(MEDIAN(_xlpm.prices), ""))</f>
        <v>10</v>
      </c>
      <c r="P2">
        <f>IF(Greenleaf[[#This Row],[Shipment Status]]="Returned",1,0)</f>
        <v>0</v>
      </c>
      <c r="Q2">
        <f>IF(Greenleaf[[#This Row],[Shipment Status]]="Delivered",1,0)</f>
        <v>0</v>
      </c>
    </row>
    <row r="3" spans="1:17" x14ac:dyDescent="0.45">
      <c r="A3" t="s">
        <v>22</v>
      </c>
      <c r="B3">
        <v>45292</v>
      </c>
      <c r="C3" t="s">
        <v>23</v>
      </c>
      <c r="D3" t="s">
        <v>24</v>
      </c>
      <c r="E3">
        <v>6</v>
      </c>
      <c r="F3">
        <v>25</v>
      </c>
      <c r="G3">
        <v>5.08</v>
      </c>
      <c r="H3" t="s">
        <v>25</v>
      </c>
      <c r="I3" t="s">
        <v>26</v>
      </c>
      <c r="J3" t="s">
        <v>27</v>
      </c>
      <c r="K3" t="s">
        <v>28</v>
      </c>
      <c r="L3">
        <f t="shared" si="0"/>
        <v>150</v>
      </c>
      <c r="M3">
        <f t="shared" si="1"/>
        <v>30.48</v>
      </c>
      <c r="N3">
        <f t="shared" si="2"/>
        <v>119.52</v>
      </c>
      <c r="O3" cm="1">
        <f t="array" ref="O3">_xlfn.LET(_xlpm.cat, Greenleaf[[#This Row],[Product Category]], _xlpm.prices, _xlfn._xlws.FILTER(Greenleaf[Unit Price], (Greenleaf[Product Category]=_xlpm.cat)*(Greenleaf[Unit Price]&lt;&gt;"")), IFERROR(MEDIAN(_xlpm.prices), ""))</f>
        <v>25</v>
      </c>
      <c r="P3">
        <f>IF(Greenleaf[[#This Row],[Shipment Status]]="Returned",1,0)</f>
        <v>0</v>
      </c>
      <c r="Q3">
        <f>IF(Greenleaf[[#This Row],[Shipment Status]]="Delivered",1,0)</f>
        <v>1</v>
      </c>
    </row>
    <row r="4" spans="1:17" x14ac:dyDescent="0.45">
      <c r="A4" t="s">
        <v>29</v>
      </c>
      <c r="B4">
        <v>45293</v>
      </c>
      <c r="C4" t="s">
        <v>30</v>
      </c>
      <c r="D4" t="s">
        <v>31</v>
      </c>
      <c r="E4">
        <v>7</v>
      </c>
      <c r="F4">
        <v>40</v>
      </c>
      <c r="G4">
        <v>12.35</v>
      </c>
      <c r="H4" t="s">
        <v>32</v>
      </c>
      <c r="I4" t="s">
        <v>33</v>
      </c>
      <c r="J4" t="s">
        <v>20</v>
      </c>
      <c r="K4" t="s">
        <v>34</v>
      </c>
      <c r="L4">
        <f t="shared" si="0"/>
        <v>280</v>
      </c>
      <c r="M4">
        <f t="shared" si="1"/>
        <v>86.45</v>
      </c>
      <c r="N4">
        <f t="shared" si="2"/>
        <v>193.55</v>
      </c>
      <c r="O4" cm="1">
        <f t="array" ref="O4">_xlfn.LET(_xlpm.cat, Greenleaf[[#This Row],[Product Category]], _xlpm.prices, _xlfn._xlws.FILTER(Greenleaf[Unit Price], (Greenleaf[Product Category]=_xlpm.cat)*(Greenleaf[Unit Price]&lt;&gt;"")), IFERROR(MEDIAN(_xlpm.prices), ""))</f>
        <v>40</v>
      </c>
      <c r="P4">
        <f>IF(Greenleaf[[#This Row],[Shipment Status]]="Returned",1,0)</f>
        <v>0</v>
      </c>
      <c r="Q4">
        <f>IF(Greenleaf[[#This Row],[Shipment Status]]="Delivered",1,0)</f>
        <v>0</v>
      </c>
    </row>
    <row r="5" spans="1:17" x14ac:dyDescent="0.45">
      <c r="A5" t="s">
        <v>35</v>
      </c>
      <c r="B5">
        <v>45293</v>
      </c>
      <c r="C5" t="s">
        <v>16</v>
      </c>
      <c r="D5" t="s">
        <v>17</v>
      </c>
      <c r="E5">
        <v>5</v>
      </c>
      <c r="F5">
        <v>10</v>
      </c>
      <c r="G5">
        <v>3.55</v>
      </c>
      <c r="H5" t="s">
        <v>36</v>
      </c>
      <c r="I5" t="s">
        <v>37</v>
      </c>
      <c r="J5" t="s">
        <v>27</v>
      </c>
      <c r="K5" t="s">
        <v>38</v>
      </c>
      <c r="L5">
        <f t="shared" si="0"/>
        <v>50</v>
      </c>
      <c r="M5">
        <f t="shared" si="1"/>
        <v>17.75</v>
      </c>
      <c r="N5">
        <f t="shared" si="2"/>
        <v>32.25</v>
      </c>
      <c r="O5" cm="1">
        <f t="array" ref="O5">_xlfn.LET(_xlpm.cat, Greenleaf[[#This Row],[Product Category]], _xlpm.prices, _xlfn._xlws.FILTER(Greenleaf[Unit Price], (Greenleaf[Product Category]=_xlpm.cat)*(Greenleaf[Unit Price]&lt;&gt;"")), IFERROR(MEDIAN(_xlpm.prices), ""))</f>
        <v>10</v>
      </c>
      <c r="P5">
        <f>IF(Greenleaf[[#This Row],[Shipment Status]]="Returned",1,0)</f>
        <v>0</v>
      </c>
      <c r="Q5">
        <f>IF(Greenleaf[[#This Row],[Shipment Status]]="Delivered",1,0)</f>
        <v>1</v>
      </c>
    </row>
    <row r="6" spans="1:17" x14ac:dyDescent="0.45">
      <c r="A6" t="s">
        <v>39</v>
      </c>
      <c r="B6">
        <v>45293</v>
      </c>
      <c r="C6" t="s">
        <v>16</v>
      </c>
      <c r="D6" t="s">
        <v>17</v>
      </c>
      <c r="E6">
        <v>2</v>
      </c>
      <c r="F6">
        <v>10</v>
      </c>
      <c r="G6">
        <v>3.27</v>
      </c>
      <c r="H6" t="s">
        <v>40</v>
      </c>
      <c r="I6" t="s">
        <v>41</v>
      </c>
      <c r="J6" t="s">
        <v>42</v>
      </c>
      <c r="K6" t="s">
        <v>43</v>
      </c>
      <c r="L6">
        <f t="shared" si="0"/>
        <v>20</v>
      </c>
      <c r="M6">
        <f t="shared" si="1"/>
        <v>6.54</v>
      </c>
      <c r="N6">
        <f t="shared" si="2"/>
        <v>13.46</v>
      </c>
      <c r="O6" cm="1">
        <f t="array" ref="O6">_xlfn.LET(_xlpm.cat, Greenleaf[[#This Row],[Product Category]], _xlpm.prices, _xlfn._xlws.FILTER(Greenleaf[Unit Price], (Greenleaf[Product Category]=_xlpm.cat)*(Greenleaf[Unit Price]&lt;&gt;"")), IFERROR(MEDIAN(_xlpm.prices), ""))</f>
        <v>10</v>
      </c>
      <c r="P6">
        <f>IF(Greenleaf[[#This Row],[Shipment Status]]="Returned",1,0)</f>
        <v>1</v>
      </c>
      <c r="Q6">
        <f>IF(Greenleaf[[#This Row],[Shipment Status]]="Delivered",1,0)</f>
        <v>0</v>
      </c>
    </row>
    <row r="7" spans="1:17" x14ac:dyDescent="0.45">
      <c r="A7" t="s">
        <v>44</v>
      </c>
      <c r="B7">
        <v>45293</v>
      </c>
      <c r="C7" t="s">
        <v>30</v>
      </c>
      <c r="D7" t="s">
        <v>31</v>
      </c>
      <c r="E7">
        <v>8</v>
      </c>
      <c r="F7">
        <v>40</v>
      </c>
      <c r="G7">
        <v>14.7</v>
      </c>
      <c r="H7" t="s">
        <v>45</v>
      </c>
      <c r="I7" t="s">
        <v>46</v>
      </c>
      <c r="J7" t="s">
        <v>47</v>
      </c>
      <c r="K7" t="s">
        <v>34</v>
      </c>
      <c r="L7">
        <f t="shared" si="0"/>
        <v>320</v>
      </c>
      <c r="M7">
        <f t="shared" si="1"/>
        <v>117.6</v>
      </c>
      <c r="N7">
        <f t="shared" si="2"/>
        <v>202.4</v>
      </c>
      <c r="O7" cm="1">
        <f t="array" ref="O7">_xlfn.LET(_xlpm.cat, Greenleaf[[#This Row],[Product Category]], _xlpm.prices, _xlfn._xlws.FILTER(Greenleaf[Unit Price], (Greenleaf[Product Category]=_xlpm.cat)*(Greenleaf[Unit Price]&lt;&gt;"")), IFERROR(MEDIAN(_xlpm.prices), ""))</f>
        <v>40</v>
      </c>
      <c r="P7">
        <f>IF(Greenleaf[[#This Row],[Shipment Status]]="Returned",1,0)</f>
        <v>0</v>
      </c>
      <c r="Q7">
        <f>IF(Greenleaf[[#This Row],[Shipment Status]]="Delivered",1,0)</f>
        <v>0</v>
      </c>
    </row>
    <row r="8" spans="1:17" x14ac:dyDescent="0.45">
      <c r="A8" t="s">
        <v>48</v>
      </c>
      <c r="B8">
        <v>45293</v>
      </c>
      <c r="C8" t="s">
        <v>49</v>
      </c>
      <c r="D8" t="s">
        <v>50</v>
      </c>
      <c r="E8">
        <v>10</v>
      </c>
      <c r="F8">
        <v>15</v>
      </c>
      <c r="G8">
        <v>5.5</v>
      </c>
      <c r="H8" t="s">
        <v>51</v>
      </c>
      <c r="I8" t="s">
        <v>52</v>
      </c>
      <c r="J8" t="s">
        <v>27</v>
      </c>
      <c r="K8" t="s">
        <v>34</v>
      </c>
      <c r="L8">
        <f t="shared" si="0"/>
        <v>150</v>
      </c>
      <c r="M8">
        <f t="shared" si="1"/>
        <v>55</v>
      </c>
      <c r="N8">
        <f t="shared" si="2"/>
        <v>95</v>
      </c>
      <c r="O8" cm="1">
        <f t="array" ref="O8">_xlfn.LET(_xlpm.cat, Greenleaf[[#This Row],[Product Category]], _xlpm.prices, _xlfn._xlws.FILTER(Greenleaf[Unit Price], (Greenleaf[Product Category]=_xlpm.cat)*(Greenleaf[Unit Price]&lt;&gt;"")), IFERROR(MEDIAN(_xlpm.prices), ""))</f>
        <v>15</v>
      </c>
      <c r="P8">
        <f>IF(Greenleaf[[#This Row],[Shipment Status]]="Returned",1,0)</f>
        <v>0</v>
      </c>
      <c r="Q8">
        <f>IF(Greenleaf[[#This Row],[Shipment Status]]="Delivered",1,0)</f>
        <v>1</v>
      </c>
    </row>
    <row r="9" spans="1:17" x14ac:dyDescent="0.45">
      <c r="A9" t="s">
        <v>53</v>
      </c>
      <c r="B9">
        <v>45293</v>
      </c>
      <c r="C9" t="s">
        <v>30</v>
      </c>
      <c r="D9" t="s">
        <v>31</v>
      </c>
      <c r="E9">
        <v>6</v>
      </c>
      <c r="F9">
        <v>40</v>
      </c>
      <c r="G9">
        <v>8.8000000000000007</v>
      </c>
      <c r="H9" t="s">
        <v>54</v>
      </c>
      <c r="I9" t="s">
        <v>55</v>
      </c>
      <c r="J9" t="s">
        <v>27</v>
      </c>
      <c r="K9" t="s">
        <v>56</v>
      </c>
      <c r="L9">
        <f t="shared" si="0"/>
        <v>240</v>
      </c>
      <c r="M9">
        <f t="shared" si="1"/>
        <v>52.800000000000004</v>
      </c>
      <c r="N9">
        <f t="shared" si="2"/>
        <v>187.2</v>
      </c>
      <c r="O9" cm="1">
        <f t="array" ref="O9">_xlfn.LET(_xlpm.cat, Greenleaf[[#This Row],[Product Category]], _xlpm.prices, _xlfn._xlws.FILTER(Greenleaf[Unit Price], (Greenleaf[Product Category]=_xlpm.cat)*(Greenleaf[Unit Price]&lt;&gt;"")), IFERROR(MEDIAN(_xlpm.prices), ""))</f>
        <v>40</v>
      </c>
      <c r="P9">
        <f>IF(Greenleaf[[#This Row],[Shipment Status]]="Returned",1,0)</f>
        <v>0</v>
      </c>
      <c r="Q9">
        <f>IF(Greenleaf[[#This Row],[Shipment Status]]="Delivered",1,0)</f>
        <v>1</v>
      </c>
    </row>
    <row r="10" spans="1:17" x14ac:dyDescent="0.45">
      <c r="A10" t="s">
        <v>57</v>
      </c>
      <c r="B10">
        <v>45293</v>
      </c>
      <c r="C10" t="s">
        <v>23</v>
      </c>
      <c r="D10" t="s">
        <v>24</v>
      </c>
      <c r="E10">
        <v>1</v>
      </c>
      <c r="F10">
        <v>25</v>
      </c>
      <c r="G10">
        <v>9.01</v>
      </c>
      <c r="H10" t="s">
        <v>58</v>
      </c>
      <c r="I10" t="s">
        <v>37</v>
      </c>
      <c r="J10" t="s">
        <v>27</v>
      </c>
      <c r="K10" t="s">
        <v>59</v>
      </c>
      <c r="L10">
        <f t="shared" si="0"/>
        <v>25</v>
      </c>
      <c r="M10">
        <f t="shared" si="1"/>
        <v>9.01</v>
      </c>
      <c r="N10">
        <f t="shared" si="2"/>
        <v>15.99</v>
      </c>
      <c r="O10" cm="1">
        <f t="array" ref="O10">_xlfn.LET(_xlpm.cat, Greenleaf[[#This Row],[Product Category]], _xlpm.prices, _xlfn._xlws.FILTER(Greenleaf[Unit Price], (Greenleaf[Product Category]=_xlpm.cat)*(Greenleaf[Unit Price]&lt;&gt;"")), IFERROR(MEDIAN(_xlpm.prices), ""))</f>
        <v>25</v>
      </c>
      <c r="P10">
        <f>IF(Greenleaf[[#This Row],[Shipment Status]]="Returned",1,0)</f>
        <v>0</v>
      </c>
      <c r="Q10">
        <f>IF(Greenleaf[[#This Row],[Shipment Status]]="Delivered",1,0)</f>
        <v>1</v>
      </c>
    </row>
    <row r="11" spans="1:17" x14ac:dyDescent="0.45">
      <c r="A11" t="s">
        <v>60</v>
      </c>
      <c r="B11">
        <v>45294</v>
      </c>
      <c r="C11" t="s">
        <v>16</v>
      </c>
      <c r="D11" t="s">
        <v>17</v>
      </c>
      <c r="E11">
        <v>2</v>
      </c>
      <c r="F11">
        <v>10</v>
      </c>
      <c r="G11">
        <v>2.89</v>
      </c>
      <c r="H11" t="s">
        <v>61</v>
      </c>
      <c r="I11" t="s">
        <v>62</v>
      </c>
      <c r="J11" t="s">
        <v>27</v>
      </c>
      <c r="K11" t="s">
        <v>28</v>
      </c>
      <c r="L11">
        <f t="shared" si="0"/>
        <v>20</v>
      </c>
      <c r="M11">
        <f t="shared" si="1"/>
        <v>5.78</v>
      </c>
      <c r="N11">
        <f t="shared" si="2"/>
        <v>14.219999999999999</v>
      </c>
      <c r="O11" cm="1">
        <f t="array" ref="O11">_xlfn.LET(_xlpm.cat, Greenleaf[[#This Row],[Product Category]], _xlpm.prices, _xlfn._xlws.FILTER(Greenleaf[Unit Price], (Greenleaf[Product Category]=_xlpm.cat)*(Greenleaf[Unit Price]&lt;&gt;"")), IFERROR(MEDIAN(_xlpm.prices), ""))</f>
        <v>10</v>
      </c>
      <c r="P11">
        <f>IF(Greenleaf[[#This Row],[Shipment Status]]="Returned",1,0)</f>
        <v>0</v>
      </c>
      <c r="Q11">
        <f>IF(Greenleaf[[#This Row],[Shipment Status]]="Delivered",1,0)</f>
        <v>1</v>
      </c>
    </row>
    <row r="12" spans="1:17" x14ac:dyDescent="0.45">
      <c r="A12" t="s">
        <v>63</v>
      </c>
      <c r="B12">
        <v>45294</v>
      </c>
      <c r="C12" t="s">
        <v>30</v>
      </c>
      <c r="D12" t="s">
        <v>31</v>
      </c>
      <c r="E12">
        <v>8</v>
      </c>
      <c r="F12">
        <v>40</v>
      </c>
      <c r="G12">
        <v>9.99</v>
      </c>
      <c r="H12" t="s">
        <v>64</v>
      </c>
      <c r="I12" t="s">
        <v>19</v>
      </c>
      <c r="J12" t="s">
        <v>27</v>
      </c>
      <c r="K12" t="s">
        <v>43</v>
      </c>
      <c r="L12">
        <f t="shared" si="0"/>
        <v>320</v>
      </c>
      <c r="M12">
        <f t="shared" si="1"/>
        <v>79.92</v>
      </c>
      <c r="N12">
        <f t="shared" si="2"/>
        <v>240.07999999999998</v>
      </c>
      <c r="O12" cm="1">
        <f t="array" ref="O12">_xlfn.LET(_xlpm.cat, Greenleaf[[#This Row],[Product Category]], _xlpm.prices, _xlfn._xlws.FILTER(Greenleaf[Unit Price], (Greenleaf[Product Category]=_xlpm.cat)*(Greenleaf[Unit Price]&lt;&gt;"")), IFERROR(MEDIAN(_xlpm.prices), ""))</f>
        <v>40</v>
      </c>
      <c r="P12">
        <f>IF(Greenleaf[[#This Row],[Shipment Status]]="Returned",1,0)</f>
        <v>0</v>
      </c>
      <c r="Q12">
        <f>IF(Greenleaf[[#This Row],[Shipment Status]]="Delivered",1,0)</f>
        <v>1</v>
      </c>
    </row>
    <row r="13" spans="1:17" x14ac:dyDescent="0.45">
      <c r="A13" t="s">
        <v>65</v>
      </c>
      <c r="B13">
        <v>45294</v>
      </c>
      <c r="C13" t="s">
        <v>66</v>
      </c>
      <c r="D13" t="s">
        <v>67</v>
      </c>
      <c r="E13">
        <v>3</v>
      </c>
      <c r="F13">
        <v>12</v>
      </c>
      <c r="G13">
        <v>2.88</v>
      </c>
      <c r="H13" t="s">
        <v>68</v>
      </c>
      <c r="I13" t="s">
        <v>69</v>
      </c>
      <c r="J13" t="s">
        <v>27</v>
      </c>
      <c r="K13" t="s">
        <v>70</v>
      </c>
      <c r="L13">
        <f t="shared" si="0"/>
        <v>36</v>
      </c>
      <c r="M13">
        <f t="shared" si="1"/>
        <v>8.64</v>
      </c>
      <c r="N13">
        <f t="shared" si="2"/>
        <v>27.36</v>
      </c>
      <c r="O13" cm="1">
        <f t="array" ref="O13">_xlfn.LET(_xlpm.cat, Greenleaf[[#This Row],[Product Category]], _xlpm.prices, _xlfn._xlws.FILTER(Greenleaf[Unit Price], (Greenleaf[Product Category]=_xlpm.cat)*(Greenleaf[Unit Price]&lt;&gt;"")), IFERROR(MEDIAN(_xlpm.prices), ""))</f>
        <v>12</v>
      </c>
      <c r="P13">
        <f>IF(Greenleaf[[#This Row],[Shipment Status]]="Returned",1,0)</f>
        <v>0</v>
      </c>
      <c r="Q13">
        <f>IF(Greenleaf[[#This Row],[Shipment Status]]="Delivered",1,0)</f>
        <v>1</v>
      </c>
    </row>
    <row r="14" spans="1:17" x14ac:dyDescent="0.45">
      <c r="A14" t="s">
        <v>71</v>
      </c>
      <c r="B14">
        <v>45294</v>
      </c>
      <c r="C14" t="s">
        <v>16</v>
      </c>
      <c r="D14" t="s">
        <v>17</v>
      </c>
      <c r="E14">
        <v>1</v>
      </c>
      <c r="F14">
        <v>10</v>
      </c>
      <c r="G14">
        <v>2.35</v>
      </c>
      <c r="H14" t="s">
        <v>72</v>
      </c>
      <c r="I14" t="s">
        <v>73</v>
      </c>
      <c r="J14" t="s">
        <v>27</v>
      </c>
      <c r="K14" t="s">
        <v>74</v>
      </c>
      <c r="L14">
        <f t="shared" si="0"/>
        <v>10</v>
      </c>
      <c r="M14">
        <f t="shared" si="1"/>
        <v>2.35</v>
      </c>
      <c r="N14">
        <f t="shared" si="2"/>
        <v>7.65</v>
      </c>
      <c r="O14" cm="1">
        <f t="array" ref="O14">_xlfn.LET(_xlpm.cat, Greenleaf[[#This Row],[Product Category]], _xlpm.prices, _xlfn._xlws.FILTER(Greenleaf[Unit Price], (Greenleaf[Product Category]=_xlpm.cat)*(Greenleaf[Unit Price]&lt;&gt;"")), IFERROR(MEDIAN(_xlpm.prices), ""))</f>
        <v>10</v>
      </c>
      <c r="P14">
        <f>IF(Greenleaf[[#This Row],[Shipment Status]]="Returned",1,0)</f>
        <v>0</v>
      </c>
      <c r="Q14">
        <f>IF(Greenleaf[[#This Row],[Shipment Status]]="Delivered",1,0)</f>
        <v>1</v>
      </c>
    </row>
    <row r="15" spans="1:17" x14ac:dyDescent="0.45">
      <c r="A15" t="s">
        <v>75</v>
      </c>
      <c r="B15">
        <v>45295</v>
      </c>
      <c r="C15" t="s">
        <v>23</v>
      </c>
      <c r="D15" t="s">
        <v>24</v>
      </c>
      <c r="E15">
        <v>1</v>
      </c>
      <c r="F15">
        <v>25</v>
      </c>
      <c r="G15">
        <v>8.85</v>
      </c>
      <c r="H15" t="s">
        <v>76</v>
      </c>
      <c r="I15" t="s">
        <v>77</v>
      </c>
      <c r="J15" t="s">
        <v>27</v>
      </c>
      <c r="K15" t="s">
        <v>34</v>
      </c>
      <c r="L15">
        <f t="shared" si="0"/>
        <v>25</v>
      </c>
      <c r="M15">
        <f t="shared" si="1"/>
        <v>8.85</v>
      </c>
      <c r="N15">
        <f t="shared" si="2"/>
        <v>16.149999999999999</v>
      </c>
      <c r="O15" cm="1">
        <f t="array" ref="O15">_xlfn.LET(_xlpm.cat, Greenleaf[[#This Row],[Product Category]], _xlpm.prices, _xlfn._xlws.FILTER(Greenleaf[Unit Price], (Greenleaf[Product Category]=_xlpm.cat)*(Greenleaf[Unit Price]&lt;&gt;"")), IFERROR(MEDIAN(_xlpm.prices), ""))</f>
        <v>25</v>
      </c>
      <c r="P15">
        <f>IF(Greenleaf[[#This Row],[Shipment Status]]="Returned",1,0)</f>
        <v>0</v>
      </c>
      <c r="Q15">
        <f>IF(Greenleaf[[#This Row],[Shipment Status]]="Delivered",1,0)</f>
        <v>1</v>
      </c>
    </row>
    <row r="16" spans="1:17" x14ac:dyDescent="0.45">
      <c r="A16" t="s">
        <v>78</v>
      </c>
      <c r="B16">
        <v>45295</v>
      </c>
      <c r="C16" t="s">
        <v>30</v>
      </c>
      <c r="D16" t="s">
        <v>31</v>
      </c>
      <c r="E16">
        <v>6</v>
      </c>
      <c r="F16">
        <v>40</v>
      </c>
      <c r="G16">
        <v>14.54</v>
      </c>
      <c r="H16" t="s">
        <v>79</v>
      </c>
      <c r="I16" t="s">
        <v>80</v>
      </c>
      <c r="J16" t="s">
        <v>47</v>
      </c>
      <c r="K16" t="s">
        <v>28</v>
      </c>
      <c r="L16">
        <f t="shared" si="0"/>
        <v>240</v>
      </c>
      <c r="M16">
        <f t="shared" si="1"/>
        <v>87.24</v>
      </c>
      <c r="N16">
        <f t="shared" si="2"/>
        <v>152.76</v>
      </c>
      <c r="O16" cm="1">
        <f t="array" ref="O16">_xlfn.LET(_xlpm.cat, Greenleaf[[#This Row],[Product Category]], _xlpm.prices, _xlfn._xlws.FILTER(Greenleaf[Unit Price], (Greenleaf[Product Category]=_xlpm.cat)*(Greenleaf[Unit Price]&lt;&gt;"")), IFERROR(MEDIAN(_xlpm.prices), ""))</f>
        <v>40</v>
      </c>
      <c r="P16">
        <f>IF(Greenleaf[[#This Row],[Shipment Status]]="Returned",1,0)</f>
        <v>0</v>
      </c>
      <c r="Q16">
        <f>IF(Greenleaf[[#This Row],[Shipment Status]]="Delivered",1,0)</f>
        <v>0</v>
      </c>
    </row>
    <row r="17" spans="1:17" x14ac:dyDescent="0.45">
      <c r="A17" t="s">
        <v>81</v>
      </c>
      <c r="B17">
        <v>45295</v>
      </c>
      <c r="C17" t="s">
        <v>16</v>
      </c>
      <c r="D17" t="s">
        <v>17</v>
      </c>
      <c r="E17">
        <v>10</v>
      </c>
      <c r="F17">
        <v>10</v>
      </c>
      <c r="G17">
        <v>2.36</v>
      </c>
      <c r="H17" t="s">
        <v>82</v>
      </c>
      <c r="I17" t="s">
        <v>83</v>
      </c>
      <c r="J17" t="s">
        <v>20</v>
      </c>
      <c r="K17" t="s">
        <v>70</v>
      </c>
      <c r="L17">
        <f t="shared" si="0"/>
        <v>100</v>
      </c>
      <c r="M17">
        <f t="shared" si="1"/>
        <v>23.599999999999998</v>
      </c>
      <c r="N17">
        <f t="shared" si="2"/>
        <v>76.400000000000006</v>
      </c>
      <c r="O17" cm="1">
        <f t="array" ref="O17">_xlfn.LET(_xlpm.cat, Greenleaf[[#This Row],[Product Category]], _xlpm.prices, _xlfn._xlws.FILTER(Greenleaf[Unit Price], (Greenleaf[Product Category]=_xlpm.cat)*(Greenleaf[Unit Price]&lt;&gt;"")), IFERROR(MEDIAN(_xlpm.prices), ""))</f>
        <v>10</v>
      </c>
      <c r="P17">
        <f>IF(Greenleaf[[#This Row],[Shipment Status]]="Returned",1,0)</f>
        <v>0</v>
      </c>
      <c r="Q17">
        <f>IF(Greenleaf[[#This Row],[Shipment Status]]="Delivered",1,0)</f>
        <v>0</v>
      </c>
    </row>
    <row r="18" spans="1:17" x14ac:dyDescent="0.45">
      <c r="A18" t="s">
        <v>84</v>
      </c>
      <c r="B18">
        <v>45295</v>
      </c>
      <c r="C18" t="s">
        <v>16</v>
      </c>
      <c r="D18" t="s">
        <v>17</v>
      </c>
      <c r="E18">
        <v>2</v>
      </c>
      <c r="F18">
        <v>10</v>
      </c>
      <c r="G18">
        <v>2.0699999999999998</v>
      </c>
      <c r="H18" t="s">
        <v>32</v>
      </c>
      <c r="I18" t="s">
        <v>33</v>
      </c>
      <c r="J18" t="s">
        <v>27</v>
      </c>
      <c r="K18" t="s">
        <v>34</v>
      </c>
      <c r="L18">
        <f t="shared" si="0"/>
        <v>20</v>
      </c>
      <c r="M18">
        <f t="shared" si="1"/>
        <v>4.1399999999999997</v>
      </c>
      <c r="N18">
        <f t="shared" si="2"/>
        <v>15.86</v>
      </c>
      <c r="O18" cm="1">
        <f t="array" ref="O18">_xlfn.LET(_xlpm.cat, Greenleaf[[#This Row],[Product Category]], _xlpm.prices, _xlfn._xlws.FILTER(Greenleaf[Unit Price], (Greenleaf[Product Category]=_xlpm.cat)*(Greenleaf[Unit Price]&lt;&gt;"")), IFERROR(MEDIAN(_xlpm.prices), ""))</f>
        <v>10</v>
      </c>
      <c r="P18">
        <f>IF(Greenleaf[[#This Row],[Shipment Status]]="Returned",1,0)</f>
        <v>0</v>
      </c>
      <c r="Q18">
        <f>IF(Greenleaf[[#This Row],[Shipment Status]]="Delivered",1,0)</f>
        <v>1</v>
      </c>
    </row>
    <row r="19" spans="1:17" x14ac:dyDescent="0.45">
      <c r="A19" t="s">
        <v>85</v>
      </c>
      <c r="B19">
        <v>45296</v>
      </c>
      <c r="C19" t="s">
        <v>23</v>
      </c>
      <c r="D19" t="s">
        <v>24</v>
      </c>
      <c r="E19">
        <v>7</v>
      </c>
      <c r="F19">
        <v>25</v>
      </c>
      <c r="G19">
        <v>6.64</v>
      </c>
      <c r="H19" t="s">
        <v>86</v>
      </c>
      <c r="I19" t="s">
        <v>87</v>
      </c>
      <c r="J19" t="s">
        <v>27</v>
      </c>
      <c r="K19" t="s">
        <v>28</v>
      </c>
      <c r="L19">
        <f t="shared" si="0"/>
        <v>175</v>
      </c>
      <c r="M19">
        <f t="shared" si="1"/>
        <v>46.48</v>
      </c>
      <c r="N19">
        <f t="shared" si="2"/>
        <v>128.52000000000001</v>
      </c>
      <c r="O19" cm="1">
        <f t="array" ref="O19">_xlfn.LET(_xlpm.cat, Greenleaf[[#This Row],[Product Category]], _xlpm.prices, _xlfn._xlws.FILTER(Greenleaf[Unit Price], (Greenleaf[Product Category]=_xlpm.cat)*(Greenleaf[Unit Price]&lt;&gt;"")), IFERROR(MEDIAN(_xlpm.prices), ""))</f>
        <v>25</v>
      </c>
      <c r="P19">
        <f>IF(Greenleaf[[#This Row],[Shipment Status]]="Returned",1,0)</f>
        <v>0</v>
      </c>
      <c r="Q19">
        <f>IF(Greenleaf[[#This Row],[Shipment Status]]="Delivered",1,0)</f>
        <v>1</v>
      </c>
    </row>
    <row r="20" spans="1:17" x14ac:dyDescent="0.45">
      <c r="A20" t="s">
        <v>88</v>
      </c>
      <c r="B20">
        <v>45296</v>
      </c>
      <c r="C20" t="s">
        <v>30</v>
      </c>
      <c r="D20" t="s">
        <v>31</v>
      </c>
      <c r="E20">
        <v>5</v>
      </c>
      <c r="F20">
        <v>40</v>
      </c>
      <c r="G20">
        <v>15.48</v>
      </c>
      <c r="H20" t="s">
        <v>89</v>
      </c>
      <c r="I20" t="s">
        <v>90</v>
      </c>
      <c r="J20" t="s">
        <v>27</v>
      </c>
      <c r="K20" t="s">
        <v>56</v>
      </c>
      <c r="L20">
        <f t="shared" si="0"/>
        <v>200</v>
      </c>
      <c r="M20">
        <f t="shared" si="1"/>
        <v>77.400000000000006</v>
      </c>
      <c r="N20">
        <f t="shared" si="2"/>
        <v>122.6</v>
      </c>
      <c r="O20" cm="1">
        <f t="array" ref="O20">_xlfn.LET(_xlpm.cat, Greenleaf[[#This Row],[Product Category]], _xlpm.prices, _xlfn._xlws.FILTER(Greenleaf[Unit Price], (Greenleaf[Product Category]=_xlpm.cat)*(Greenleaf[Unit Price]&lt;&gt;"")), IFERROR(MEDIAN(_xlpm.prices), ""))</f>
        <v>40</v>
      </c>
      <c r="P20">
        <f>IF(Greenleaf[[#This Row],[Shipment Status]]="Returned",1,0)</f>
        <v>0</v>
      </c>
      <c r="Q20">
        <f>IF(Greenleaf[[#This Row],[Shipment Status]]="Delivered",1,0)</f>
        <v>1</v>
      </c>
    </row>
    <row r="21" spans="1:17" x14ac:dyDescent="0.45">
      <c r="A21" t="s">
        <v>91</v>
      </c>
      <c r="B21">
        <v>45296</v>
      </c>
      <c r="C21" t="s">
        <v>16</v>
      </c>
      <c r="D21" t="s">
        <v>17</v>
      </c>
      <c r="E21">
        <v>8</v>
      </c>
      <c r="F21">
        <v>10</v>
      </c>
      <c r="G21">
        <v>2.67</v>
      </c>
      <c r="H21" t="s">
        <v>92</v>
      </c>
      <c r="I21" t="s">
        <v>93</v>
      </c>
      <c r="J21" t="s">
        <v>27</v>
      </c>
      <c r="K21" t="s">
        <v>70</v>
      </c>
      <c r="L21">
        <f t="shared" si="0"/>
        <v>80</v>
      </c>
      <c r="M21">
        <f t="shared" si="1"/>
        <v>21.36</v>
      </c>
      <c r="N21">
        <f t="shared" si="2"/>
        <v>58.64</v>
      </c>
      <c r="O21" cm="1">
        <f t="array" ref="O21">_xlfn.LET(_xlpm.cat, Greenleaf[[#This Row],[Product Category]], _xlpm.prices, _xlfn._xlws.FILTER(Greenleaf[Unit Price], (Greenleaf[Product Category]=_xlpm.cat)*(Greenleaf[Unit Price]&lt;&gt;"")), IFERROR(MEDIAN(_xlpm.prices), ""))</f>
        <v>10</v>
      </c>
      <c r="P21">
        <f>IF(Greenleaf[[#This Row],[Shipment Status]]="Returned",1,0)</f>
        <v>0</v>
      </c>
      <c r="Q21">
        <f>IF(Greenleaf[[#This Row],[Shipment Status]]="Delivered",1,0)</f>
        <v>1</v>
      </c>
    </row>
    <row r="22" spans="1:17" x14ac:dyDescent="0.45">
      <c r="A22" t="s">
        <v>94</v>
      </c>
      <c r="B22">
        <v>45296</v>
      </c>
      <c r="C22" t="s">
        <v>66</v>
      </c>
      <c r="D22" t="s">
        <v>67</v>
      </c>
      <c r="E22">
        <v>3</v>
      </c>
      <c r="F22">
        <v>12</v>
      </c>
      <c r="G22">
        <v>3.23</v>
      </c>
      <c r="H22" t="s">
        <v>25</v>
      </c>
      <c r="I22" t="s">
        <v>26</v>
      </c>
      <c r="J22" t="s">
        <v>27</v>
      </c>
      <c r="K22" t="s">
        <v>59</v>
      </c>
      <c r="L22">
        <f t="shared" si="0"/>
        <v>36</v>
      </c>
      <c r="M22">
        <f t="shared" si="1"/>
        <v>9.69</v>
      </c>
      <c r="N22">
        <f t="shared" si="2"/>
        <v>26.310000000000002</v>
      </c>
      <c r="O22" cm="1">
        <f t="array" ref="O22">_xlfn.LET(_xlpm.cat, Greenleaf[[#This Row],[Product Category]], _xlpm.prices, _xlfn._xlws.FILTER(Greenleaf[Unit Price], (Greenleaf[Product Category]=_xlpm.cat)*(Greenleaf[Unit Price]&lt;&gt;"")), IFERROR(MEDIAN(_xlpm.prices), ""))</f>
        <v>12</v>
      </c>
      <c r="P22">
        <f>IF(Greenleaf[[#This Row],[Shipment Status]]="Returned",1,0)</f>
        <v>0</v>
      </c>
      <c r="Q22">
        <f>IF(Greenleaf[[#This Row],[Shipment Status]]="Delivered",1,0)</f>
        <v>1</v>
      </c>
    </row>
    <row r="23" spans="1:17" x14ac:dyDescent="0.45">
      <c r="A23" t="s">
        <v>95</v>
      </c>
      <c r="B23">
        <v>45297</v>
      </c>
      <c r="C23" t="s">
        <v>30</v>
      </c>
      <c r="D23" t="s">
        <v>31</v>
      </c>
      <c r="E23">
        <v>3</v>
      </c>
      <c r="F23">
        <v>40</v>
      </c>
      <c r="G23">
        <v>11.81</v>
      </c>
      <c r="H23" t="s">
        <v>96</v>
      </c>
      <c r="I23" t="s">
        <v>97</v>
      </c>
      <c r="J23" t="s">
        <v>47</v>
      </c>
      <c r="K23" t="s">
        <v>43</v>
      </c>
      <c r="L23">
        <f t="shared" si="0"/>
        <v>120</v>
      </c>
      <c r="M23">
        <f t="shared" si="1"/>
        <v>35.43</v>
      </c>
      <c r="N23">
        <f t="shared" si="2"/>
        <v>84.57</v>
      </c>
      <c r="O23" cm="1">
        <f t="array" ref="O23">_xlfn.LET(_xlpm.cat, Greenleaf[[#This Row],[Product Category]], _xlpm.prices, _xlfn._xlws.FILTER(Greenleaf[Unit Price], (Greenleaf[Product Category]=_xlpm.cat)*(Greenleaf[Unit Price]&lt;&gt;"")), IFERROR(MEDIAN(_xlpm.prices), ""))</f>
        <v>40</v>
      </c>
      <c r="P23">
        <f>IF(Greenleaf[[#This Row],[Shipment Status]]="Returned",1,0)</f>
        <v>0</v>
      </c>
      <c r="Q23">
        <f>IF(Greenleaf[[#This Row],[Shipment Status]]="Delivered",1,0)</f>
        <v>0</v>
      </c>
    </row>
    <row r="24" spans="1:17" x14ac:dyDescent="0.45">
      <c r="A24" t="s">
        <v>98</v>
      </c>
      <c r="B24">
        <v>45297</v>
      </c>
      <c r="C24" t="s">
        <v>30</v>
      </c>
      <c r="D24" t="s">
        <v>31</v>
      </c>
      <c r="E24">
        <v>6</v>
      </c>
      <c r="F24">
        <v>40</v>
      </c>
      <c r="G24">
        <v>12.11</v>
      </c>
      <c r="H24" t="s">
        <v>99</v>
      </c>
      <c r="I24" t="s">
        <v>100</v>
      </c>
      <c r="J24" t="s">
        <v>27</v>
      </c>
      <c r="K24" t="s">
        <v>43</v>
      </c>
      <c r="L24">
        <f t="shared" si="0"/>
        <v>240</v>
      </c>
      <c r="M24">
        <f t="shared" si="1"/>
        <v>72.66</v>
      </c>
      <c r="N24">
        <f t="shared" si="2"/>
        <v>167.34</v>
      </c>
      <c r="O24" cm="1">
        <f t="array" ref="O24">_xlfn.LET(_xlpm.cat, Greenleaf[[#This Row],[Product Category]], _xlpm.prices, _xlfn._xlws.FILTER(Greenleaf[Unit Price], (Greenleaf[Product Category]=_xlpm.cat)*(Greenleaf[Unit Price]&lt;&gt;"")), IFERROR(MEDIAN(_xlpm.prices), ""))</f>
        <v>40</v>
      </c>
      <c r="P24">
        <f>IF(Greenleaf[[#This Row],[Shipment Status]]="Returned",1,0)</f>
        <v>0</v>
      </c>
      <c r="Q24">
        <f>IF(Greenleaf[[#This Row],[Shipment Status]]="Delivered",1,0)</f>
        <v>1</v>
      </c>
    </row>
    <row r="25" spans="1:17" x14ac:dyDescent="0.45">
      <c r="A25" t="s">
        <v>101</v>
      </c>
      <c r="B25">
        <v>45297</v>
      </c>
      <c r="C25" t="s">
        <v>23</v>
      </c>
      <c r="D25" t="s">
        <v>24</v>
      </c>
      <c r="E25">
        <v>7</v>
      </c>
      <c r="F25">
        <v>25</v>
      </c>
      <c r="G25">
        <v>8.4499999999999993</v>
      </c>
      <c r="H25" t="s">
        <v>102</v>
      </c>
      <c r="I25" t="s">
        <v>97</v>
      </c>
      <c r="J25" t="s">
        <v>27</v>
      </c>
      <c r="K25" t="s">
        <v>56</v>
      </c>
      <c r="L25">
        <f t="shared" si="0"/>
        <v>175</v>
      </c>
      <c r="M25">
        <f t="shared" si="1"/>
        <v>59.149999999999991</v>
      </c>
      <c r="N25">
        <f t="shared" si="2"/>
        <v>115.85000000000001</v>
      </c>
      <c r="O25" cm="1">
        <f t="array" ref="O25">_xlfn.LET(_xlpm.cat, Greenleaf[[#This Row],[Product Category]], _xlpm.prices, _xlfn._xlws.FILTER(Greenleaf[Unit Price], (Greenleaf[Product Category]=_xlpm.cat)*(Greenleaf[Unit Price]&lt;&gt;"")), IFERROR(MEDIAN(_xlpm.prices), ""))</f>
        <v>25</v>
      </c>
      <c r="P25">
        <f>IF(Greenleaf[[#This Row],[Shipment Status]]="Returned",1,0)</f>
        <v>0</v>
      </c>
      <c r="Q25">
        <f>IF(Greenleaf[[#This Row],[Shipment Status]]="Delivered",1,0)</f>
        <v>1</v>
      </c>
    </row>
    <row r="26" spans="1:17" x14ac:dyDescent="0.45">
      <c r="A26" t="s">
        <v>103</v>
      </c>
      <c r="B26">
        <v>45297</v>
      </c>
      <c r="C26" t="s">
        <v>16</v>
      </c>
      <c r="D26" t="s">
        <v>17</v>
      </c>
      <c r="E26">
        <v>8</v>
      </c>
      <c r="F26">
        <v>10</v>
      </c>
      <c r="G26">
        <v>3.8</v>
      </c>
      <c r="H26" t="s">
        <v>104</v>
      </c>
      <c r="I26" t="s">
        <v>105</v>
      </c>
      <c r="J26" t="s">
        <v>42</v>
      </c>
      <c r="K26" t="s">
        <v>70</v>
      </c>
      <c r="L26">
        <f t="shared" si="0"/>
        <v>80</v>
      </c>
      <c r="M26">
        <f t="shared" si="1"/>
        <v>30.4</v>
      </c>
      <c r="N26">
        <f t="shared" si="2"/>
        <v>49.6</v>
      </c>
      <c r="O26" cm="1">
        <f t="array" ref="O26">_xlfn.LET(_xlpm.cat, Greenleaf[[#This Row],[Product Category]], _xlpm.prices, _xlfn._xlws.FILTER(Greenleaf[Unit Price], (Greenleaf[Product Category]=_xlpm.cat)*(Greenleaf[Unit Price]&lt;&gt;"")), IFERROR(MEDIAN(_xlpm.prices), ""))</f>
        <v>10</v>
      </c>
      <c r="P26">
        <f>IF(Greenleaf[[#This Row],[Shipment Status]]="Returned",1,0)</f>
        <v>1</v>
      </c>
      <c r="Q26">
        <f>IF(Greenleaf[[#This Row],[Shipment Status]]="Delivered",1,0)</f>
        <v>0</v>
      </c>
    </row>
    <row r="27" spans="1:17" x14ac:dyDescent="0.45">
      <c r="A27" t="s">
        <v>106</v>
      </c>
      <c r="B27">
        <v>45297</v>
      </c>
      <c r="C27" t="s">
        <v>49</v>
      </c>
      <c r="D27" t="s">
        <v>50</v>
      </c>
      <c r="E27">
        <v>7</v>
      </c>
      <c r="F27">
        <v>15</v>
      </c>
      <c r="G27">
        <v>3.13</v>
      </c>
      <c r="H27" t="s">
        <v>51</v>
      </c>
      <c r="I27" t="s">
        <v>52</v>
      </c>
      <c r="J27" t="s">
        <v>20</v>
      </c>
      <c r="K27" t="s">
        <v>28</v>
      </c>
      <c r="L27">
        <f t="shared" si="0"/>
        <v>105</v>
      </c>
      <c r="M27">
        <f t="shared" si="1"/>
        <v>21.91</v>
      </c>
      <c r="N27">
        <f t="shared" si="2"/>
        <v>83.09</v>
      </c>
      <c r="O27" cm="1">
        <f t="array" ref="O27">_xlfn.LET(_xlpm.cat, Greenleaf[[#This Row],[Product Category]], _xlpm.prices, _xlfn._xlws.FILTER(Greenleaf[Unit Price], (Greenleaf[Product Category]=_xlpm.cat)*(Greenleaf[Unit Price]&lt;&gt;"")), IFERROR(MEDIAN(_xlpm.prices), ""))</f>
        <v>15</v>
      </c>
      <c r="P27">
        <f>IF(Greenleaf[[#This Row],[Shipment Status]]="Returned",1,0)</f>
        <v>0</v>
      </c>
      <c r="Q27">
        <f>IF(Greenleaf[[#This Row],[Shipment Status]]="Delivered",1,0)</f>
        <v>0</v>
      </c>
    </row>
    <row r="28" spans="1:17" x14ac:dyDescent="0.45">
      <c r="A28" t="s">
        <v>107</v>
      </c>
      <c r="B28">
        <v>45297</v>
      </c>
      <c r="C28" t="s">
        <v>16</v>
      </c>
      <c r="D28" t="s">
        <v>17</v>
      </c>
      <c r="E28">
        <v>6</v>
      </c>
      <c r="F28">
        <v>10</v>
      </c>
      <c r="G28">
        <v>3.18</v>
      </c>
      <c r="H28" t="s">
        <v>108</v>
      </c>
      <c r="I28" t="s">
        <v>109</v>
      </c>
      <c r="J28" t="s">
        <v>27</v>
      </c>
      <c r="K28" t="s">
        <v>21</v>
      </c>
      <c r="L28">
        <f t="shared" si="0"/>
        <v>60</v>
      </c>
      <c r="M28">
        <f t="shared" si="1"/>
        <v>19.080000000000002</v>
      </c>
      <c r="N28">
        <f t="shared" si="2"/>
        <v>40.92</v>
      </c>
      <c r="O28" cm="1">
        <f t="array" ref="O28">_xlfn.LET(_xlpm.cat, Greenleaf[[#This Row],[Product Category]], _xlpm.prices, _xlfn._xlws.FILTER(Greenleaf[Unit Price], (Greenleaf[Product Category]=_xlpm.cat)*(Greenleaf[Unit Price]&lt;&gt;"")), IFERROR(MEDIAN(_xlpm.prices), ""))</f>
        <v>10</v>
      </c>
      <c r="P28">
        <f>IF(Greenleaf[[#This Row],[Shipment Status]]="Returned",1,0)</f>
        <v>0</v>
      </c>
      <c r="Q28">
        <f>IF(Greenleaf[[#This Row],[Shipment Status]]="Delivered",1,0)</f>
        <v>1</v>
      </c>
    </row>
    <row r="29" spans="1:17" x14ac:dyDescent="0.45">
      <c r="A29" t="s">
        <v>110</v>
      </c>
      <c r="B29">
        <v>45298</v>
      </c>
      <c r="C29" t="s">
        <v>66</v>
      </c>
      <c r="D29" t="s">
        <v>67</v>
      </c>
      <c r="E29">
        <v>9</v>
      </c>
      <c r="F29">
        <v>12</v>
      </c>
      <c r="G29">
        <v>3.94</v>
      </c>
      <c r="H29" t="s">
        <v>111</v>
      </c>
      <c r="I29" t="s">
        <v>112</v>
      </c>
      <c r="J29" t="s">
        <v>27</v>
      </c>
      <c r="K29" t="s">
        <v>34</v>
      </c>
      <c r="L29">
        <f t="shared" si="0"/>
        <v>108</v>
      </c>
      <c r="M29">
        <f t="shared" si="1"/>
        <v>35.46</v>
      </c>
      <c r="N29">
        <f t="shared" si="2"/>
        <v>72.539999999999992</v>
      </c>
      <c r="O29" cm="1">
        <f t="array" ref="O29">_xlfn.LET(_xlpm.cat, Greenleaf[[#This Row],[Product Category]], _xlpm.prices, _xlfn._xlws.FILTER(Greenleaf[Unit Price], (Greenleaf[Product Category]=_xlpm.cat)*(Greenleaf[Unit Price]&lt;&gt;"")), IFERROR(MEDIAN(_xlpm.prices), ""))</f>
        <v>12</v>
      </c>
      <c r="P29">
        <f>IF(Greenleaf[[#This Row],[Shipment Status]]="Returned",1,0)</f>
        <v>0</v>
      </c>
      <c r="Q29">
        <f>IF(Greenleaf[[#This Row],[Shipment Status]]="Delivered",1,0)</f>
        <v>1</v>
      </c>
    </row>
    <row r="30" spans="1:17" x14ac:dyDescent="0.45">
      <c r="A30" t="s">
        <v>113</v>
      </c>
      <c r="B30">
        <v>45298</v>
      </c>
      <c r="C30" t="s">
        <v>30</v>
      </c>
      <c r="D30" t="s">
        <v>31</v>
      </c>
      <c r="E30">
        <v>3</v>
      </c>
      <c r="F30">
        <v>40</v>
      </c>
      <c r="G30">
        <v>10.79</v>
      </c>
      <c r="H30" t="s">
        <v>114</v>
      </c>
      <c r="I30" t="s">
        <v>115</v>
      </c>
      <c r="J30" t="s">
        <v>27</v>
      </c>
      <c r="K30" t="s">
        <v>28</v>
      </c>
      <c r="L30">
        <f t="shared" si="0"/>
        <v>120</v>
      </c>
      <c r="M30">
        <f t="shared" si="1"/>
        <v>32.369999999999997</v>
      </c>
      <c r="N30">
        <f t="shared" si="2"/>
        <v>87.63</v>
      </c>
      <c r="O30" cm="1">
        <f t="array" ref="O30">_xlfn.LET(_xlpm.cat, Greenleaf[[#This Row],[Product Category]], _xlpm.prices, _xlfn._xlws.FILTER(Greenleaf[Unit Price], (Greenleaf[Product Category]=_xlpm.cat)*(Greenleaf[Unit Price]&lt;&gt;"")), IFERROR(MEDIAN(_xlpm.prices), ""))</f>
        <v>40</v>
      </c>
      <c r="P30">
        <f>IF(Greenleaf[[#This Row],[Shipment Status]]="Returned",1,0)</f>
        <v>0</v>
      </c>
      <c r="Q30">
        <f>IF(Greenleaf[[#This Row],[Shipment Status]]="Delivered",1,0)</f>
        <v>1</v>
      </c>
    </row>
    <row r="31" spans="1:17" x14ac:dyDescent="0.45">
      <c r="A31" t="s">
        <v>116</v>
      </c>
      <c r="B31">
        <v>45298</v>
      </c>
      <c r="C31" t="s">
        <v>23</v>
      </c>
      <c r="D31" t="s">
        <v>24</v>
      </c>
      <c r="E31">
        <v>4</v>
      </c>
      <c r="F31">
        <v>25</v>
      </c>
      <c r="G31">
        <v>8.43</v>
      </c>
      <c r="H31" t="s">
        <v>58</v>
      </c>
      <c r="I31" t="s">
        <v>37</v>
      </c>
      <c r="J31" t="s">
        <v>20</v>
      </c>
      <c r="K31" t="s">
        <v>70</v>
      </c>
      <c r="L31">
        <f t="shared" si="0"/>
        <v>100</v>
      </c>
      <c r="M31">
        <f t="shared" si="1"/>
        <v>33.72</v>
      </c>
      <c r="N31">
        <f t="shared" si="2"/>
        <v>66.28</v>
      </c>
      <c r="O31" cm="1">
        <f t="array" ref="O31">_xlfn.LET(_xlpm.cat, Greenleaf[[#This Row],[Product Category]], _xlpm.prices, _xlfn._xlws.FILTER(Greenleaf[Unit Price], (Greenleaf[Product Category]=_xlpm.cat)*(Greenleaf[Unit Price]&lt;&gt;"")), IFERROR(MEDIAN(_xlpm.prices), ""))</f>
        <v>25</v>
      </c>
      <c r="P31">
        <f>IF(Greenleaf[[#This Row],[Shipment Status]]="Returned",1,0)</f>
        <v>0</v>
      </c>
      <c r="Q31">
        <f>IF(Greenleaf[[#This Row],[Shipment Status]]="Delivered",1,0)</f>
        <v>0</v>
      </c>
    </row>
    <row r="32" spans="1:17" x14ac:dyDescent="0.45">
      <c r="A32" t="s">
        <v>117</v>
      </c>
      <c r="B32">
        <v>45299</v>
      </c>
      <c r="C32" t="s">
        <v>49</v>
      </c>
      <c r="D32" t="s">
        <v>50</v>
      </c>
      <c r="E32">
        <v>5</v>
      </c>
      <c r="F32">
        <v>15</v>
      </c>
      <c r="G32">
        <v>3.55</v>
      </c>
      <c r="H32" t="s">
        <v>118</v>
      </c>
      <c r="I32" t="s">
        <v>119</v>
      </c>
      <c r="J32" t="s">
        <v>27</v>
      </c>
      <c r="K32" t="s">
        <v>38</v>
      </c>
      <c r="L32">
        <f t="shared" si="0"/>
        <v>75</v>
      </c>
      <c r="M32">
        <f t="shared" si="1"/>
        <v>17.75</v>
      </c>
      <c r="N32">
        <f t="shared" si="2"/>
        <v>57.25</v>
      </c>
      <c r="O32" cm="1">
        <f t="array" ref="O32">_xlfn.LET(_xlpm.cat, Greenleaf[[#This Row],[Product Category]], _xlpm.prices, _xlfn._xlws.FILTER(Greenleaf[Unit Price], (Greenleaf[Product Category]=_xlpm.cat)*(Greenleaf[Unit Price]&lt;&gt;"")), IFERROR(MEDIAN(_xlpm.prices), ""))</f>
        <v>15</v>
      </c>
      <c r="P32">
        <f>IF(Greenleaf[[#This Row],[Shipment Status]]="Returned",1,0)</f>
        <v>0</v>
      </c>
      <c r="Q32">
        <f>IF(Greenleaf[[#This Row],[Shipment Status]]="Delivered",1,0)</f>
        <v>1</v>
      </c>
    </row>
    <row r="33" spans="1:17" x14ac:dyDescent="0.45">
      <c r="A33" t="s">
        <v>120</v>
      </c>
      <c r="B33">
        <v>45299</v>
      </c>
      <c r="C33" t="s">
        <v>49</v>
      </c>
      <c r="D33" t="s">
        <v>50</v>
      </c>
      <c r="E33">
        <v>6</v>
      </c>
      <c r="F33">
        <v>15</v>
      </c>
      <c r="G33">
        <v>4.04</v>
      </c>
      <c r="H33" t="s">
        <v>121</v>
      </c>
      <c r="I33" t="s">
        <v>122</v>
      </c>
      <c r="J33" t="s">
        <v>27</v>
      </c>
      <c r="K33" t="s">
        <v>21</v>
      </c>
      <c r="L33">
        <f t="shared" si="0"/>
        <v>90</v>
      </c>
      <c r="M33">
        <f t="shared" si="1"/>
        <v>24.240000000000002</v>
      </c>
      <c r="N33">
        <f t="shared" si="2"/>
        <v>65.759999999999991</v>
      </c>
      <c r="O33" cm="1">
        <f t="array" ref="O33">_xlfn.LET(_xlpm.cat, Greenleaf[[#This Row],[Product Category]], _xlpm.prices, _xlfn._xlws.FILTER(Greenleaf[Unit Price], (Greenleaf[Product Category]=_xlpm.cat)*(Greenleaf[Unit Price]&lt;&gt;"")), IFERROR(MEDIAN(_xlpm.prices), ""))</f>
        <v>15</v>
      </c>
      <c r="P33">
        <f>IF(Greenleaf[[#This Row],[Shipment Status]]="Returned",1,0)</f>
        <v>0</v>
      </c>
      <c r="Q33">
        <f>IF(Greenleaf[[#This Row],[Shipment Status]]="Delivered",1,0)</f>
        <v>1</v>
      </c>
    </row>
    <row r="34" spans="1:17" x14ac:dyDescent="0.45">
      <c r="A34" t="s">
        <v>123</v>
      </c>
      <c r="B34">
        <v>45300</v>
      </c>
      <c r="C34" t="s">
        <v>16</v>
      </c>
      <c r="D34" t="s">
        <v>17</v>
      </c>
      <c r="E34">
        <v>8</v>
      </c>
      <c r="F34">
        <v>10</v>
      </c>
      <c r="G34">
        <v>2.6</v>
      </c>
      <c r="H34" t="s">
        <v>124</v>
      </c>
      <c r="I34" t="s">
        <v>125</v>
      </c>
      <c r="J34" t="s">
        <v>47</v>
      </c>
      <c r="K34" t="s">
        <v>70</v>
      </c>
      <c r="L34">
        <f t="shared" si="0"/>
        <v>80</v>
      </c>
      <c r="M34">
        <f t="shared" si="1"/>
        <v>20.8</v>
      </c>
      <c r="N34">
        <f t="shared" si="2"/>
        <v>59.2</v>
      </c>
      <c r="O34" cm="1">
        <f t="array" ref="O34">_xlfn.LET(_xlpm.cat, Greenleaf[[#This Row],[Product Category]], _xlpm.prices, _xlfn._xlws.FILTER(Greenleaf[Unit Price], (Greenleaf[Product Category]=_xlpm.cat)*(Greenleaf[Unit Price]&lt;&gt;"")), IFERROR(MEDIAN(_xlpm.prices), ""))</f>
        <v>10</v>
      </c>
      <c r="P34">
        <f>IF(Greenleaf[[#This Row],[Shipment Status]]="Returned",1,0)</f>
        <v>0</v>
      </c>
      <c r="Q34">
        <f>IF(Greenleaf[[#This Row],[Shipment Status]]="Delivered",1,0)</f>
        <v>0</v>
      </c>
    </row>
    <row r="35" spans="1:17" x14ac:dyDescent="0.45">
      <c r="A35" t="s">
        <v>126</v>
      </c>
      <c r="B35">
        <v>45300</v>
      </c>
      <c r="C35" t="s">
        <v>66</v>
      </c>
      <c r="D35" t="s">
        <v>67</v>
      </c>
      <c r="E35">
        <v>10</v>
      </c>
      <c r="F35">
        <v>12</v>
      </c>
      <c r="G35">
        <v>2.74</v>
      </c>
      <c r="H35" t="s">
        <v>127</v>
      </c>
      <c r="I35" t="s">
        <v>128</v>
      </c>
      <c r="J35" t="s">
        <v>27</v>
      </c>
      <c r="K35" t="s">
        <v>43</v>
      </c>
      <c r="L35">
        <f t="shared" si="0"/>
        <v>120</v>
      </c>
      <c r="M35">
        <f t="shared" si="1"/>
        <v>27.400000000000002</v>
      </c>
      <c r="N35">
        <f t="shared" si="2"/>
        <v>92.6</v>
      </c>
      <c r="O35" cm="1">
        <f t="array" ref="O35">_xlfn.LET(_xlpm.cat, Greenleaf[[#This Row],[Product Category]], _xlpm.prices, _xlfn._xlws.FILTER(Greenleaf[Unit Price], (Greenleaf[Product Category]=_xlpm.cat)*(Greenleaf[Unit Price]&lt;&gt;"")), IFERROR(MEDIAN(_xlpm.prices), ""))</f>
        <v>12</v>
      </c>
      <c r="P35">
        <f>IF(Greenleaf[[#This Row],[Shipment Status]]="Returned",1,0)</f>
        <v>0</v>
      </c>
      <c r="Q35">
        <f>IF(Greenleaf[[#This Row],[Shipment Status]]="Delivered",1,0)</f>
        <v>1</v>
      </c>
    </row>
    <row r="36" spans="1:17" x14ac:dyDescent="0.45">
      <c r="A36" t="s">
        <v>129</v>
      </c>
      <c r="B36">
        <v>45301</v>
      </c>
      <c r="C36" t="s">
        <v>23</v>
      </c>
      <c r="D36" t="s">
        <v>24</v>
      </c>
      <c r="E36">
        <v>10</v>
      </c>
      <c r="F36">
        <v>25</v>
      </c>
      <c r="G36">
        <v>9.86</v>
      </c>
      <c r="H36" t="s">
        <v>82</v>
      </c>
      <c r="I36" t="s">
        <v>83</v>
      </c>
      <c r="J36" t="s">
        <v>27</v>
      </c>
      <c r="K36" t="s">
        <v>43</v>
      </c>
      <c r="L36">
        <f t="shared" si="0"/>
        <v>250</v>
      </c>
      <c r="M36">
        <f t="shared" si="1"/>
        <v>98.6</v>
      </c>
      <c r="N36">
        <f t="shared" si="2"/>
        <v>151.4</v>
      </c>
      <c r="O36" cm="1">
        <f t="array" ref="O36">_xlfn.LET(_xlpm.cat, Greenleaf[[#This Row],[Product Category]], _xlpm.prices, _xlfn._xlws.FILTER(Greenleaf[Unit Price], (Greenleaf[Product Category]=_xlpm.cat)*(Greenleaf[Unit Price]&lt;&gt;"")), IFERROR(MEDIAN(_xlpm.prices), ""))</f>
        <v>25</v>
      </c>
      <c r="P36">
        <f>IF(Greenleaf[[#This Row],[Shipment Status]]="Returned",1,0)</f>
        <v>0</v>
      </c>
      <c r="Q36">
        <f>IF(Greenleaf[[#This Row],[Shipment Status]]="Delivered",1,0)</f>
        <v>1</v>
      </c>
    </row>
    <row r="37" spans="1:17" x14ac:dyDescent="0.45">
      <c r="A37" t="s">
        <v>130</v>
      </c>
      <c r="B37">
        <v>45301</v>
      </c>
      <c r="C37" t="s">
        <v>66</v>
      </c>
      <c r="D37" t="s">
        <v>67</v>
      </c>
      <c r="E37">
        <v>9</v>
      </c>
      <c r="F37">
        <v>12</v>
      </c>
      <c r="G37">
        <v>3.33</v>
      </c>
      <c r="H37" t="s">
        <v>51</v>
      </c>
      <c r="I37" t="s">
        <v>52</v>
      </c>
      <c r="J37" t="s">
        <v>27</v>
      </c>
      <c r="K37" t="s">
        <v>59</v>
      </c>
      <c r="L37">
        <f t="shared" si="0"/>
        <v>108</v>
      </c>
      <c r="M37">
        <f t="shared" si="1"/>
        <v>29.97</v>
      </c>
      <c r="N37">
        <f t="shared" si="2"/>
        <v>78.03</v>
      </c>
      <c r="O37" cm="1">
        <f t="array" ref="O37">_xlfn.LET(_xlpm.cat, Greenleaf[[#This Row],[Product Category]], _xlpm.prices, _xlfn._xlws.FILTER(Greenleaf[Unit Price], (Greenleaf[Product Category]=_xlpm.cat)*(Greenleaf[Unit Price]&lt;&gt;"")), IFERROR(MEDIAN(_xlpm.prices), ""))</f>
        <v>12</v>
      </c>
      <c r="P37">
        <f>IF(Greenleaf[[#This Row],[Shipment Status]]="Returned",1,0)</f>
        <v>0</v>
      </c>
      <c r="Q37">
        <f>IF(Greenleaf[[#This Row],[Shipment Status]]="Delivered",1,0)</f>
        <v>1</v>
      </c>
    </row>
    <row r="38" spans="1:17" x14ac:dyDescent="0.45">
      <c r="A38" t="s">
        <v>131</v>
      </c>
      <c r="B38">
        <v>45301</v>
      </c>
      <c r="C38" t="s">
        <v>49</v>
      </c>
      <c r="D38" t="s">
        <v>50</v>
      </c>
      <c r="E38">
        <v>6</v>
      </c>
      <c r="F38">
        <v>15</v>
      </c>
      <c r="G38">
        <v>3.13</v>
      </c>
      <c r="H38" t="s">
        <v>132</v>
      </c>
      <c r="I38" t="s">
        <v>133</v>
      </c>
      <c r="J38" t="s">
        <v>27</v>
      </c>
      <c r="K38" t="s">
        <v>134</v>
      </c>
      <c r="L38">
        <f t="shared" si="0"/>
        <v>90</v>
      </c>
      <c r="M38">
        <f t="shared" si="1"/>
        <v>18.78</v>
      </c>
      <c r="N38">
        <f t="shared" si="2"/>
        <v>71.22</v>
      </c>
      <c r="O38" cm="1">
        <f t="array" ref="O38">_xlfn.LET(_xlpm.cat, Greenleaf[[#This Row],[Product Category]], _xlpm.prices, _xlfn._xlws.FILTER(Greenleaf[Unit Price], (Greenleaf[Product Category]=_xlpm.cat)*(Greenleaf[Unit Price]&lt;&gt;"")), IFERROR(MEDIAN(_xlpm.prices), ""))</f>
        <v>15</v>
      </c>
      <c r="P38">
        <f>IF(Greenleaf[[#This Row],[Shipment Status]]="Returned",1,0)</f>
        <v>0</v>
      </c>
      <c r="Q38">
        <f>IF(Greenleaf[[#This Row],[Shipment Status]]="Delivered",1,0)</f>
        <v>1</v>
      </c>
    </row>
    <row r="39" spans="1:17" x14ac:dyDescent="0.45">
      <c r="A39" t="s">
        <v>135</v>
      </c>
      <c r="B39">
        <v>45302</v>
      </c>
      <c r="C39" t="s">
        <v>66</v>
      </c>
      <c r="D39" t="s">
        <v>67</v>
      </c>
      <c r="E39">
        <v>4</v>
      </c>
      <c r="F39">
        <v>12</v>
      </c>
      <c r="G39">
        <v>4.74</v>
      </c>
      <c r="H39" t="s">
        <v>136</v>
      </c>
      <c r="I39" t="s">
        <v>137</v>
      </c>
      <c r="J39" t="s">
        <v>47</v>
      </c>
      <c r="K39" t="s">
        <v>59</v>
      </c>
      <c r="L39">
        <f t="shared" si="0"/>
        <v>48</v>
      </c>
      <c r="M39">
        <f t="shared" si="1"/>
        <v>18.96</v>
      </c>
      <c r="N39">
        <f t="shared" si="2"/>
        <v>29.04</v>
      </c>
      <c r="O39" cm="1">
        <f t="array" ref="O39">_xlfn.LET(_xlpm.cat, Greenleaf[[#This Row],[Product Category]], _xlpm.prices, _xlfn._xlws.FILTER(Greenleaf[Unit Price], (Greenleaf[Product Category]=_xlpm.cat)*(Greenleaf[Unit Price]&lt;&gt;"")), IFERROR(MEDIAN(_xlpm.prices), ""))</f>
        <v>12</v>
      </c>
      <c r="P39">
        <f>IF(Greenleaf[[#This Row],[Shipment Status]]="Returned",1,0)</f>
        <v>0</v>
      </c>
      <c r="Q39">
        <f>IF(Greenleaf[[#This Row],[Shipment Status]]="Delivered",1,0)</f>
        <v>0</v>
      </c>
    </row>
    <row r="40" spans="1:17" x14ac:dyDescent="0.45">
      <c r="A40" t="s">
        <v>138</v>
      </c>
      <c r="B40">
        <v>45303</v>
      </c>
      <c r="C40" t="s">
        <v>66</v>
      </c>
      <c r="D40" t="s">
        <v>67</v>
      </c>
      <c r="E40">
        <v>9</v>
      </c>
      <c r="F40">
        <v>12</v>
      </c>
      <c r="G40">
        <v>4.33</v>
      </c>
      <c r="H40" t="s">
        <v>139</v>
      </c>
      <c r="I40" t="s">
        <v>140</v>
      </c>
      <c r="J40" t="s">
        <v>27</v>
      </c>
      <c r="K40" t="s">
        <v>56</v>
      </c>
      <c r="L40">
        <f t="shared" si="0"/>
        <v>108</v>
      </c>
      <c r="M40">
        <f t="shared" si="1"/>
        <v>38.97</v>
      </c>
      <c r="N40">
        <f t="shared" si="2"/>
        <v>69.03</v>
      </c>
      <c r="O40" cm="1">
        <f t="array" ref="O40">_xlfn.LET(_xlpm.cat, Greenleaf[[#This Row],[Product Category]], _xlpm.prices, _xlfn._xlws.FILTER(Greenleaf[Unit Price], (Greenleaf[Product Category]=_xlpm.cat)*(Greenleaf[Unit Price]&lt;&gt;"")), IFERROR(MEDIAN(_xlpm.prices), ""))</f>
        <v>12</v>
      </c>
      <c r="P40">
        <f>IF(Greenleaf[[#This Row],[Shipment Status]]="Returned",1,0)</f>
        <v>0</v>
      </c>
      <c r="Q40">
        <f>IF(Greenleaf[[#This Row],[Shipment Status]]="Delivered",1,0)</f>
        <v>1</v>
      </c>
    </row>
    <row r="41" spans="1:17" x14ac:dyDescent="0.45">
      <c r="A41" t="s">
        <v>141</v>
      </c>
      <c r="B41">
        <v>45303</v>
      </c>
      <c r="C41" t="s">
        <v>23</v>
      </c>
      <c r="D41" t="s">
        <v>24</v>
      </c>
      <c r="E41">
        <v>3</v>
      </c>
      <c r="F41">
        <v>25</v>
      </c>
      <c r="G41">
        <v>8.17</v>
      </c>
      <c r="H41" t="s">
        <v>142</v>
      </c>
      <c r="I41" t="s">
        <v>143</v>
      </c>
      <c r="J41" t="s">
        <v>20</v>
      </c>
      <c r="K41" t="s">
        <v>38</v>
      </c>
      <c r="L41">
        <f t="shared" si="0"/>
        <v>75</v>
      </c>
      <c r="M41">
        <f t="shared" si="1"/>
        <v>24.509999999999998</v>
      </c>
      <c r="N41">
        <f t="shared" si="2"/>
        <v>50.49</v>
      </c>
      <c r="O41" cm="1">
        <f t="array" ref="O41">_xlfn.LET(_xlpm.cat, Greenleaf[[#This Row],[Product Category]], _xlpm.prices, _xlfn._xlws.FILTER(Greenleaf[Unit Price], (Greenleaf[Product Category]=_xlpm.cat)*(Greenleaf[Unit Price]&lt;&gt;"")), IFERROR(MEDIAN(_xlpm.prices), ""))</f>
        <v>25</v>
      </c>
      <c r="P41">
        <f>IF(Greenleaf[[#This Row],[Shipment Status]]="Returned",1,0)</f>
        <v>0</v>
      </c>
      <c r="Q41">
        <f>IF(Greenleaf[[#This Row],[Shipment Status]]="Delivered",1,0)</f>
        <v>0</v>
      </c>
    </row>
    <row r="42" spans="1:17" x14ac:dyDescent="0.45">
      <c r="A42" t="s">
        <v>144</v>
      </c>
      <c r="B42">
        <v>45303</v>
      </c>
      <c r="C42" t="s">
        <v>23</v>
      </c>
      <c r="D42" t="s">
        <v>24</v>
      </c>
      <c r="E42">
        <v>6</v>
      </c>
      <c r="F42">
        <v>25</v>
      </c>
      <c r="G42">
        <v>6.37</v>
      </c>
      <c r="H42" t="s">
        <v>145</v>
      </c>
      <c r="I42" t="s">
        <v>146</v>
      </c>
      <c r="J42" t="s">
        <v>27</v>
      </c>
      <c r="K42" t="s">
        <v>56</v>
      </c>
      <c r="L42">
        <f t="shared" si="0"/>
        <v>150</v>
      </c>
      <c r="M42">
        <f t="shared" si="1"/>
        <v>38.22</v>
      </c>
      <c r="N42">
        <f t="shared" si="2"/>
        <v>111.78</v>
      </c>
      <c r="O42" cm="1">
        <f t="array" ref="O42">_xlfn.LET(_xlpm.cat, Greenleaf[[#This Row],[Product Category]], _xlpm.prices, _xlfn._xlws.FILTER(Greenleaf[Unit Price], (Greenleaf[Product Category]=_xlpm.cat)*(Greenleaf[Unit Price]&lt;&gt;"")), IFERROR(MEDIAN(_xlpm.prices), ""))</f>
        <v>25</v>
      </c>
      <c r="P42">
        <f>IF(Greenleaf[[#This Row],[Shipment Status]]="Returned",1,0)</f>
        <v>0</v>
      </c>
      <c r="Q42">
        <f>IF(Greenleaf[[#This Row],[Shipment Status]]="Delivered",1,0)</f>
        <v>1</v>
      </c>
    </row>
    <row r="43" spans="1:17" x14ac:dyDescent="0.45">
      <c r="A43" t="s">
        <v>147</v>
      </c>
      <c r="B43">
        <v>45304</v>
      </c>
      <c r="C43" t="s">
        <v>23</v>
      </c>
      <c r="D43" t="s">
        <v>24</v>
      </c>
      <c r="E43">
        <v>7</v>
      </c>
      <c r="F43">
        <v>25</v>
      </c>
      <c r="G43">
        <v>6.03</v>
      </c>
      <c r="H43" t="s">
        <v>148</v>
      </c>
      <c r="I43" t="s">
        <v>52</v>
      </c>
      <c r="J43" t="s">
        <v>27</v>
      </c>
      <c r="K43" t="s">
        <v>70</v>
      </c>
      <c r="L43">
        <f t="shared" si="0"/>
        <v>175</v>
      </c>
      <c r="M43">
        <f t="shared" si="1"/>
        <v>42.21</v>
      </c>
      <c r="N43">
        <f t="shared" si="2"/>
        <v>132.79</v>
      </c>
      <c r="O43" cm="1">
        <f t="array" ref="O43">_xlfn.LET(_xlpm.cat, Greenleaf[[#This Row],[Product Category]], _xlpm.prices, _xlfn._xlws.FILTER(Greenleaf[Unit Price], (Greenleaf[Product Category]=_xlpm.cat)*(Greenleaf[Unit Price]&lt;&gt;"")), IFERROR(MEDIAN(_xlpm.prices), ""))</f>
        <v>25</v>
      </c>
      <c r="P43">
        <f>IF(Greenleaf[[#This Row],[Shipment Status]]="Returned",1,0)</f>
        <v>0</v>
      </c>
      <c r="Q43">
        <f>IF(Greenleaf[[#This Row],[Shipment Status]]="Delivered",1,0)</f>
        <v>1</v>
      </c>
    </row>
    <row r="44" spans="1:17" x14ac:dyDescent="0.45">
      <c r="A44" t="s">
        <v>149</v>
      </c>
      <c r="B44">
        <v>45304</v>
      </c>
      <c r="C44" t="s">
        <v>30</v>
      </c>
      <c r="D44" t="s">
        <v>31</v>
      </c>
      <c r="E44">
        <v>7</v>
      </c>
      <c r="F44">
        <v>40</v>
      </c>
      <c r="G44">
        <v>11.98</v>
      </c>
      <c r="H44" t="s">
        <v>150</v>
      </c>
      <c r="I44" t="s">
        <v>151</v>
      </c>
      <c r="J44" t="s">
        <v>20</v>
      </c>
      <c r="K44" t="s">
        <v>56</v>
      </c>
      <c r="L44">
        <f t="shared" si="0"/>
        <v>280</v>
      </c>
      <c r="M44">
        <f t="shared" si="1"/>
        <v>83.86</v>
      </c>
      <c r="N44">
        <f t="shared" si="2"/>
        <v>196.14</v>
      </c>
      <c r="O44" cm="1">
        <f t="array" ref="O44">_xlfn.LET(_xlpm.cat, Greenleaf[[#This Row],[Product Category]], _xlpm.prices, _xlfn._xlws.FILTER(Greenleaf[Unit Price], (Greenleaf[Product Category]=_xlpm.cat)*(Greenleaf[Unit Price]&lt;&gt;"")), IFERROR(MEDIAN(_xlpm.prices), ""))</f>
        <v>40</v>
      </c>
      <c r="P44">
        <f>IF(Greenleaf[[#This Row],[Shipment Status]]="Returned",1,0)</f>
        <v>0</v>
      </c>
      <c r="Q44">
        <f>IF(Greenleaf[[#This Row],[Shipment Status]]="Delivered",1,0)</f>
        <v>0</v>
      </c>
    </row>
    <row r="45" spans="1:17" x14ac:dyDescent="0.45">
      <c r="A45" t="s">
        <v>152</v>
      </c>
      <c r="B45">
        <v>45304</v>
      </c>
      <c r="C45" t="s">
        <v>16</v>
      </c>
      <c r="D45" t="s">
        <v>17</v>
      </c>
      <c r="E45">
        <v>2</v>
      </c>
      <c r="F45">
        <v>10</v>
      </c>
      <c r="G45">
        <v>2.46</v>
      </c>
      <c r="H45" t="s">
        <v>153</v>
      </c>
      <c r="I45" t="s">
        <v>154</v>
      </c>
      <c r="J45" t="s">
        <v>27</v>
      </c>
      <c r="K45" t="s">
        <v>74</v>
      </c>
      <c r="L45">
        <f t="shared" si="0"/>
        <v>20</v>
      </c>
      <c r="M45">
        <f t="shared" si="1"/>
        <v>4.92</v>
      </c>
      <c r="N45">
        <f t="shared" si="2"/>
        <v>15.08</v>
      </c>
      <c r="O45" cm="1">
        <f t="array" ref="O45">_xlfn.LET(_xlpm.cat, Greenleaf[[#This Row],[Product Category]], _xlpm.prices, _xlfn._xlws.FILTER(Greenleaf[Unit Price], (Greenleaf[Product Category]=_xlpm.cat)*(Greenleaf[Unit Price]&lt;&gt;"")), IFERROR(MEDIAN(_xlpm.prices), ""))</f>
        <v>10</v>
      </c>
      <c r="P45">
        <f>IF(Greenleaf[[#This Row],[Shipment Status]]="Returned",1,0)</f>
        <v>0</v>
      </c>
      <c r="Q45">
        <f>IF(Greenleaf[[#This Row],[Shipment Status]]="Delivered",1,0)</f>
        <v>1</v>
      </c>
    </row>
    <row r="46" spans="1:17" x14ac:dyDescent="0.45">
      <c r="A46" t="s">
        <v>155</v>
      </c>
      <c r="B46">
        <v>45304</v>
      </c>
      <c r="C46" t="s">
        <v>66</v>
      </c>
      <c r="D46" t="s">
        <v>67</v>
      </c>
      <c r="E46">
        <v>5</v>
      </c>
      <c r="F46">
        <v>12</v>
      </c>
      <c r="G46">
        <v>4.2</v>
      </c>
      <c r="H46" t="s">
        <v>156</v>
      </c>
      <c r="I46" t="s">
        <v>55</v>
      </c>
      <c r="J46" t="s">
        <v>42</v>
      </c>
      <c r="K46" t="s">
        <v>74</v>
      </c>
      <c r="L46">
        <f t="shared" si="0"/>
        <v>60</v>
      </c>
      <c r="M46">
        <f t="shared" si="1"/>
        <v>21</v>
      </c>
      <c r="N46">
        <f t="shared" si="2"/>
        <v>39</v>
      </c>
      <c r="O46" cm="1">
        <f t="array" ref="O46">_xlfn.LET(_xlpm.cat, Greenleaf[[#This Row],[Product Category]], _xlpm.prices, _xlfn._xlws.FILTER(Greenleaf[Unit Price], (Greenleaf[Product Category]=_xlpm.cat)*(Greenleaf[Unit Price]&lt;&gt;"")), IFERROR(MEDIAN(_xlpm.prices), ""))</f>
        <v>12</v>
      </c>
      <c r="P46">
        <f>IF(Greenleaf[[#This Row],[Shipment Status]]="Returned",1,0)</f>
        <v>1</v>
      </c>
      <c r="Q46">
        <f>IF(Greenleaf[[#This Row],[Shipment Status]]="Delivered",1,0)</f>
        <v>0</v>
      </c>
    </row>
    <row r="47" spans="1:17" x14ac:dyDescent="0.45">
      <c r="A47" t="s">
        <v>157</v>
      </c>
      <c r="B47">
        <v>45305</v>
      </c>
      <c r="C47" t="s">
        <v>23</v>
      </c>
      <c r="D47" t="s">
        <v>24</v>
      </c>
      <c r="E47">
        <v>5</v>
      </c>
      <c r="F47">
        <v>25</v>
      </c>
      <c r="G47">
        <v>6.32</v>
      </c>
      <c r="H47" t="s">
        <v>158</v>
      </c>
      <c r="I47" t="s">
        <v>37</v>
      </c>
      <c r="J47" t="s">
        <v>27</v>
      </c>
      <c r="K47" t="s">
        <v>56</v>
      </c>
      <c r="L47">
        <f t="shared" si="0"/>
        <v>125</v>
      </c>
      <c r="M47">
        <f t="shared" si="1"/>
        <v>31.6</v>
      </c>
      <c r="N47">
        <f t="shared" si="2"/>
        <v>93.4</v>
      </c>
      <c r="O47" cm="1">
        <f t="array" ref="O47">_xlfn.LET(_xlpm.cat, Greenleaf[[#This Row],[Product Category]], _xlpm.prices, _xlfn._xlws.FILTER(Greenleaf[Unit Price], (Greenleaf[Product Category]=_xlpm.cat)*(Greenleaf[Unit Price]&lt;&gt;"")), IFERROR(MEDIAN(_xlpm.prices), ""))</f>
        <v>25</v>
      </c>
      <c r="P47">
        <f>IF(Greenleaf[[#This Row],[Shipment Status]]="Returned",1,0)</f>
        <v>0</v>
      </c>
      <c r="Q47">
        <f>IF(Greenleaf[[#This Row],[Shipment Status]]="Delivered",1,0)</f>
        <v>1</v>
      </c>
    </row>
    <row r="48" spans="1:17" x14ac:dyDescent="0.45">
      <c r="A48" t="s">
        <v>159</v>
      </c>
      <c r="B48">
        <v>45305</v>
      </c>
      <c r="C48" t="s">
        <v>16</v>
      </c>
      <c r="D48" t="s">
        <v>17</v>
      </c>
      <c r="E48">
        <v>7</v>
      </c>
      <c r="F48">
        <v>10</v>
      </c>
      <c r="G48">
        <v>2.88</v>
      </c>
      <c r="H48" t="s">
        <v>160</v>
      </c>
      <c r="I48" t="s">
        <v>161</v>
      </c>
      <c r="J48" t="s">
        <v>20</v>
      </c>
      <c r="K48" t="s">
        <v>28</v>
      </c>
      <c r="L48">
        <f t="shared" si="0"/>
        <v>70</v>
      </c>
      <c r="M48">
        <f t="shared" si="1"/>
        <v>20.16</v>
      </c>
      <c r="N48">
        <f t="shared" si="2"/>
        <v>49.84</v>
      </c>
      <c r="O48" cm="1">
        <f t="array" ref="O48">_xlfn.LET(_xlpm.cat, Greenleaf[[#This Row],[Product Category]], _xlpm.prices, _xlfn._xlws.FILTER(Greenleaf[Unit Price], (Greenleaf[Product Category]=_xlpm.cat)*(Greenleaf[Unit Price]&lt;&gt;"")), IFERROR(MEDIAN(_xlpm.prices), ""))</f>
        <v>10</v>
      </c>
      <c r="P48">
        <f>IF(Greenleaf[[#This Row],[Shipment Status]]="Returned",1,0)</f>
        <v>0</v>
      </c>
      <c r="Q48">
        <f>IF(Greenleaf[[#This Row],[Shipment Status]]="Delivered",1,0)</f>
        <v>0</v>
      </c>
    </row>
    <row r="49" spans="1:17" x14ac:dyDescent="0.45">
      <c r="A49" t="s">
        <v>162</v>
      </c>
      <c r="B49">
        <v>45305</v>
      </c>
      <c r="C49" t="s">
        <v>16</v>
      </c>
      <c r="D49" t="s">
        <v>17</v>
      </c>
      <c r="E49">
        <v>3</v>
      </c>
      <c r="F49">
        <v>10</v>
      </c>
      <c r="G49">
        <v>3.54</v>
      </c>
      <c r="H49" t="s">
        <v>36</v>
      </c>
      <c r="I49" t="s">
        <v>37</v>
      </c>
      <c r="J49" t="s">
        <v>20</v>
      </c>
      <c r="K49" t="s">
        <v>38</v>
      </c>
      <c r="L49">
        <f t="shared" si="0"/>
        <v>30</v>
      </c>
      <c r="M49">
        <f t="shared" si="1"/>
        <v>10.620000000000001</v>
      </c>
      <c r="N49">
        <f t="shared" si="2"/>
        <v>19.38</v>
      </c>
      <c r="O49" cm="1">
        <f t="array" ref="O49">_xlfn.LET(_xlpm.cat, Greenleaf[[#This Row],[Product Category]], _xlpm.prices, _xlfn._xlws.FILTER(Greenleaf[Unit Price], (Greenleaf[Product Category]=_xlpm.cat)*(Greenleaf[Unit Price]&lt;&gt;"")), IFERROR(MEDIAN(_xlpm.prices), ""))</f>
        <v>10</v>
      </c>
      <c r="P49">
        <f>IF(Greenleaf[[#This Row],[Shipment Status]]="Returned",1,0)</f>
        <v>0</v>
      </c>
      <c r="Q49">
        <f>IF(Greenleaf[[#This Row],[Shipment Status]]="Delivered",1,0)</f>
        <v>0</v>
      </c>
    </row>
    <row r="50" spans="1:17" x14ac:dyDescent="0.45">
      <c r="A50" t="s">
        <v>163</v>
      </c>
      <c r="B50">
        <v>45305</v>
      </c>
      <c r="C50" t="s">
        <v>30</v>
      </c>
      <c r="D50" t="s">
        <v>31</v>
      </c>
      <c r="E50">
        <v>1</v>
      </c>
      <c r="F50">
        <v>40</v>
      </c>
      <c r="G50">
        <v>15.48</v>
      </c>
      <c r="H50" t="s">
        <v>164</v>
      </c>
      <c r="I50" t="s">
        <v>100</v>
      </c>
      <c r="J50" t="s">
        <v>47</v>
      </c>
      <c r="K50" t="s">
        <v>28</v>
      </c>
      <c r="L50">
        <f t="shared" si="0"/>
        <v>40</v>
      </c>
      <c r="M50">
        <f t="shared" si="1"/>
        <v>15.48</v>
      </c>
      <c r="N50">
        <f t="shared" si="2"/>
        <v>24.52</v>
      </c>
      <c r="O50" cm="1">
        <f t="array" ref="O50">_xlfn.LET(_xlpm.cat, Greenleaf[[#This Row],[Product Category]], _xlpm.prices, _xlfn._xlws.FILTER(Greenleaf[Unit Price], (Greenleaf[Product Category]=_xlpm.cat)*(Greenleaf[Unit Price]&lt;&gt;"")), IFERROR(MEDIAN(_xlpm.prices), ""))</f>
        <v>40</v>
      </c>
      <c r="P50">
        <f>IF(Greenleaf[[#This Row],[Shipment Status]]="Returned",1,0)</f>
        <v>0</v>
      </c>
      <c r="Q50">
        <f>IF(Greenleaf[[#This Row],[Shipment Status]]="Delivered",1,0)</f>
        <v>0</v>
      </c>
    </row>
    <row r="51" spans="1:17" x14ac:dyDescent="0.45">
      <c r="A51" t="s">
        <v>165</v>
      </c>
      <c r="B51">
        <v>45305</v>
      </c>
      <c r="C51" t="s">
        <v>30</v>
      </c>
      <c r="D51" t="s">
        <v>31</v>
      </c>
      <c r="E51">
        <v>5</v>
      </c>
      <c r="F51">
        <v>40</v>
      </c>
      <c r="G51">
        <v>13.2</v>
      </c>
      <c r="H51" t="s">
        <v>166</v>
      </c>
      <c r="I51" t="s">
        <v>167</v>
      </c>
      <c r="J51" t="s">
        <v>27</v>
      </c>
      <c r="K51" t="s">
        <v>59</v>
      </c>
      <c r="L51">
        <f t="shared" si="0"/>
        <v>200</v>
      </c>
      <c r="M51">
        <f t="shared" si="1"/>
        <v>66</v>
      </c>
      <c r="N51">
        <f t="shared" si="2"/>
        <v>134</v>
      </c>
      <c r="O51" cm="1">
        <f t="array" ref="O51">_xlfn.LET(_xlpm.cat, Greenleaf[[#This Row],[Product Category]], _xlpm.prices, _xlfn._xlws.FILTER(Greenleaf[Unit Price], (Greenleaf[Product Category]=_xlpm.cat)*(Greenleaf[Unit Price]&lt;&gt;"")), IFERROR(MEDIAN(_xlpm.prices), ""))</f>
        <v>40</v>
      </c>
      <c r="P51">
        <f>IF(Greenleaf[[#This Row],[Shipment Status]]="Returned",1,0)</f>
        <v>0</v>
      </c>
      <c r="Q51">
        <f>IF(Greenleaf[[#This Row],[Shipment Status]]="Delivered",1,0)</f>
        <v>1</v>
      </c>
    </row>
    <row r="52" spans="1:17" x14ac:dyDescent="0.45">
      <c r="A52" t="s">
        <v>168</v>
      </c>
      <c r="B52">
        <v>45305</v>
      </c>
      <c r="C52" t="s">
        <v>23</v>
      </c>
      <c r="D52" t="s">
        <v>24</v>
      </c>
      <c r="E52">
        <v>4</v>
      </c>
      <c r="F52">
        <v>25</v>
      </c>
      <c r="G52">
        <v>7.94</v>
      </c>
      <c r="H52" t="s">
        <v>169</v>
      </c>
      <c r="I52" t="s">
        <v>146</v>
      </c>
      <c r="J52" t="s">
        <v>27</v>
      </c>
      <c r="K52" t="s">
        <v>21</v>
      </c>
      <c r="L52">
        <f t="shared" si="0"/>
        <v>100</v>
      </c>
      <c r="M52">
        <f t="shared" si="1"/>
        <v>31.76</v>
      </c>
      <c r="N52">
        <f t="shared" si="2"/>
        <v>68.239999999999995</v>
      </c>
      <c r="O52" cm="1">
        <f t="array" ref="O52">_xlfn.LET(_xlpm.cat, Greenleaf[[#This Row],[Product Category]], _xlpm.prices, _xlfn._xlws.FILTER(Greenleaf[Unit Price], (Greenleaf[Product Category]=_xlpm.cat)*(Greenleaf[Unit Price]&lt;&gt;"")), IFERROR(MEDIAN(_xlpm.prices), ""))</f>
        <v>25</v>
      </c>
      <c r="P52">
        <f>IF(Greenleaf[[#This Row],[Shipment Status]]="Returned",1,0)</f>
        <v>0</v>
      </c>
      <c r="Q52">
        <f>IF(Greenleaf[[#This Row],[Shipment Status]]="Delivered",1,0)</f>
        <v>1</v>
      </c>
    </row>
    <row r="53" spans="1:17" x14ac:dyDescent="0.45">
      <c r="A53" t="s">
        <v>170</v>
      </c>
      <c r="B53">
        <v>45305</v>
      </c>
      <c r="C53" t="s">
        <v>16</v>
      </c>
      <c r="D53" t="s">
        <v>17</v>
      </c>
      <c r="E53">
        <v>6</v>
      </c>
      <c r="F53">
        <v>10</v>
      </c>
      <c r="G53">
        <v>2.73</v>
      </c>
      <c r="H53" t="s">
        <v>171</v>
      </c>
      <c r="I53" t="s">
        <v>172</v>
      </c>
      <c r="J53" t="s">
        <v>27</v>
      </c>
      <c r="K53" t="s">
        <v>34</v>
      </c>
      <c r="L53">
        <f t="shared" si="0"/>
        <v>60</v>
      </c>
      <c r="M53">
        <f t="shared" si="1"/>
        <v>16.38</v>
      </c>
      <c r="N53">
        <f t="shared" si="2"/>
        <v>43.620000000000005</v>
      </c>
      <c r="O53" cm="1">
        <f t="array" ref="O53">_xlfn.LET(_xlpm.cat, Greenleaf[[#This Row],[Product Category]], _xlpm.prices, _xlfn._xlws.FILTER(Greenleaf[Unit Price], (Greenleaf[Product Category]=_xlpm.cat)*(Greenleaf[Unit Price]&lt;&gt;"")), IFERROR(MEDIAN(_xlpm.prices), ""))</f>
        <v>10</v>
      </c>
      <c r="P53">
        <f>IF(Greenleaf[[#This Row],[Shipment Status]]="Returned",1,0)</f>
        <v>0</v>
      </c>
      <c r="Q53">
        <f>IF(Greenleaf[[#This Row],[Shipment Status]]="Delivered",1,0)</f>
        <v>1</v>
      </c>
    </row>
    <row r="54" spans="1:17" x14ac:dyDescent="0.45">
      <c r="A54" t="s">
        <v>173</v>
      </c>
      <c r="B54">
        <v>45305</v>
      </c>
      <c r="C54" t="s">
        <v>30</v>
      </c>
      <c r="D54" t="s">
        <v>31</v>
      </c>
      <c r="E54">
        <v>2</v>
      </c>
      <c r="F54">
        <v>40</v>
      </c>
      <c r="G54">
        <v>13.63</v>
      </c>
      <c r="H54" t="s">
        <v>174</v>
      </c>
      <c r="I54" t="s">
        <v>112</v>
      </c>
      <c r="J54" t="s">
        <v>20</v>
      </c>
      <c r="K54" t="s">
        <v>21</v>
      </c>
      <c r="L54">
        <f t="shared" si="0"/>
        <v>80</v>
      </c>
      <c r="M54">
        <f t="shared" si="1"/>
        <v>27.26</v>
      </c>
      <c r="N54">
        <f t="shared" si="2"/>
        <v>52.739999999999995</v>
      </c>
      <c r="O54" cm="1">
        <f t="array" ref="O54">_xlfn.LET(_xlpm.cat, Greenleaf[[#This Row],[Product Category]], _xlpm.prices, _xlfn._xlws.FILTER(Greenleaf[Unit Price], (Greenleaf[Product Category]=_xlpm.cat)*(Greenleaf[Unit Price]&lt;&gt;"")), IFERROR(MEDIAN(_xlpm.prices), ""))</f>
        <v>40</v>
      </c>
      <c r="P54">
        <f>IF(Greenleaf[[#This Row],[Shipment Status]]="Returned",1,0)</f>
        <v>0</v>
      </c>
      <c r="Q54">
        <f>IF(Greenleaf[[#This Row],[Shipment Status]]="Delivered",1,0)</f>
        <v>0</v>
      </c>
    </row>
    <row r="55" spans="1:17" x14ac:dyDescent="0.45">
      <c r="A55" t="s">
        <v>175</v>
      </c>
      <c r="B55">
        <v>45305</v>
      </c>
      <c r="C55" t="s">
        <v>30</v>
      </c>
      <c r="D55" t="s">
        <v>31</v>
      </c>
      <c r="E55">
        <v>1</v>
      </c>
      <c r="F55">
        <v>40</v>
      </c>
      <c r="G55">
        <v>11.98</v>
      </c>
      <c r="H55" t="s">
        <v>176</v>
      </c>
      <c r="I55" t="s">
        <v>177</v>
      </c>
      <c r="J55" t="s">
        <v>27</v>
      </c>
      <c r="K55" t="s">
        <v>43</v>
      </c>
      <c r="L55">
        <f t="shared" si="0"/>
        <v>40</v>
      </c>
      <c r="M55">
        <f t="shared" si="1"/>
        <v>11.98</v>
      </c>
      <c r="N55">
        <f t="shared" si="2"/>
        <v>28.02</v>
      </c>
      <c r="O55" cm="1">
        <f t="array" ref="O55">_xlfn.LET(_xlpm.cat, Greenleaf[[#This Row],[Product Category]], _xlpm.prices, _xlfn._xlws.FILTER(Greenleaf[Unit Price], (Greenleaf[Product Category]=_xlpm.cat)*(Greenleaf[Unit Price]&lt;&gt;"")), IFERROR(MEDIAN(_xlpm.prices), ""))</f>
        <v>40</v>
      </c>
      <c r="P55">
        <f>IF(Greenleaf[[#This Row],[Shipment Status]]="Returned",1,0)</f>
        <v>0</v>
      </c>
      <c r="Q55">
        <f>IF(Greenleaf[[#This Row],[Shipment Status]]="Delivered",1,0)</f>
        <v>1</v>
      </c>
    </row>
    <row r="56" spans="1:17" x14ac:dyDescent="0.45">
      <c r="A56" t="s">
        <v>178</v>
      </c>
      <c r="B56">
        <v>45306</v>
      </c>
      <c r="C56" t="s">
        <v>23</v>
      </c>
      <c r="D56" t="s">
        <v>24</v>
      </c>
      <c r="E56">
        <v>5</v>
      </c>
      <c r="F56">
        <v>25</v>
      </c>
      <c r="G56">
        <v>6.78</v>
      </c>
      <c r="H56" t="s">
        <v>179</v>
      </c>
      <c r="I56" t="s">
        <v>180</v>
      </c>
      <c r="J56" t="s">
        <v>42</v>
      </c>
      <c r="K56" t="s">
        <v>21</v>
      </c>
      <c r="L56">
        <f t="shared" si="0"/>
        <v>125</v>
      </c>
      <c r="M56">
        <f t="shared" si="1"/>
        <v>33.9</v>
      </c>
      <c r="N56">
        <f t="shared" si="2"/>
        <v>91.1</v>
      </c>
      <c r="O56" cm="1">
        <f t="array" ref="O56">_xlfn.LET(_xlpm.cat, Greenleaf[[#This Row],[Product Category]], _xlpm.prices, _xlfn._xlws.FILTER(Greenleaf[Unit Price], (Greenleaf[Product Category]=_xlpm.cat)*(Greenleaf[Unit Price]&lt;&gt;"")), IFERROR(MEDIAN(_xlpm.prices), ""))</f>
        <v>25</v>
      </c>
      <c r="P56">
        <f>IF(Greenleaf[[#This Row],[Shipment Status]]="Returned",1,0)</f>
        <v>1</v>
      </c>
      <c r="Q56">
        <f>IF(Greenleaf[[#This Row],[Shipment Status]]="Delivered",1,0)</f>
        <v>0</v>
      </c>
    </row>
    <row r="57" spans="1:17" x14ac:dyDescent="0.45">
      <c r="A57" t="s">
        <v>181</v>
      </c>
      <c r="B57">
        <v>45307</v>
      </c>
      <c r="C57" t="s">
        <v>49</v>
      </c>
      <c r="D57" t="s">
        <v>50</v>
      </c>
      <c r="E57">
        <v>5</v>
      </c>
      <c r="F57">
        <v>15</v>
      </c>
      <c r="G57">
        <v>5.35</v>
      </c>
      <c r="H57" t="s">
        <v>182</v>
      </c>
      <c r="I57" t="s">
        <v>183</v>
      </c>
      <c r="J57" t="s">
        <v>27</v>
      </c>
      <c r="K57" t="s">
        <v>59</v>
      </c>
      <c r="L57">
        <f t="shared" si="0"/>
        <v>75</v>
      </c>
      <c r="M57">
        <f t="shared" si="1"/>
        <v>26.75</v>
      </c>
      <c r="N57">
        <f t="shared" si="2"/>
        <v>48.25</v>
      </c>
      <c r="O57" cm="1">
        <f t="array" ref="O57">_xlfn.LET(_xlpm.cat, Greenleaf[[#This Row],[Product Category]], _xlpm.prices, _xlfn._xlws.FILTER(Greenleaf[Unit Price], (Greenleaf[Product Category]=_xlpm.cat)*(Greenleaf[Unit Price]&lt;&gt;"")), IFERROR(MEDIAN(_xlpm.prices), ""))</f>
        <v>15</v>
      </c>
      <c r="P57">
        <f>IF(Greenleaf[[#This Row],[Shipment Status]]="Returned",1,0)</f>
        <v>0</v>
      </c>
      <c r="Q57">
        <f>IF(Greenleaf[[#This Row],[Shipment Status]]="Delivered",1,0)</f>
        <v>1</v>
      </c>
    </row>
    <row r="58" spans="1:17" x14ac:dyDescent="0.45">
      <c r="A58" t="s">
        <v>184</v>
      </c>
      <c r="B58">
        <v>45308</v>
      </c>
      <c r="C58" t="s">
        <v>16</v>
      </c>
      <c r="D58" t="s">
        <v>17</v>
      </c>
      <c r="E58">
        <v>1</v>
      </c>
      <c r="F58">
        <v>10</v>
      </c>
      <c r="G58">
        <v>3.11</v>
      </c>
      <c r="H58" t="s">
        <v>185</v>
      </c>
      <c r="I58" t="s">
        <v>186</v>
      </c>
      <c r="J58" t="s">
        <v>20</v>
      </c>
      <c r="K58" t="s">
        <v>59</v>
      </c>
      <c r="L58">
        <f t="shared" si="0"/>
        <v>10</v>
      </c>
      <c r="M58">
        <f t="shared" si="1"/>
        <v>3.11</v>
      </c>
      <c r="N58">
        <f t="shared" si="2"/>
        <v>6.8900000000000006</v>
      </c>
      <c r="O58" cm="1">
        <f t="array" ref="O58">_xlfn.LET(_xlpm.cat, Greenleaf[[#This Row],[Product Category]], _xlpm.prices, _xlfn._xlws.FILTER(Greenleaf[Unit Price], (Greenleaf[Product Category]=_xlpm.cat)*(Greenleaf[Unit Price]&lt;&gt;"")), IFERROR(MEDIAN(_xlpm.prices), ""))</f>
        <v>10</v>
      </c>
      <c r="P58">
        <f>IF(Greenleaf[[#This Row],[Shipment Status]]="Returned",1,0)</f>
        <v>0</v>
      </c>
      <c r="Q58">
        <f>IF(Greenleaf[[#This Row],[Shipment Status]]="Delivered",1,0)</f>
        <v>0</v>
      </c>
    </row>
    <row r="59" spans="1:17" x14ac:dyDescent="0.45">
      <c r="A59" t="s">
        <v>187</v>
      </c>
      <c r="B59">
        <v>45308</v>
      </c>
      <c r="C59" t="s">
        <v>30</v>
      </c>
      <c r="D59" t="s">
        <v>31</v>
      </c>
      <c r="E59">
        <v>7</v>
      </c>
      <c r="F59">
        <v>40</v>
      </c>
      <c r="G59">
        <v>9.3800000000000008</v>
      </c>
      <c r="H59" t="s">
        <v>188</v>
      </c>
      <c r="I59" t="s">
        <v>189</v>
      </c>
      <c r="J59" t="s">
        <v>20</v>
      </c>
      <c r="K59" t="s">
        <v>70</v>
      </c>
      <c r="L59">
        <f t="shared" si="0"/>
        <v>280</v>
      </c>
      <c r="M59">
        <f t="shared" si="1"/>
        <v>65.660000000000011</v>
      </c>
      <c r="N59">
        <f t="shared" si="2"/>
        <v>214.33999999999997</v>
      </c>
      <c r="O59" cm="1">
        <f t="array" ref="O59">_xlfn.LET(_xlpm.cat, Greenleaf[[#This Row],[Product Category]], _xlpm.prices, _xlfn._xlws.FILTER(Greenleaf[Unit Price], (Greenleaf[Product Category]=_xlpm.cat)*(Greenleaf[Unit Price]&lt;&gt;"")), IFERROR(MEDIAN(_xlpm.prices), ""))</f>
        <v>40</v>
      </c>
      <c r="P59">
        <f>IF(Greenleaf[[#This Row],[Shipment Status]]="Returned",1,0)</f>
        <v>0</v>
      </c>
      <c r="Q59">
        <f>IF(Greenleaf[[#This Row],[Shipment Status]]="Delivered",1,0)</f>
        <v>0</v>
      </c>
    </row>
    <row r="60" spans="1:17" x14ac:dyDescent="0.45">
      <c r="A60" t="s">
        <v>190</v>
      </c>
      <c r="B60">
        <v>45309</v>
      </c>
      <c r="C60" t="s">
        <v>16</v>
      </c>
      <c r="D60" t="s">
        <v>17</v>
      </c>
      <c r="E60">
        <v>1</v>
      </c>
      <c r="F60">
        <v>10</v>
      </c>
      <c r="G60">
        <v>3.75</v>
      </c>
      <c r="H60" t="s">
        <v>191</v>
      </c>
      <c r="I60" t="s">
        <v>192</v>
      </c>
      <c r="J60" t="s">
        <v>42</v>
      </c>
      <c r="K60" t="s">
        <v>21</v>
      </c>
      <c r="L60">
        <f t="shared" si="0"/>
        <v>10</v>
      </c>
      <c r="M60">
        <f t="shared" si="1"/>
        <v>3.75</v>
      </c>
      <c r="N60">
        <f t="shared" si="2"/>
        <v>6.25</v>
      </c>
      <c r="O60" cm="1">
        <f t="array" ref="O60">_xlfn.LET(_xlpm.cat, Greenleaf[[#This Row],[Product Category]], _xlpm.prices, _xlfn._xlws.FILTER(Greenleaf[Unit Price], (Greenleaf[Product Category]=_xlpm.cat)*(Greenleaf[Unit Price]&lt;&gt;"")), IFERROR(MEDIAN(_xlpm.prices), ""))</f>
        <v>10</v>
      </c>
      <c r="P60">
        <f>IF(Greenleaf[[#This Row],[Shipment Status]]="Returned",1,0)</f>
        <v>1</v>
      </c>
      <c r="Q60">
        <f>IF(Greenleaf[[#This Row],[Shipment Status]]="Delivered",1,0)</f>
        <v>0</v>
      </c>
    </row>
    <row r="61" spans="1:17" x14ac:dyDescent="0.45">
      <c r="A61" t="s">
        <v>193</v>
      </c>
      <c r="B61">
        <v>45309</v>
      </c>
      <c r="C61" t="s">
        <v>23</v>
      </c>
      <c r="D61" t="s">
        <v>24</v>
      </c>
      <c r="E61">
        <v>6</v>
      </c>
      <c r="F61">
        <v>25</v>
      </c>
      <c r="G61">
        <v>7.18</v>
      </c>
      <c r="H61" t="s">
        <v>194</v>
      </c>
      <c r="I61" t="s">
        <v>195</v>
      </c>
      <c r="J61" t="s">
        <v>27</v>
      </c>
      <c r="K61" t="s">
        <v>59</v>
      </c>
      <c r="L61">
        <f t="shared" si="0"/>
        <v>150</v>
      </c>
      <c r="M61">
        <f t="shared" si="1"/>
        <v>43.08</v>
      </c>
      <c r="N61">
        <f t="shared" si="2"/>
        <v>106.92</v>
      </c>
      <c r="O61" cm="1">
        <f t="array" ref="O61">_xlfn.LET(_xlpm.cat, Greenleaf[[#This Row],[Product Category]], _xlpm.prices, _xlfn._xlws.FILTER(Greenleaf[Unit Price], (Greenleaf[Product Category]=_xlpm.cat)*(Greenleaf[Unit Price]&lt;&gt;"")), IFERROR(MEDIAN(_xlpm.prices), ""))</f>
        <v>25</v>
      </c>
      <c r="P61">
        <f>IF(Greenleaf[[#This Row],[Shipment Status]]="Returned",1,0)</f>
        <v>0</v>
      </c>
      <c r="Q61">
        <f>IF(Greenleaf[[#This Row],[Shipment Status]]="Delivered",1,0)</f>
        <v>1</v>
      </c>
    </row>
    <row r="62" spans="1:17" x14ac:dyDescent="0.45">
      <c r="A62" t="s">
        <v>196</v>
      </c>
      <c r="B62">
        <v>45309</v>
      </c>
      <c r="C62" t="s">
        <v>66</v>
      </c>
      <c r="D62" t="s">
        <v>67</v>
      </c>
      <c r="E62">
        <v>3</v>
      </c>
      <c r="F62">
        <v>12</v>
      </c>
      <c r="G62">
        <v>4.53</v>
      </c>
      <c r="H62" t="s">
        <v>197</v>
      </c>
      <c r="I62" t="s">
        <v>198</v>
      </c>
      <c r="J62" t="s">
        <v>27</v>
      </c>
      <c r="K62" t="s">
        <v>28</v>
      </c>
      <c r="L62">
        <f t="shared" si="0"/>
        <v>36</v>
      </c>
      <c r="M62">
        <f t="shared" si="1"/>
        <v>13.59</v>
      </c>
      <c r="N62">
        <f t="shared" si="2"/>
        <v>22.41</v>
      </c>
      <c r="O62" cm="1">
        <f t="array" ref="O62">_xlfn.LET(_xlpm.cat, Greenleaf[[#This Row],[Product Category]], _xlpm.prices, _xlfn._xlws.FILTER(Greenleaf[Unit Price], (Greenleaf[Product Category]=_xlpm.cat)*(Greenleaf[Unit Price]&lt;&gt;"")), IFERROR(MEDIAN(_xlpm.prices), ""))</f>
        <v>12</v>
      </c>
      <c r="P62">
        <f>IF(Greenleaf[[#This Row],[Shipment Status]]="Returned",1,0)</f>
        <v>0</v>
      </c>
      <c r="Q62">
        <f>IF(Greenleaf[[#This Row],[Shipment Status]]="Delivered",1,0)</f>
        <v>1</v>
      </c>
    </row>
    <row r="63" spans="1:17" x14ac:dyDescent="0.45">
      <c r="A63" t="s">
        <v>199</v>
      </c>
      <c r="B63">
        <v>45310</v>
      </c>
      <c r="C63" t="s">
        <v>16</v>
      </c>
      <c r="D63" t="s">
        <v>17</v>
      </c>
      <c r="E63">
        <v>2</v>
      </c>
      <c r="F63">
        <v>10</v>
      </c>
      <c r="G63">
        <v>3.53</v>
      </c>
      <c r="H63" t="s">
        <v>200</v>
      </c>
      <c r="I63" t="s">
        <v>201</v>
      </c>
      <c r="J63" t="s">
        <v>27</v>
      </c>
      <c r="K63" t="s">
        <v>134</v>
      </c>
      <c r="L63">
        <f t="shared" si="0"/>
        <v>20</v>
      </c>
      <c r="M63">
        <f t="shared" si="1"/>
        <v>7.06</v>
      </c>
      <c r="N63">
        <f t="shared" si="2"/>
        <v>12.940000000000001</v>
      </c>
      <c r="O63" cm="1">
        <f t="array" ref="O63">_xlfn.LET(_xlpm.cat, Greenleaf[[#This Row],[Product Category]], _xlpm.prices, _xlfn._xlws.FILTER(Greenleaf[Unit Price], (Greenleaf[Product Category]=_xlpm.cat)*(Greenleaf[Unit Price]&lt;&gt;"")), IFERROR(MEDIAN(_xlpm.prices), ""))</f>
        <v>10</v>
      </c>
      <c r="P63">
        <f>IF(Greenleaf[[#This Row],[Shipment Status]]="Returned",1,0)</f>
        <v>0</v>
      </c>
      <c r="Q63">
        <f>IF(Greenleaf[[#This Row],[Shipment Status]]="Delivered",1,0)</f>
        <v>1</v>
      </c>
    </row>
    <row r="64" spans="1:17" x14ac:dyDescent="0.45">
      <c r="A64" t="s">
        <v>202</v>
      </c>
      <c r="B64">
        <v>45310</v>
      </c>
      <c r="C64" t="s">
        <v>16</v>
      </c>
      <c r="D64" t="s">
        <v>17</v>
      </c>
      <c r="E64">
        <v>6</v>
      </c>
      <c r="F64">
        <v>10</v>
      </c>
      <c r="G64">
        <v>2.13</v>
      </c>
      <c r="H64" t="s">
        <v>203</v>
      </c>
      <c r="I64" t="s">
        <v>204</v>
      </c>
      <c r="J64" t="s">
        <v>27</v>
      </c>
      <c r="K64" t="s">
        <v>43</v>
      </c>
      <c r="L64">
        <f t="shared" si="0"/>
        <v>60</v>
      </c>
      <c r="M64">
        <f t="shared" si="1"/>
        <v>12.78</v>
      </c>
      <c r="N64">
        <f t="shared" si="2"/>
        <v>47.22</v>
      </c>
      <c r="O64" cm="1">
        <f t="array" ref="O64">_xlfn.LET(_xlpm.cat, Greenleaf[[#This Row],[Product Category]], _xlpm.prices, _xlfn._xlws.FILTER(Greenleaf[Unit Price], (Greenleaf[Product Category]=_xlpm.cat)*(Greenleaf[Unit Price]&lt;&gt;"")), IFERROR(MEDIAN(_xlpm.prices), ""))</f>
        <v>10</v>
      </c>
      <c r="P64">
        <f>IF(Greenleaf[[#This Row],[Shipment Status]]="Returned",1,0)</f>
        <v>0</v>
      </c>
      <c r="Q64">
        <f>IF(Greenleaf[[#This Row],[Shipment Status]]="Delivered",1,0)</f>
        <v>1</v>
      </c>
    </row>
    <row r="65" spans="1:17" x14ac:dyDescent="0.45">
      <c r="A65" t="s">
        <v>205</v>
      </c>
      <c r="B65">
        <v>45310</v>
      </c>
      <c r="C65" t="s">
        <v>49</v>
      </c>
      <c r="D65" t="s">
        <v>50</v>
      </c>
      <c r="E65">
        <v>3</v>
      </c>
      <c r="F65">
        <v>15</v>
      </c>
      <c r="G65">
        <v>3.45</v>
      </c>
      <c r="H65" t="s">
        <v>206</v>
      </c>
      <c r="I65" t="s">
        <v>207</v>
      </c>
      <c r="J65" t="s">
        <v>27</v>
      </c>
      <c r="K65" t="s">
        <v>134</v>
      </c>
      <c r="L65">
        <f t="shared" si="0"/>
        <v>45</v>
      </c>
      <c r="M65">
        <f t="shared" si="1"/>
        <v>10.350000000000001</v>
      </c>
      <c r="N65">
        <f t="shared" si="2"/>
        <v>34.65</v>
      </c>
      <c r="O65" cm="1">
        <f t="array" ref="O65">_xlfn.LET(_xlpm.cat, Greenleaf[[#This Row],[Product Category]], _xlpm.prices, _xlfn._xlws.FILTER(Greenleaf[Unit Price], (Greenleaf[Product Category]=_xlpm.cat)*(Greenleaf[Unit Price]&lt;&gt;"")), IFERROR(MEDIAN(_xlpm.prices), ""))</f>
        <v>15</v>
      </c>
      <c r="P65">
        <f>IF(Greenleaf[[#This Row],[Shipment Status]]="Returned",1,0)</f>
        <v>0</v>
      </c>
      <c r="Q65">
        <f>IF(Greenleaf[[#This Row],[Shipment Status]]="Delivered",1,0)</f>
        <v>1</v>
      </c>
    </row>
    <row r="66" spans="1:17" x14ac:dyDescent="0.45">
      <c r="A66" t="s">
        <v>208</v>
      </c>
      <c r="B66">
        <v>45311</v>
      </c>
      <c r="C66" t="s">
        <v>49</v>
      </c>
      <c r="D66" t="s">
        <v>50</v>
      </c>
      <c r="E66">
        <v>10</v>
      </c>
      <c r="F66">
        <v>15</v>
      </c>
      <c r="G66">
        <v>4.71</v>
      </c>
      <c r="H66" t="s">
        <v>209</v>
      </c>
      <c r="I66" t="s">
        <v>210</v>
      </c>
      <c r="J66" t="s">
        <v>27</v>
      </c>
      <c r="K66" t="s">
        <v>21</v>
      </c>
      <c r="L66">
        <f t="shared" ref="L66:L129" si="3">E66*F66</f>
        <v>150</v>
      </c>
      <c r="M66">
        <f t="shared" ref="M66:M129" si="4">E66*G66</f>
        <v>47.1</v>
      </c>
      <c r="N66">
        <f t="shared" ref="N66:N129" si="5">L66-M66</f>
        <v>102.9</v>
      </c>
      <c r="O66" cm="1">
        <f t="array" ref="O66">_xlfn.LET(_xlpm.cat, Greenleaf[[#This Row],[Product Category]], _xlpm.prices, _xlfn._xlws.FILTER(Greenleaf[Unit Price], (Greenleaf[Product Category]=_xlpm.cat)*(Greenleaf[Unit Price]&lt;&gt;"")), IFERROR(MEDIAN(_xlpm.prices), ""))</f>
        <v>15</v>
      </c>
      <c r="P66">
        <f>IF(Greenleaf[[#This Row],[Shipment Status]]="Returned",1,0)</f>
        <v>0</v>
      </c>
      <c r="Q66">
        <f>IF(Greenleaf[[#This Row],[Shipment Status]]="Delivered",1,0)</f>
        <v>1</v>
      </c>
    </row>
    <row r="67" spans="1:17" x14ac:dyDescent="0.45">
      <c r="A67" t="s">
        <v>211</v>
      </c>
      <c r="B67">
        <v>45311</v>
      </c>
      <c r="C67" t="s">
        <v>23</v>
      </c>
      <c r="D67" t="s">
        <v>24</v>
      </c>
      <c r="E67">
        <v>3</v>
      </c>
      <c r="F67">
        <v>25</v>
      </c>
      <c r="G67">
        <v>5.42</v>
      </c>
      <c r="H67" t="s">
        <v>99</v>
      </c>
      <c r="I67" t="s">
        <v>100</v>
      </c>
      <c r="J67" t="s">
        <v>27</v>
      </c>
      <c r="K67" t="s">
        <v>74</v>
      </c>
      <c r="L67">
        <f t="shared" si="3"/>
        <v>75</v>
      </c>
      <c r="M67">
        <f t="shared" si="4"/>
        <v>16.259999999999998</v>
      </c>
      <c r="N67">
        <f t="shared" si="5"/>
        <v>58.74</v>
      </c>
      <c r="O67" cm="1">
        <f t="array" ref="O67">_xlfn.LET(_xlpm.cat, Greenleaf[[#This Row],[Product Category]], _xlpm.prices, _xlfn._xlws.FILTER(Greenleaf[Unit Price], (Greenleaf[Product Category]=_xlpm.cat)*(Greenleaf[Unit Price]&lt;&gt;"")), IFERROR(MEDIAN(_xlpm.prices), ""))</f>
        <v>25</v>
      </c>
      <c r="P67">
        <f>IF(Greenleaf[[#This Row],[Shipment Status]]="Returned",1,0)</f>
        <v>0</v>
      </c>
      <c r="Q67">
        <f>IF(Greenleaf[[#This Row],[Shipment Status]]="Delivered",1,0)</f>
        <v>1</v>
      </c>
    </row>
    <row r="68" spans="1:17" x14ac:dyDescent="0.45">
      <c r="A68" t="s">
        <v>212</v>
      </c>
      <c r="B68">
        <v>45311</v>
      </c>
      <c r="C68" t="s">
        <v>49</v>
      </c>
      <c r="D68" t="s">
        <v>50</v>
      </c>
      <c r="E68">
        <v>6</v>
      </c>
      <c r="F68">
        <v>15</v>
      </c>
      <c r="G68">
        <v>4.32</v>
      </c>
      <c r="H68" t="s">
        <v>213</v>
      </c>
      <c r="I68" t="s">
        <v>214</v>
      </c>
      <c r="J68" t="s">
        <v>27</v>
      </c>
      <c r="K68" t="s">
        <v>21</v>
      </c>
      <c r="L68">
        <f t="shared" si="3"/>
        <v>90</v>
      </c>
      <c r="M68">
        <f t="shared" si="4"/>
        <v>25.92</v>
      </c>
      <c r="N68">
        <f t="shared" si="5"/>
        <v>64.08</v>
      </c>
      <c r="O68" cm="1">
        <f t="array" ref="O68">_xlfn.LET(_xlpm.cat, Greenleaf[[#This Row],[Product Category]], _xlpm.prices, _xlfn._xlws.FILTER(Greenleaf[Unit Price], (Greenleaf[Product Category]=_xlpm.cat)*(Greenleaf[Unit Price]&lt;&gt;"")), IFERROR(MEDIAN(_xlpm.prices), ""))</f>
        <v>15</v>
      </c>
      <c r="P68">
        <f>IF(Greenleaf[[#This Row],[Shipment Status]]="Returned",1,0)</f>
        <v>0</v>
      </c>
      <c r="Q68">
        <f>IF(Greenleaf[[#This Row],[Shipment Status]]="Delivered",1,0)</f>
        <v>1</v>
      </c>
    </row>
    <row r="69" spans="1:17" x14ac:dyDescent="0.45">
      <c r="A69" t="s">
        <v>215</v>
      </c>
      <c r="B69">
        <v>45312</v>
      </c>
      <c r="C69" t="s">
        <v>30</v>
      </c>
      <c r="D69" t="s">
        <v>31</v>
      </c>
      <c r="E69">
        <v>7</v>
      </c>
      <c r="F69">
        <v>40</v>
      </c>
      <c r="G69">
        <v>9.9700000000000006</v>
      </c>
      <c r="H69" t="s">
        <v>216</v>
      </c>
      <c r="I69" t="s">
        <v>217</v>
      </c>
      <c r="J69" t="s">
        <v>27</v>
      </c>
      <c r="K69" t="s">
        <v>70</v>
      </c>
      <c r="L69">
        <f t="shared" si="3"/>
        <v>280</v>
      </c>
      <c r="M69">
        <f t="shared" si="4"/>
        <v>69.790000000000006</v>
      </c>
      <c r="N69">
        <f t="shared" si="5"/>
        <v>210.20999999999998</v>
      </c>
      <c r="O69" cm="1">
        <f t="array" ref="O69">_xlfn.LET(_xlpm.cat, Greenleaf[[#This Row],[Product Category]], _xlpm.prices, _xlfn._xlws.FILTER(Greenleaf[Unit Price], (Greenleaf[Product Category]=_xlpm.cat)*(Greenleaf[Unit Price]&lt;&gt;"")), IFERROR(MEDIAN(_xlpm.prices), ""))</f>
        <v>40</v>
      </c>
      <c r="P69">
        <f>IF(Greenleaf[[#This Row],[Shipment Status]]="Returned",1,0)</f>
        <v>0</v>
      </c>
      <c r="Q69">
        <f>IF(Greenleaf[[#This Row],[Shipment Status]]="Delivered",1,0)</f>
        <v>1</v>
      </c>
    </row>
    <row r="70" spans="1:17" x14ac:dyDescent="0.45">
      <c r="A70" t="s">
        <v>218</v>
      </c>
      <c r="B70">
        <v>45312</v>
      </c>
      <c r="C70" t="s">
        <v>66</v>
      </c>
      <c r="D70" t="s">
        <v>67</v>
      </c>
      <c r="E70">
        <v>1</v>
      </c>
      <c r="F70">
        <v>12</v>
      </c>
      <c r="G70">
        <v>3.78</v>
      </c>
      <c r="H70" t="s">
        <v>194</v>
      </c>
      <c r="I70" t="s">
        <v>195</v>
      </c>
      <c r="J70" t="s">
        <v>27</v>
      </c>
      <c r="K70" t="s">
        <v>70</v>
      </c>
      <c r="L70">
        <f t="shared" si="3"/>
        <v>12</v>
      </c>
      <c r="M70">
        <f t="shared" si="4"/>
        <v>3.78</v>
      </c>
      <c r="N70">
        <f t="shared" si="5"/>
        <v>8.2200000000000006</v>
      </c>
      <c r="O70" cm="1">
        <f t="array" ref="O70">_xlfn.LET(_xlpm.cat, Greenleaf[[#This Row],[Product Category]], _xlpm.prices, _xlfn._xlws.FILTER(Greenleaf[Unit Price], (Greenleaf[Product Category]=_xlpm.cat)*(Greenleaf[Unit Price]&lt;&gt;"")), IFERROR(MEDIAN(_xlpm.prices), ""))</f>
        <v>12</v>
      </c>
      <c r="P70">
        <f>IF(Greenleaf[[#This Row],[Shipment Status]]="Returned",1,0)</f>
        <v>0</v>
      </c>
      <c r="Q70">
        <f>IF(Greenleaf[[#This Row],[Shipment Status]]="Delivered",1,0)</f>
        <v>1</v>
      </c>
    </row>
    <row r="71" spans="1:17" x14ac:dyDescent="0.45">
      <c r="A71" t="s">
        <v>219</v>
      </c>
      <c r="B71">
        <v>45313</v>
      </c>
      <c r="C71" t="s">
        <v>30</v>
      </c>
      <c r="D71" t="s">
        <v>31</v>
      </c>
      <c r="E71">
        <v>2</v>
      </c>
      <c r="F71">
        <v>40</v>
      </c>
      <c r="G71">
        <v>8.1999999999999993</v>
      </c>
      <c r="H71" t="s">
        <v>194</v>
      </c>
      <c r="I71" t="s">
        <v>195</v>
      </c>
      <c r="J71" t="s">
        <v>27</v>
      </c>
      <c r="K71" t="s">
        <v>70</v>
      </c>
      <c r="L71">
        <f t="shared" si="3"/>
        <v>80</v>
      </c>
      <c r="M71">
        <f t="shared" si="4"/>
        <v>16.399999999999999</v>
      </c>
      <c r="N71">
        <f t="shared" si="5"/>
        <v>63.6</v>
      </c>
      <c r="O71" cm="1">
        <f t="array" ref="O71">_xlfn.LET(_xlpm.cat, Greenleaf[[#This Row],[Product Category]], _xlpm.prices, _xlfn._xlws.FILTER(Greenleaf[Unit Price], (Greenleaf[Product Category]=_xlpm.cat)*(Greenleaf[Unit Price]&lt;&gt;"")), IFERROR(MEDIAN(_xlpm.prices), ""))</f>
        <v>40</v>
      </c>
      <c r="P71">
        <f>IF(Greenleaf[[#This Row],[Shipment Status]]="Returned",1,0)</f>
        <v>0</v>
      </c>
      <c r="Q71">
        <f>IF(Greenleaf[[#This Row],[Shipment Status]]="Delivered",1,0)</f>
        <v>1</v>
      </c>
    </row>
    <row r="72" spans="1:17" x14ac:dyDescent="0.45">
      <c r="A72" t="s">
        <v>220</v>
      </c>
      <c r="B72">
        <v>45313</v>
      </c>
      <c r="C72" t="s">
        <v>30</v>
      </c>
      <c r="D72" t="s">
        <v>31</v>
      </c>
      <c r="E72">
        <v>2</v>
      </c>
      <c r="F72">
        <v>40</v>
      </c>
      <c r="G72">
        <v>9.2100000000000009</v>
      </c>
      <c r="H72" t="s">
        <v>221</v>
      </c>
      <c r="I72" t="s">
        <v>222</v>
      </c>
      <c r="J72" t="s">
        <v>27</v>
      </c>
      <c r="K72" t="s">
        <v>70</v>
      </c>
      <c r="L72">
        <f t="shared" si="3"/>
        <v>80</v>
      </c>
      <c r="M72">
        <f t="shared" si="4"/>
        <v>18.420000000000002</v>
      </c>
      <c r="N72">
        <f t="shared" si="5"/>
        <v>61.58</v>
      </c>
      <c r="O72" cm="1">
        <f t="array" ref="O72">_xlfn.LET(_xlpm.cat, Greenleaf[[#This Row],[Product Category]], _xlpm.prices, _xlfn._xlws.FILTER(Greenleaf[Unit Price], (Greenleaf[Product Category]=_xlpm.cat)*(Greenleaf[Unit Price]&lt;&gt;"")), IFERROR(MEDIAN(_xlpm.prices), ""))</f>
        <v>40</v>
      </c>
      <c r="P72">
        <f>IF(Greenleaf[[#This Row],[Shipment Status]]="Returned",1,0)</f>
        <v>0</v>
      </c>
      <c r="Q72">
        <f>IF(Greenleaf[[#This Row],[Shipment Status]]="Delivered",1,0)</f>
        <v>1</v>
      </c>
    </row>
    <row r="73" spans="1:17" x14ac:dyDescent="0.45">
      <c r="A73" t="s">
        <v>223</v>
      </c>
      <c r="B73">
        <v>45313</v>
      </c>
      <c r="C73" t="s">
        <v>49</v>
      </c>
      <c r="D73" t="s">
        <v>50</v>
      </c>
      <c r="E73">
        <v>7</v>
      </c>
      <c r="F73">
        <v>15</v>
      </c>
      <c r="G73">
        <v>5.93</v>
      </c>
      <c r="H73" t="s">
        <v>224</v>
      </c>
      <c r="I73" t="s">
        <v>225</v>
      </c>
      <c r="J73" t="s">
        <v>27</v>
      </c>
      <c r="K73" t="s">
        <v>21</v>
      </c>
      <c r="L73">
        <f t="shared" si="3"/>
        <v>105</v>
      </c>
      <c r="M73">
        <f t="shared" si="4"/>
        <v>41.51</v>
      </c>
      <c r="N73">
        <f t="shared" si="5"/>
        <v>63.49</v>
      </c>
      <c r="O73" cm="1">
        <f t="array" ref="O73">_xlfn.LET(_xlpm.cat, Greenleaf[[#This Row],[Product Category]], _xlpm.prices, _xlfn._xlws.FILTER(Greenleaf[Unit Price], (Greenleaf[Product Category]=_xlpm.cat)*(Greenleaf[Unit Price]&lt;&gt;"")), IFERROR(MEDIAN(_xlpm.prices), ""))</f>
        <v>15</v>
      </c>
      <c r="P73">
        <f>IF(Greenleaf[[#This Row],[Shipment Status]]="Returned",1,0)</f>
        <v>0</v>
      </c>
      <c r="Q73">
        <f>IF(Greenleaf[[#This Row],[Shipment Status]]="Delivered",1,0)</f>
        <v>1</v>
      </c>
    </row>
    <row r="74" spans="1:17" x14ac:dyDescent="0.45">
      <c r="A74" t="s">
        <v>226</v>
      </c>
      <c r="B74">
        <v>45313</v>
      </c>
      <c r="C74" t="s">
        <v>49</v>
      </c>
      <c r="D74" t="s">
        <v>50</v>
      </c>
      <c r="E74">
        <v>7</v>
      </c>
      <c r="F74">
        <v>15</v>
      </c>
      <c r="G74">
        <v>4.4800000000000004</v>
      </c>
      <c r="H74" t="s">
        <v>176</v>
      </c>
      <c r="I74" t="s">
        <v>177</v>
      </c>
      <c r="J74" t="s">
        <v>27</v>
      </c>
      <c r="K74" t="s">
        <v>59</v>
      </c>
      <c r="L74">
        <f t="shared" si="3"/>
        <v>105</v>
      </c>
      <c r="M74">
        <f t="shared" si="4"/>
        <v>31.360000000000003</v>
      </c>
      <c r="N74">
        <f t="shared" si="5"/>
        <v>73.64</v>
      </c>
      <c r="O74" cm="1">
        <f t="array" ref="O74">_xlfn.LET(_xlpm.cat, Greenleaf[[#This Row],[Product Category]], _xlpm.prices, _xlfn._xlws.FILTER(Greenleaf[Unit Price], (Greenleaf[Product Category]=_xlpm.cat)*(Greenleaf[Unit Price]&lt;&gt;"")), IFERROR(MEDIAN(_xlpm.prices), ""))</f>
        <v>15</v>
      </c>
      <c r="P74">
        <f>IF(Greenleaf[[#This Row],[Shipment Status]]="Returned",1,0)</f>
        <v>0</v>
      </c>
      <c r="Q74">
        <f>IF(Greenleaf[[#This Row],[Shipment Status]]="Delivered",1,0)</f>
        <v>1</v>
      </c>
    </row>
    <row r="75" spans="1:17" x14ac:dyDescent="0.45">
      <c r="A75" t="s">
        <v>227</v>
      </c>
      <c r="B75">
        <v>45313</v>
      </c>
      <c r="C75" t="s">
        <v>16</v>
      </c>
      <c r="D75" t="s">
        <v>17</v>
      </c>
      <c r="E75">
        <v>1</v>
      </c>
      <c r="F75">
        <v>10</v>
      </c>
      <c r="G75">
        <v>3.95</v>
      </c>
      <c r="H75" t="s">
        <v>228</v>
      </c>
      <c r="I75" t="s">
        <v>37</v>
      </c>
      <c r="J75" t="s">
        <v>27</v>
      </c>
      <c r="K75" t="s">
        <v>43</v>
      </c>
      <c r="L75">
        <f t="shared" si="3"/>
        <v>10</v>
      </c>
      <c r="M75">
        <f t="shared" si="4"/>
        <v>3.95</v>
      </c>
      <c r="N75">
        <f t="shared" si="5"/>
        <v>6.05</v>
      </c>
      <c r="O75" cm="1">
        <f t="array" ref="O75">_xlfn.LET(_xlpm.cat, Greenleaf[[#This Row],[Product Category]], _xlpm.prices, _xlfn._xlws.FILTER(Greenleaf[Unit Price], (Greenleaf[Product Category]=_xlpm.cat)*(Greenleaf[Unit Price]&lt;&gt;"")), IFERROR(MEDIAN(_xlpm.prices), ""))</f>
        <v>10</v>
      </c>
      <c r="P75">
        <f>IF(Greenleaf[[#This Row],[Shipment Status]]="Returned",1,0)</f>
        <v>0</v>
      </c>
      <c r="Q75">
        <f>IF(Greenleaf[[#This Row],[Shipment Status]]="Delivered",1,0)</f>
        <v>1</v>
      </c>
    </row>
    <row r="76" spans="1:17" x14ac:dyDescent="0.45">
      <c r="A76" t="s">
        <v>229</v>
      </c>
      <c r="B76">
        <v>45313</v>
      </c>
      <c r="C76" t="s">
        <v>66</v>
      </c>
      <c r="D76" t="s">
        <v>67</v>
      </c>
      <c r="E76">
        <v>1</v>
      </c>
      <c r="F76">
        <v>12</v>
      </c>
      <c r="G76">
        <v>4.5999999999999996</v>
      </c>
      <c r="H76" t="s">
        <v>230</v>
      </c>
      <c r="I76" t="s">
        <v>225</v>
      </c>
      <c r="J76" t="s">
        <v>27</v>
      </c>
      <c r="K76" t="s">
        <v>70</v>
      </c>
      <c r="L76">
        <f t="shared" si="3"/>
        <v>12</v>
      </c>
      <c r="M76">
        <f t="shared" si="4"/>
        <v>4.5999999999999996</v>
      </c>
      <c r="N76">
        <f t="shared" si="5"/>
        <v>7.4</v>
      </c>
      <c r="O76" cm="1">
        <f t="array" ref="O76">_xlfn.LET(_xlpm.cat, Greenleaf[[#This Row],[Product Category]], _xlpm.prices, _xlfn._xlws.FILTER(Greenleaf[Unit Price], (Greenleaf[Product Category]=_xlpm.cat)*(Greenleaf[Unit Price]&lt;&gt;"")), IFERROR(MEDIAN(_xlpm.prices), ""))</f>
        <v>12</v>
      </c>
      <c r="P76">
        <f>IF(Greenleaf[[#This Row],[Shipment Status]]="Returned",1,0)</f>
        <v>0</v>
      </c>
      <c r="Q76">
        <f>IF(Greenleaf[[#This Row],[Shipment Status]]="Delivered",1,0)</f>
        <v>1</v>
      </c>
    </row>
    <row r="77" spans="1:17" x14ac:dyDescent="0.45">
      <c r="A77" t="s">
        <v>231</v>
      </c>
      <c r="B77">
        <v>45314</v>
      </c>
      <c r="C77" t="s">
        <v>23</v>
      </c>
      <c r="D77" t="s">
        <v>24</v>
      </c>
      <c r="E77">
        <v>4</v>
      </c>
      <c r="F77">
        <v>25</v>
      </c>
      <c r="G77">
        <v>8.75</v>
      </c>
      <c r="H77" t="s">
        <v>232</v>
      </c>
      <c r="I77" t="s">
        <v>93</v>
      </c>
      <c r="J77" t="s">
        <v>27</v>
      </c>
      <c r="K77" t="s">
        <v>56</v>
      </c>
      <c r="L77">
        <f t="shared" si="3"/>
        <v>100</v>
      </c>
      <c r="M77">
        <f t="shared" si="4"/>
        <v>35</v>
      </c>
      <c r="N77">
        <f t="shared" si="5"/>
        <v>65</v>
      </c>
      <c r="O77" cm="1">
        <f t="array" ref="O77">_xlfn.LET(_xlpm.cat, Greenleaf[[#This Row],[Product Category]], _xlpm.prices, _xlfn._xlws.FILTER(Greenleaf[Unit Price], (Greenleaf[Product Category]=_xlpm.cat)*(Greenleaf[Unit Price]&lt;&gt;"")), IFERROR(MEDIAN(_xlpm.prices), ""))</f>
        <v>25</v>
      </c>
      <c r="P77">
        <f>IF(Greenleaf[[#This Row],[Shipment Status]]="Returned",1,0)</f>
        <v>0</v>
      </c>
      <c r="Q77">
        <f>IF(Greenleaf[[#This Row],[Shipment Status]]="Delivered",1,0)</f>
        <v>1</v>
      </c>
    </row>
    <row r="78" spans="1:17" x14ac:dyDescent="0.45">
      <c r="A78" t="s">
        <v>233</v>
      </c>
      <c r="B78">
        <v>45315</v>
      </c>
      <c r="C78" t="s">
        <v>16</v>
      </c>
      <c r="D78" t="s">
        <v>17</v>
      </c>
      <c r="E78">
        <v>8</v>
      </c>
      <c r="F78">
        <v>10</v>
      </c>
      <c r="G78">
        <v>2.83</v>
      </c>
      <c r="H78" t="s">
        <v>96</v>
      </c>
      <c r="I78" t="s">
        <v>97</v>
      </c>
      <c r="J78" t="s">
        <v>47</v>
      </c>
      <c r="K78" t="s">
        <v>21</v>
      </c>
      <c r="L78">
        <f t="shared" si="3"/>
        <v>80</v>
      </c>
      <c r="M78">
        <f t="shared" si="4"/>
        <v>22.64</v>
      </c>
      <c r="N78">
        <f t="shared" si="5"/>
        <v>57.36</v>
      </c>
      <c r="O78" cm="1">
        <f t="array" ref="O78">_xlfn.LET(_xlpm.cat, Greenleaf[[#This Row],[Product Category]], _xlpm.prices, _xlfn._xlws.FILTER(Greenleaf[Unit Price], (Greenleaf[Product Category]=_xlpm.cat)*(Greenleaf[Unit Price]&lt;&gt;"")), IFERROR(MEDIAN(_xlpm.prices), ""))</f>
        <v>10</v>
      </c>
      <c r="P78">
        <f>IF(Greenleaf[[#This Row],[Shipment Status]]="Returned",1,0)</f>
        <v>0</v>
      </c>
      <c r="Q78">
        <f>IF(Greenleaf[[#This Row],[Shipment Status]]="Delivered",1,0)</f>
        <v>0</v>
      </c>
    </row>
    <row r="79" spans="1:17" x14ac:dyDescent="0.45">
      <c r="A79" t="s">
        <v>234</v>
      </c>
      <c r="B79">
        <v>45315</v>
      </c>
      <c r="C79" t="s">
        <v>23</v>
      </c>
      <c r="D79" t="s">
        <v>24</v>
      </c>
      <c r="E79">
        <v>8</v>
      </c>
      <c r="F79">
        <v>25</v>
      </c>
      <c r="G79">
        <v>5.86</v>
      </c>
      <c r="H79" t="s">
        <v>235</v>
      </c>
      <c r="I79" t="s">
        <v>236</v>
      </c>
      <c r="J79" t="s">
        <v>27</v>
      </c>
      <c r="K79" t="s">
        <v>43</v>
      </c>
      <c r="L79">
        <f t="shared" si="3"/>
        <v>200</v>
      </c>
      <c r="M79">
        <f t="shared" si="4"/>
        <v>46.88</v>
      </c>
      <c r="N79">
        <f t="shared" si="5"/>
        <v>153.12</v>
      </c>
      <c r="O79" cm="1">
        <f t="array" ref="O79">_xlfn.LET(_xlpm.cat, Greenleaf[[#This Row],[Product Category]], _xlpm.prices, _xlfn._xlws.FILTER(Greenleaf[Unit Price], (Greenleaf[Product Category]=_xlpm.cat)*(Greenleaf[Unit Price]&lt;&gt;"")), IFERROR(MEDIAN(_xlpm.prices), ""))</f>
        <v>25</v>
      </c>
      <c r="P79">
        <f>IF(Greenleaf[[#This Row],[Shipment Status]]="Returned",1,0)</f>
        <v>0</v>
      </c>
      <c r="Q79">
        <f>IF(Greenleaf[[#This Row],[Shipment Status]]="Delivered",1,0)</f>
        <v>1</v>
      </c>
    </row>
    <row r="80" spans="1:17" x14ac:dyDescent="0.45">
      <c r="A80" t="s">
        <v>237</v>
      </c>
      <c r="B80">
        <v>45315</v>
      </c>
      <c r="C80" t="s">
        <v>23</v>
      </c>
      <c r="D80" t="s">
        <v>24</v>
      </c>
      <c r="E80">
        <v>4</v>
      </c>
      <c r="F80">
        <v>25</v>
      </c>
      <c r="G80">
        <v>9.89</v>
      </c>
      <c r="H80" t="s">
        <v>238</v>
      </c>
      <c r="I80" t="s">
        <v>239</v>
      </c>
      <c r="J80" t="s">
        <v>27</v>
      </c>
      <c r="K80" t="s">
        <v>74</v>
      </c>
      <c r="L80">
        <f t="shared" si="3"/>
        <v>100</v>
      </c>
      <c r="M80">
        <f t="shared" si="4"/>
        <v>39.56</v>
      </c>
      <c r="N80">
        <f t="shared" si="5"/>
        <v>60.44</v>
      </c>
      <c r="O80" cm="1">
        <f t="array" ref="O80">_xlfn.LET(_xlpm.cat, Greenleaf[[#This Row],[Product Category]], _xlpm.prices, _xlfn._xlws.FILTER(Greenleaf[Unit Price], (Greenleaf[Product Category]=_xlpm.cat)*(Greenleaf[Unit Price]&lt;&gt;"")), IFERROR(MEDIAN(_xlpm.prices), ""))</f>
        <v>25</v>
      </c>
      <c r="P80">
        <f>IF(Greenleaf[[#This Row],[Shipment Status]]="Returned",1,0)</f>
        <v>0</v>
      </c>
      <c r="Q80">
        <f>IF(Greenleaf[[#This Row],[Shipment Status]]="Delivered",1,0)</f>
        <v>1</v>
      </c>
    </row>
    <row r="81" spans="1:17" x14ac:dyDescent="0.45">
      <c r="A81" t="s">
        <v>240</v>
      </c>
      <c r="B81">
        <v>45316</v>
      </c>
      <c r="C81" t="s">
        <v>30</v>
      </c>
      <c r="D81" t="s">
        <v>31</v>
      </c>
      <c r="E81">
        <v>5</v>
      </c>
      <c r="F81">
        <v>40</v>
      </c>
      <c r="G81">
        <v>10.28</v>
      </c>
      <c r="H81" t="s">
        <v>241</v>
      </c>
      <c r="I81" t="s">
        <v>242</v>
      </c>
      <c r="J81" t="s">
        <v>27</v>
      </c>
      <c r="K81" t="s">
        <v>56</v>
      </c>
      <c r="L81">
        <f t="shared" si="3"/>
        <v>200</v>
      </c>
      <c r="M81">
        <f t="shared" si="4"/>
        <v>51.4</v>
      </c>
      <c r="N81">
        <f t="shared" si="5"/>
        <v>148.6</v>
      </c>
      <c r="O81" cm="1">
        <f t="array" ref="O81">_xlfn.LET(_xlpm.cat, Greenleaf[[#This Row],[Product Category]], _xlpm.prices, _xlfn._xlws.FILTER(Greenleaf[Unit Price], (Greenleaf[Product Category]=_xlpm.cat)*(Greenleaf[Unit Price]&lt;&gt;"")), IFERROR(MEDIAN(_xlpm.prices), ""))</f>
        <v>40</v>
      </c>
      <c r="P81">
        <f>IF(Greenleaf[[#This Row],[Shipment Status]]="Returned",1,0)</f>
        <v>0</v>
      </c>
      <c r="Q81">
        <f>IF(Greenleaf[[#This Row],[Shipment Status]]="Delivered",1,0)</f>
        <v>1</v>
      </c>
    </row>
    <row r="82" spans="1:17" x14ac:dyDescent="0.45">
      <c r="A82" t="s">
        <v>243</v>
      </c>
      <c r="B82">
        <v>45317</v>
      </c>
      <c r="C82" t="s">
        <v>49</v>
      </c>
      <c r="D82" t="s">
        <v>50</v>
      </c>
      <c r="E82">
        <v>7</v>
      </c>
      <c r="F82">
        <v>15</v>
      </c>
      <c r="G82">
        <v>5.82</v>
      </c>
      <c r="H82" t="s">
        <v>206</v>
      </c>
      <c r="I82" t="s">
        <v>207</v>
      </c>
      <c r="J82" t="s">
        <v>42</v>
      </c>
      <c r="K82" t="s">
        <v>70</v>
      </c>
      <c r="L82">
        <f t="shared" si="3"/>
        <v>105</v>
      </c>
      <c r="M82">
        <f t="shared" si="4"/>
        <v>40.74</v>
      </c>
      <c r="N82">
        <f t="shared" si="5"/>
        <v>64.259999999999991</v>
      </c>
      <c r="O82" cm="1">
        <f t="array" ref="O82">_xlfn.LET(_xlpm.cat, Greenleaf[[#This Row],[Product Category]], _xlpm.prices, _xlfn._xlws.FILTER(Greenleaf[Unit Price], (Greenleaf[Product Category]=_xlpm.cat)*(Greenleaf[Unit Price]&lt;&gt;"")), IFERROR(MEDIAN(_xlpm.prices), ""))</f>
        <v>15</v>
      </c>
      <c r="P82">
        <f>IF(Greenleaf[[#This Row],[Shipment Status]]="Returned",1,0)</f>
        <v>1</v>
      </c>
      <c r="Q82">
        <f>IF(Greenleaf[[#This Row],[Shipment Status]]="Delivered",1,0)</f>
        <v>0</v>
      </c>
    </row>
    <row r="83" spans="1:17" x14ac:dyDescent="0.45">
      <c r="A83" t="s">
        <v>244</v>
      </c>
      <c r="B83">
        <v>45317</v>
      </c>
      <c r="C83" t="s">
        <v>16</v>
      </c>
      <c r="D83" t="s">
        <v>17</v>
      </c>
      <c r="E83">
        <v>9</v>
      </c>
      <c r="F83">
        <v>10</v>
      </c>
      <c r="G83">
        <v>3.04</v>
      </c>
      <c r="H83" t="s">
        <v>245</v>
      </c>
      <c r="I83" t="s">
        <v>100</v>
      </c>
      <c r="J83" t="s">
        <v>27</v>
      </c>
      <c r="K83" t="s">
        <v>134</v>
      </c>
      <c r="L83">
        <f t="shared" si="3"/>
        <v>90</v>
      </c>
      <c r="M83">
        <f t="shared" si="4"/>
        <v>27.36</v>
      </c>
      <c r="N83">
        <f t="shared" si="5"/>
        <v>62.64</v>
      </c>
      <c r="O83" cm="1">
        <f t="array" ref="O83">_xlfn.LET(_xlpm.cat, Greenleaf[[#This Row],[Product Category]], _xlpm.prices, _xlfn._xlws.FILTER(Greenleaf[Unit Price], (Greenleaf[Product Category]=_xlpm.cat)*(Greenleaf[Unit Price]&lt;&gt;"")), IFERROR(MEDIAN(_xlpm.prices), ""))</f>
        <v>10</v>
      </c>
      <c r="P83">
        <f>IF(Greenleaf[[#This Row],[Shipment Status]]="Returned",1,0)</f>
        <v>0</v>
      </c>
      <c r="Q83">
        <f>IF(Greenleaf[[#This Row],[Shipment Status]]="Delivered",1,0)</f>
        <v>1</v>
      </c>
    </row>
    <row r="84" spans="1:17" x14ac:dyDescent="0.45">
      <c r="A84" t="s">
        <v>246</v>
      </c>
      <c r="B84">
        <v>45317</v>
      </c>
      <c r="C84" t="s">
        <v>16</v>
      </c>
      <c r="D84" t="s">
        <v>17</v>
      </c>
      <c r="E84">
        <v>7</v>
      </c>
      <c r="F84">
        <v>10</v>
      </c>
      <c r="G84">
        <v>2.2400000000000002</v>
      </c>
      <c r="H84" t="s">
        <v>188</v>
      </c>
      <c r="I84" t="s">
        <v>189</v>
      </c>
      <c r="J84" t="s">
        <v>27</v>
      </c>
      <c r="K84" t="s">
        <v>134</v>
      </c>
      <c r="L84">
        <f t="shared" si="3"/>
        <v>70</v>
      </c>
      <c r="M84">
        <f t="shared" si="4"/>
        <v>15.680000000000001</v>
      </c>
      <c r="N84">
        <f t="shared" si="5"/>
        <v>54.32</v>
      </c>
      <c r="O84" cm="1">
        <f t="array" ref="O84">_xlfn.LET(_xlpm.cat, Greenleaf[[#This Row],[Product Category]], _xlpm.prices, _xlfn._xlws.FILTER(Greenleaf[Unit Price], (Greenleaf[Product Category]=_xlpm.cat)*(Greenleaf[Unit Price]&lt;&gt;"")), IFERROR(MEDIAN(_xlpm.prices), ""))</f>
        <v>10</v>
      </c>
      <c r="P84">
        <f>IF(Greenleaf[[#This Row],[Shipment Status]]="Returned",1,0)</f>
        <v>0</v>
      </c>
      <c r="Q84">
        <f>IF(Greenleaf[[#This Row],[Shipment Status]]="Delivered",1,0)</f>
        <v>1</v>
      </c>
    </row>
    <row r="85" spans="1:17" x14ac:dyDescent="0.45">
      <c r="A85" t="s">
        <v>247</v>
      </c>
      <c r="B85">
        <v>45318</v>
      </c>
      <c r="C85" t="s">
        <v>23</v>
      </c>
      <c r="D85" t="s">
        <v>24</v>
      </c>
      <c r="E85">
        <v>2</v>
      </c>
      <c r="F85">
        <v>25</v>
      </c>
      <c r="G85">
        <v>6.69</v>
      </c>
      <c r="H85" t="s">
        <v>248</v>
      </c>
      <c r="I85" t="s">
        <v>249</v>
      </c>
      <c r="J85" t="s">
        <v>27</v>
      </c>
      <c r="K85" t="s">
        <v>134</v>
      </c>
      <c r="L85">
        <f t="shared" si="3"/>
        <v>50</v>
      </c>
      <c r="M85">
        <f t="shared" si="4"/>
        <v>13.38</v>
      </c>
      <c r="N85">
        <f t="shared" si="5"/>
        <v>36.619999999999997</v>
      </c>
      <c r="O85" cm="1">
        <f t="array" ref="O85">_xlfn.LET(_xlpm.cat, Greenleaf[[#This Row],[Product Category]], _xlpm.prices, _xlfn._xlws.FILTER(Greenleaf[Unit Price], (Greenleaf[Product Category]=_xlpm.cat)*(Greenleaf[Unit Price]&lt;&gt;"")), IFERROR(MEDIAN(_xlpm.prices), ""))</f>
        <v>25</v>
      </c>
      <c r="P85">
        <f>IF(Greenleaf[[#This Row],[Shipment Status]]="Returned",1,0)</f>
        <v>0</v>
      </c>
      <c r="Q85">
        <f>IF(Greenleaf[[#This Row],[Shipment Status]]="Delivered",1,0)</f>
        <v>1</v>
      </c>
    </row>
    <row r="86" spans="1:17" x14ac:dyDescent="0.45">
      <c r="A86" t="s">
        <v>250</v>
      </c>
      <c r="B86">
        <v>45318</v>
      </c>
      <c r="C86" t="s">
        <v>49</v>
      </c>
      <c r="D86" t="s">
        <v>50</v>
      </c>
      <c r="E86">
        <v>9</v>
      </c>
      <c r="F86">
        <v>15</v>
      </c>
      <c r="G86">
        <v>3.37</v>
      </c>
      <c r="H86" t="s">
        <v>251</v>
      </c>
      <c r="I86" t="s">
        <v>252</v>
      </c>
      <c r="J86" t="s">
        <v>27</v>
      </c>
      <c r="K86" t="s">
        <v>21</v>
      </c>
      <c r="L86">
        <f t="shared" si="3"/>
        <v>135</v>
      </c>
      <c r="M86">
        <f t="shared" si="4"/>
        <v>30.330000000000002</v>
      </c>
      <c r="N86">
        <f t="shared" si="5"/>
        <v>104.67</v>
      </c>
      <c r="O86" cm="1">
        <f t="array" ref="O86">_xlfn.LET(_xlpm.cat, Greenleaf[[#This Row],[Product Category]], _xlpm.prices, _xlfn._xlws.FILTER(Greenleaf[Unit Price], (Greenleaf[Product Category]=_xlpm.cat)*(Greenleaf[Unit Price]&lt;&gt;"")), IFERROR(MEDIAN(_xlpm.prices), ""))</f>
        <v>15</v>
      </c>
      <c r="P86">
        <f>IF(Greenleaf[[#This Row],[Shipment Status]]="Returned",1,0)</f>
        <v>0</v>
      </c>
      <c r="Q86">
        <f>IF(Greenleaf[[#This Row],[Shipment Status]]="Delivered",1,0)</f>
        <v>1</v>
      </c>
    </row>
    <row r="87" spans="1:17" x14ac:dyDescent="0.45">
      <c r="A87" t="s">
        <v>253</v>
      </c>
      <c r="B87">
        <v>45318</v>
      </c>
      <c r="C87" t="s">
        <v>23</v>
      </c>
      <c r="D87" t="s">
        <v>24</v>
      </c>
      <c r="E87">
        <v>4</v>
      </c>
      <c r="F87">
        <v>25</v>
      </c>
      <c r="G87">
        <v>8.91</v>
      </c>
      <c r="H87" t="s">
        <v>254</v>
      </c>
      <c r="I87" t="s">
        <v>177</v>
      </c>
      <c r="J87" t="s">
        <v>42</v>
      </c>
      <c r="K87" t="s">
        <v>70</v>
      </c>
      <c r="L87">
        <f t="shared" si="3"/>
        <v>100</v>
      </c>
      <c r="M87">
        <f t="shared" si="4"/>
        <v>35.64</v>
      </c>
      <c r="N87">
        <f t="shared" si="5"/>
        <v>64.36</v>
      </c>
      <c r="O87" cm="1">
        <f t="array" ref="O87">_xlfn.LET(_xlpm.cat, Greenleaf[[#This Row],[Product Category]], _xlpm.prices, _xlfn._xlws.FILTER(Greenleaf[Unit Price], (Greenleaf[Product Category]=_xlpm.cat)*(Greenleaf[Unit Price]&lt;&gt;"")), IFERROR(MEDIAN(_xlpm.prices), ""))</f>
        <v>25</v>
      </c>
      <c r="P87">
        <f>IF(Greenleaf[[#This Row],[Shipment Status]]="Returned",1,0)</f>
        <v>1</v>
      </c>
      <c r="Q87">
        <f>IF(Greenleaf[[#This Row],[Shipment Status]]="Delivered",1,0)</f>
        <v>0</v>
      </c>
    </row>
    <row r="88" spans="1:17" x14ac:dyDescent="0.45">
      <c r="A88" t="s">
        <v>255</v>
      </c>
      <c r="B88">
        <v>45318</v>
      </c>
      <c r="C88" t="s">
        <v>66</v>
      </c>
      <c r="D88" t="s">
        <v>67</v>
      </c>
      <c r="E88">
        <v>1</v>
      </c>
      <c r="F88">
        <v>12</v>
      </c>
      <c r="G88">
        <v>2.87</v>
      </c>
      <c r="H88" t="s">
        <v>256</v>
      </c>
      <c r="I88" t="s">
        <v>257</v>
      </c>
      <c r="J88" t="s">
        <v>20</v>
      </c>
      <c r="K88" t="s">
        <v>56</v>
      </c>
      <c r="L88">
        <f t="shared" si="3"/>
        <v>12</v>
      </c>
      <c r="M88">
        <f t="shared" si="4"/>
        <v>2.87</v>
      </c>
      <c r="N88">
        <f t="shared" si="5"/>
        <v>9.129999999999999</v>
      </c>
      <c r="O88" cm="1">
        <f t="array" ref="O88">_xlfn.LET(_xlpm.cat, Greenleaf[[#This Row],[Product Category]], _xlpm.prices, _xlfn._xlws.FILTER(Greenleaf[Unit Price], (Greenleaf[Product Category]=_xlpm.cat)*(Greenleaf[Unit Price]&lt;&gt;"")), IFERROR(MEDIAN(_xlpm.prices), ""))</f>
        <v>12</v>
      </c>
      <c r="P88">
        <f>IF(Greenleaf[[#This Row],[Shipment Status]]="Returned",1,0)</f>
        <v>0</v>
      </c>
      <c r="Q88">
        <f>IF(Greenleaf[[#This Row],[Shipment Status]]="Delivered",1,0)</f>
        <v>0</v>
      </c>
    </row>
    <row r="89" spans="1:17" x14ac:dyDescent="0.45">
      <c r="A89" t="s">
        <v>258</v>
      </c>
      <c r="B89">
        <v>45318</v>
      </c>
      <c r="C89" t="s">
        <v>30</v>
      </c>
      <c r="D89" t="s">
        <v>31</v>
      </c>
      <c r="E89">
        <v>6</v>
      </c>
      <c r="F89">
        <v>40</v>
      </c>
      <c r="G89">
        <v>11.82</v>
      </c>
      <c r="H89" t="s">
        <v>259</v>
      </c>
      <c r="I89" t="s">
        <v>260</v>
      </c>
      <c r="J89" t="s">
        <v>27</v>
      </c>
      <c r="K89" t="s">
        <v>21</v>
      </c>
      <c r="L89">
        <f t="shared" si="3"/>
        <v>240</v>
      </c>
      <c r="M89">
        <f t="shared" si="4"/>
        <v>70.92</v>
      </c>
      <c r="N89">
        <f t="shared" si="5"/>
        <v>169.07999999999998</v>
      </c>
      <c r="O89" cm="1">
        <f t="array" ref="O89">_xlfn.LET(_xlpm.cat, Greenleaf[[#This Row],[Product Category]], _xlpm.prices, _xlfn._xlws.FILTER(Greenleaf[Unit Price], (Greenleaf[Product Category]=_xlpm.cat)*(Greenleaf[Unit Price]&lt;&gt;"")), IFERROR(MEDIAN(_xlpm.prices), ""))</f>
        <v>40</v>
      </c>
      <c r="P89">
        <f>IF(Greenleaf[[#This Row],[Shipment Status]]="Returned",1,0)</f>
        <v>0</v>
      </c>
      <c r="Q89">
        <f>IF(Greenleaf[[#This Row],[Shipment Status]]="Delivered",1,0)</f>
        <v>1</v>
      </c>
    </row>
    <row r="90" spans="1:17" x14ac:dyDescent="0.45">
      <c r="A90" t="s">
        <v>261</v>
      </c>
      <c r="B90">
        <v>45318</v>
      </c>
      <c r="C90" t="s">
        <v>23</v>
      </c>
      <c r="D90" t="s">
        <v>24</v>
      </c>
      <c r="E90">
        <v>6</v>
      </c>
      <c r="F90">
        <v>25</v>
      </c>
      <c r="G90">
        <v>9.0500000000000007</v>
      </c>
      <c r="H90" t="s">
        <v>213</v>
      </c>
      <c r="I90" t="s">
        <v>214</v>
      </c>
      <c r="J90" t="s">
        <v>20</v>
      </c>
      <c r="K90" t="s">
        <v>74</v>
      </c>
      <c r="L90">
        <f t="shared" si="3"/>
        <v>150</v>
      </c>
      <c r="M90">
        <f t="shared" si="4"/>
        <v>54.300000000000004</v>
      </c>
      <c r="N90">
        <f t="shared" si="5"/>
        <v>95.699999999999989</v>
      </c>
      <c r="O90" cm="1">
        <f t="array" ref="O90">_xlfn.LET(_xlpm.cat, Greenleaf[[#This Row],[Product Category]], _xlpm.prices, _xlfn._xlws.FILTER(Greenleaf[Unit Price], (Greenleaf[Product Category]=_xlpm.cat)*(Greenleaf[Unit Price]&lt;&gt;"")), IFERROR(MEDIAN(_xlpm.prices), ""))</f>
        <v>25</v>
      </c>
      <c r="P90">
        <f>IF(Greenleaf[[#This Row],[Shipment Status]]="Returned",1,0)</f>
        <v>0</v>
      </c>
      <c r="Q90">
        <f>IF(Greenleaf[[#This Row],[Shipment Status]]="Delivered",1,0)</f>
        <v>0</v>
      </c>
    </row>
    <row r="91" spans="1:17" x14ac:dyDescent="0.45">
      <c r="A91" t="s">
        <v>262</v>
      </c>
      <c r="B91">
        <v>45319</v>
      </c>
      <c r="C91" t="s">
        <v>66</v>
      </c>
      <c r="D91" t="s">
        <v>67</v>
      </c>
      <c r="E91">
        <v>10</v>
      </c>
      <c r="F91">
        <v>12</v>
      </c>
      <c r="G91">
        <v>4.34</v>
      </c>
      <c r="H91" t="s">
        <v>263</v>
      </c>
      <c r="I91" t="s">
        <v>128</v>
      </c>
      <c r="J91" t="s">
        <v>20</v>
      </c>
      <c r="K91" t="s">
        <v>70</v>
      </c>
      <c r="L91">
        <f t="shared" si="3"/>
        <v>120</v>
      </c>
      <c r="M91">
        <f t="shared" si="4"/>
        <v>43.4</v>
      </c>
      <c r="N91">
        <f t="shared" si="5"/>
        <v>76.599999999999994</v>
      </c>
      <c r="O91" cm="1">
        <f t="array" ref="O91">_xlfn.LET(_xlpm.cat, Greenleaf[[#This Row],[Product Category]], _xlpm.prices, _xlfn._xlws.FILTER(Greenleaf[Unit Price], (Greenleaf[Product Category]=_xlpm.cat)*(Greenleaf[Unit Price]&lt;&gt;"")), IFERROR(MEDIAN(_xlpm.prices), ""))</f>
        <v>12</v>
      </c>
      <c r="P91">
        <f>IF(Greenleaf[[#This Row],[Shipment Status]]="Returned",1,0)</f>
        <v>0</v>
      </c>
      <c r="Q91">
        <f>IF(Greenleaf[[#This Row],[Shipment Status]]="Delivered",1,0)</f>
        <v>0</v>
      </c>
    </row>
    <row r="92" spans="1:17" x14ac:dyDescent="0.45">
      <c r="A92" t="s">
        <v>264</v>
      </c>
      <c r="B92">
        <v>45319</v>
      </c>
      <c r="C92" t="s">
        <v>23</v>
      </c>
      <c r="D92" t="s">
        <v>24</v>
      </c>
      <c r="E92">
        <v>3</v>
      </c>
      <c r="F92">
        <v>25</v>
      </c>
      <c r="G92">
        <v>7.45</v>
      </c>
      <c r="H92" t="s">
        <v>148</v>
      </c>
      <c r="I92" t="s">
        <v>52</v>
      </c>
      <c r="J92" t="s">
        <v>20</v>
      </c>
      <c r="K92" t="s">
        <v>38</v>
      </c>
      <c r="L92">
        <f t="shared" si="3"/>
        <v>75</v>
      </c>
      <c r="M92">
        <f t="shared" si="4"/>
        <v>22.35</v>
      </c>
      <c r="N92">
        <f t="shared" si="5"/>
        <v>52.65</v>
      </c>
      <c r="O92" cm="1">
        <f t="array" ref="O92">_xlfn.LET(_xlpm.cat, Greenleaf[[#This Row],[Product Category]], _xlpm.prices, _xlfn._xlws.FILTER(Greenleaf[Unit Price], (Greenleaf[Product Category]=_xlpm.cat)*(Greenleaf[Unit Price]&lt;&gt;"")), IFERROR(MEDIAN(_xlpm.prices), ""))</f>
        <v>25</v>
      </c>
      <c r="P92">
        <f>IF(Greenleaf[[#This Row],[Shipment Status]]="Returned",1,0)</f>
        <v>0</v>
      </c>
      <c r="Q92">
        <f>IF(Greenleaf[[#This Row],[Shipment Status]]="Delivered",1,0)</f>
        <v>0</v>
      </c>
    </row>
    <row r="93" spans="1:17" x14ac:dyDescent="0.45">
      <c r="A93" t="s">
        <v>265</v>
      </c>
      <c r="B93">
        <v>45319</v>
      </c>
      <c r="C93" t="s">
        <v>49</v>
      </c>
      <c r="D93" t="s">
        <v>50</v>
      </c>
      <c r="E93">
        <v>9</v>
      </c>
      <c r="F93">
        <v>15</v>
      </c>
      <c r="G93">
        <v>4.92</v>
      </c>
      <c r="H93" t="s">
        <v>266</v>
      </c>
      <c r="I93" t="s">
        <v>46</v>
      </c>
      <c r="J93" t="s">
        <v>47</v>
      </c>
      <c r="K93" t="s">
        <v>21</v>
      </c>
      <c r="L93">
        <f t="shared" si="3"/>
        <v>135</v>
      </c>
      <c r="M93">
        <f t="shared" si="4"/>
        <v>44.28</v>
      </c>
      <c r="N93">
        <f t="shared" si="5"/>
        <v>90.72</v>
      </c>
      <c r="O93" cm="1">
        <f t="array" ref="O93">_xlfn.LET(_xlpm.cat, Greenleaf[[#This Row],[Product Category]], _xlpm.prices, _xlfn._xlws.FILTER(Greenleaf[Unit Price], (Greenleaf[Product Category]=_xlpm.cat)*(Greenleaf[Unit Price]&lt;&gt;"")), IFERROR(MEDIAN(_xlpm.prices), ""))</f>
        <v>15</v>
      </c>
      <c r="P93">
        <f>IF(Greenleaf[[#This Row],[Shipment Status]]="Returned",1,0)</f>
        <v>0</v>
      </c>
      <c r="Q93">
        <f>IF(Greenleaf[[#This Row],[Shipment Status]]="Delivered",1,0)</f>
        <v>0</v>
      </c>
    </row>
    <row r="94" spans="1:17" x14ac:dyDescent="0.45">
      <c r="A94" t="s">
        <v>267</v>
      </c>
      <c r="B94">
        <v>45319</v>
      </c>
      <c r="C94" t="s">
        <v>16</v>
      </c>
      <c r="D94" t="s">
        <v>17</v>
      </c>
      <c r="E94">
        <v>7</v>
      </c>
      <c r="F94">
        <v>10</v>
      </c>
      <c r="G94">
        <v>2.4500000000000002</v>
      </c>
      <c r="H94" t="s">
        <v>64</v>
      </c>
      <c r="I94" t="s">
        <v>19</v>
      </c>
      <c r="J94" t="s">
        <v>27</v>
      </c>
      <c r="K94" t="s">
        <v>59</v>
      </c>
      <c r="L94">
        <f t="shared" si="3"/>
        <v>70</v>
      </c>
      <c r="M94">
        <f t="shared" si="4"/>
        <v>17.150000000000002</v>
      </c>
      <c r="N94">
        <f t="shared" si="5"/>
        <v>52.849999999999994</v>
      </c>
      <c r="O94" cm="1">
        <f t="array" ref="O94">_xlfn.LET(_xlpm.cat, Greenleaf[[#This Row],[Product Category]], _xlpm.prices, _xlfn._xlws.FILTER(Greenleaf[Unit Price], (Greenleaf[Product Category]=_xlpm.cat)*(Greenleaf[Unit Price]&lt;&gt;"")), IFERROR(MEDIAN(_xlpm.prices), ""))</f>
        <v>10</v>
      </c>
      <c r="P94">
        <f>IF(Greenleaf[[#This Row],[Shipment Status]]="Returned",1,0)</f>
        <v>0</v>
      </c>
      <c r="Q94">
        <f>IF(Greenleaf[[#This Row],[Shipment Status]]="Delivered",1,0)</f>
        <v>1</v>
      </c>
    </row>
    <row r="95" spans="1:17" x14ac:dyDescent="0.45">
      <c r="A95" t="s">
        <v>268</v>
      </c>
      <c r="B95">
        <v>45319</v>
      </c>
      <c r="C95" t="s">
        <v>23</v>
      </c>
      <c r="D95" t="s">
        <v>24</v>
      </c>
      <c r="E95">
        <v>1</v>
      </c>
      <c r="F95">
        <v>25</v>
      </c>
      <c r="G95">
        <v>7.24</v>
      </c>
      <c r="H95" t="s">
        <v>82</v>
      </c>
      <c r="I95" t="s">
        <v>83</v>
      </c>
      <c r="J95" t="s">
        <v>20</v>
      </c>
      <c r="K95" t="s">
        <v>134</v>
      </c>
      <c r="L95">
        <f t="shared" si="3"/>
        <v>25</v>
      </c>
      <c r="M95">
        <f t="shared" si="4"/>
        <v>7.24</v>
      </c>
      <c r="N95">
        <f t="shared" si="5"/>
        <v>17.759999999999998</v>
      </c>
      <c r="O95" cm="1">
        <f t="array" ref="O95">_xlfn.LET(_xlpm.cat, Greenleaf[[#This Row],[Product Category]], _xlpm.prices, _xlfn._xlws.FILTER(Greenleaf[Unit Price], (Greenleaf[Product Category]=_xlpm.cat)*(Greenleaf[Unit Price]&lt;&gt;"")), IFERROR(MEDIAN(_xlpm.prices), ""))</f>
        <v>25</v>
      </c>
      <c r="P95">
        <f>IF(Greenleaf[[#This Row],[Shipment Status]]="Returned",1,0)</f>
        <v>0</v>
      </c>
      <c r="Q95">
        <f>IF(Greenleaf[[#This Row],[Shipment Status]]="Delivered",1,0)</f>
        <v>0</v>
      </c>
    </row>
    <row r="96" spans="1:17" x14ac:dyDescent="0.45">
      <c r="A96" t="s">
        <v>269</v>
      </c>
      <c r="B96">
        <v>45319</v>
      </c>
      <c r="C96" t="s">
        <v>30</v>
      </c>
      <c r="D96" t="s">
        <v>31</v>
      </c>
      <c r="E96">
        <v>2</v>
      </c>
      <c r="F96">
        <v>40</v>
      </c>
      <c r="G96">
        <v>14.07</v>
      </c>
      <c r="H96" t="s">
        <v>99</v>
      </c>
      <c r="I96" t="s">
        <v>100</v>
      </c>
      <c r="J96" t="s">
        <v>42</v>
      </c>
      <c r="K96" t="s">
        <v>59</v>
      </c>
      <c r="L96">
        <f t="shared" si="3"/>
        <v>80</v>
      </c>
      <c r="M96">
        <f t="shared" si="4"/>
        <v>28.14</v>
      </c>
      <c r="N96">
        <f t="shared" si="5"/>
        <v>51.86</v>
      </c>
      <c r="O96" cm="1">
        <f t="array" ref="O96">_xlfn.LET(_xlpm.cat, Greenleaf[[#This Row],[Product Category]], _xlpm.prices, _xlfn._xlws.FILTER(Greenleaf[Unit Price], (Greenleaf[Product Category]=_xlpm.cat)*(Greenleaf[Unit Price]&lt;&gt;"")), IFERROR(MEDIAN(_xlpm.prices), ""))</f>
        <v>40</v>
      </c>
      <c r="P96">
        <f>IF(Greenleaf[[#This Row],[Shipment Status]]="Returned",1,0)</f>
        <v>1</v>
      </c>
      <c r="Q96">
        <f>IF(Greenleaf[[#This Row],[Shipment Status]]="Delivered",1,0)</f>
        <v>0</v>
      </c>
    </row>
    <row r="97" spans="1:17" x14ac:dyDescent="0.45">
      <c r="A97" t="s">
        <v>270</v>
      </c>
      <c r="B97">
        <v>45319</v>
      </c>
      <c r="C97" t="s">
        <v>23</v>
      </c>
      <c r="D97" t="s">
        <v>24</v>
      </c>
      <c r="E97">
        <v>10</v>
      </c>
      <c r="F97">
        <v>25</v>
      </c>
      <c r="G97">
        <v>9.9</v>
      </c>
      <c r="H97" t="s">
        <v>263</v>
      </c>
      <c r="I97" t="s">
        <v>128</v>
      </c>
      <c r="J97" t="s">
        <v>27</v>
      </c>
      <c r="K97" t="s">
        <v>134</v>
      </c>
      <c r="L97">
        <f t="shared" si="3"/>
        <v>250</v>
      </c>
      <c r="M97">
        <f t="shared" si="4"/>
        <v>99</v>
      </c>
      <c r="N97">
        <f t="shared" si="5"/>
        <v>151</v>
      </c>
      <c r="O97" cm="1">
        <f t="array" ref="O97">_xlfn.LET(_xlpm.cat, Greenleaf[[#This Row],[Product Category]], _xlpm.prices, _xlfn._xlws.FILTER(Greenleaf[Unit Price], (Greenleaf[Product Category]=_xlpm.cat)*(Greenleaf[Unit Price]&lt;&gt;"")), IFERROR(MEDIAN(_xlpm.prices), ""))</f>
        <v>25</v>
      </c>
      <c r="P97">
        <f>IF(Greenleaf[[#This Row],[Shipment Status]]="Returned",1,0)</f>
        <v>0</v>
      </c>
      <c r="Q97">
        <f>IF(Greenleaf[[#This Row],[Shipment Status]]="Delivered",1,0)</f>
        <v>1</v>
      </c>
    </row>
    <row r="98" spans="1:17" x14ac:dyDescent="0.45">
      <c r="A98" t="s">
        <v>271</v>
      </c>
      <c r="B98">
        <v>45320</v>
      </c>
      <c r="C98" t="s">
        <v>30</v>
      </c>
      <c r="D98" t="s">
        <v>31</v>
      </c>
      <c r="E98">
        <v>9</v>
      </c>
      <c r="F98">
        <v>40</v>
      </c>
      <c r="G98">
        <v>15.18</v>
      </c>
      <c r="H98" t="s">
        <v>272</v>
      </c>
      <c r="I98" t="s">
        <v>273</v>
      </c>
      <c r="J98" t="s">
        <v>47</v>
      </c>
      <c r="K98" t="s">
        <v>59</v>
      </c>
      <c r="L98">
        <f t="shared" si="3"/>
        <v>360</v>
      </c>
      <c r="M98">
        <f t="shared" si="4"/>
        <v>136.62</v>
      </c>
      <c r="N98">
        <f t="shared" si="5"/>
        <v>223.38</v>
      </c>
      <c r="O98" cm="1">
        <f t="array" ref="O98">_xlfn.LET(_xlpm.cat, Greenleaf[[#This Row],[Product Category]], _xlpm.prices, _xlfn._xlws.FILTER(Greenleaf[Unit Price], (Greenleaf[Product Category]=_xlpm.cat)*(Greenleaf[Unit Price]&lt;&gt;"")), IFERROR(MEDIAN(_xlpm.prices), ""))</f>
        <v>40</v>
      </c>
      <c r="P98">
        <f>IF(Greenleaf[[#This Row],[Shipment Status]]="Returned",1,0)</f>
        <v>0</v>
      </c>
      <c r="Q98">
        <f>IF(Greenleaf[[#This Row],[Shipment Status]]="Delivered",1,0)</f>
        <v>0</v>
      </c>
    </row>
    <row r="99" spans="1:17" x14ac:dyDescent="0.45">
      <c r="A99" t="s">
        <v>274</v>
      </c>
      <c r="B99">
        <v>45320</v>
      </c>
      <c r="C99" t="s">
        <v>16</v>
      </c>
      <c r="D99" t="s">
        <v>17</v>
      </c>
      <c r="E99">
        <v>4</v>
      </c>
      <c r="F99">
        <v>10</v>
      </c>
      <c r="G99">
        <v>3.54</v>
      </c>
      <c r="H99" t="s">
        <v>142</v>
      </c>
      <c r="I99" t="s">
        <v>143</v>
      </c>
      <c r="J99" t="s">
        <v>27</v>
      </c>
      <c r="K99" t="s">
        <v>59</v>
      </c>
      <c r="L99">
        <f t="shared" si="3"/>
        <v>40</v>
      </c>
      <c r="M99">
        <f t="shared" si="4"/>
        <v>14.16</v>
      </c>
      <c r="N99">
        <f t="shared" si="5"/>
        <v>25.84</v>
      </c>
      <c r="O99" cm="1">
        <f t="array" ref="O99">_xlfn.LET(_xlpm.cat, Greenleaf[[#This Row],[Product Category]], _xlpm.prices, _xlfn._xlws.FILTER(Greenleaf[Unit Price], (Greenleaf[Product Category]=_xlpm.cat)*(Greenleaf[Unit Price]&lt;&gt;"")), IFERROR(MEDIAN(_xlpm.prices), ""))</f>
        <v>10</v>
      </c>
      <c r="P99">
        <f>IF(Greenleaf[[#This Row],[Shipment Status]]="Returned",1,0)</f>
        <v>0</v>
      </c>
      <c r="Q99">
        <f>IF(Greenleaf[[#This Row],[Shipment Status]]="Delivered",1,0)</f>
        <v>1</v>
      </c>
    </row>
    <row r="100" spans="1:17" x14ac:dyDescent="0.45">
      <c r="A100" t="s">
        <v>275</v>
      </c>
      <c r="B100">
        <v>45320</v>
      </c>
      <c r="C100" t="s">
        <v>66</v>
      </c>
      <c r="D100" t="s">
        <v>67</v>
      </c>
      <c r="E100">
        <v>10</v>
      </c>
      <c r="F100">
        <v>12</v>
      </c>
      <c r="G100">
        <v>3.79</v>
      </c>
      <c r="H100" t="s">
        <v>276</v>
      </c>
      <c r="I100" t="s">
        <v>277</v>
      </c>
      <c r="J100" t="s">
        <v>27</v>
      </c>
      <c r="K100" t="s">
        <v>28</v>
      </c>
      <c r="L100">
        <f t="shared" si="3"/>
        <v>120</v>
      </c>
      <c r="M100">
        <f t="shared" si="4"/>
        <v>37.9</v>
      </c>
      <c r="N100">
        <f t="shared" si="5"/>
        <v>82.1</v>
      </c>
      <c r="O100" cm="1">
        <f t="array" ref="O100">_xlfn.LET(_xlpm.cat, Greenleaf[[#This Row],[Product Category]], _xlpm.prices, _xlfn._xlws.FILTER(Greenleaf[Unit Price], (Greenleaf[Product Category]=_xlpm.cat)*(Greenleaf[Unit Price]&lt;&gt;"")), IFERROR(MEDIAN(_xlpm.prices), ""))</f>
        <v>12</v>
      </c>
      <c r="P100">
        <f>IF(Greenleaf[[#This Row],[Shipment Status]]="Returned",1,0)</f>
        <v>0</v>
      </c>
      <c r="Q100">
        <f>IF(Greenleaf[[#This Row],[Shipment Status]]="Delivered",1,0)</f>
        <v>1</v>
      </c>
    </row>
    <row r="101" spans="1:17" x14ac:dyDescent="0.45">
      <c r="A101" t="s">
        <v>278</v>
      </c>
      <c r="B101">
        <v>45320</v>
      </c>
      <c r="C101" t="s">
        <v>16</v>
      </c>
      <c r="D101" t="s">
        <v>17</v>
      </c>
      <c r="E101">
        <v>8</v>
      </c>
      <c r="F101">
        <v>10</v>
      </c>
      <c r="G101">
        <v>2.6</v>
      </c>
      <c r="H101" t="s">
        <v>279</v>
      </c>
      <c r="I101" t="s">
        <v>280</v>
      </c>
      <c r="J101" t="s">
        <v>27</v>
      </c>
      <c r="K101" t="s">
        <v>56</v>
      </c>
      <c r="L101">
        <f t="shared" si="3"/>
        <v>80</v>
      </c>
      <c r="M101">
        <f t="shared" si="4"/>
        <v>20.8</v>
      </c>
      <c r="N101">
        <f t="shared" si="5"/>
        <v>59.2</v>
      </c>
      <c r="O101" cm="1">
        <f t="array" ref="O101">_xlfn.LET(_xlpm.cat, Greenleaf[[#This Row],[Product Category]], _xlpm.prices, _xlfn._xlws.FILTER(Greenleaf[Unit Price], (Greenleaf[Product Category]=_xlpm.cat)*(Greenleaf[Unit Price]&lt;&gt;"")), IFERROR(MEDIAN(_xlpm.prices), ""))</f>
        <v>10</v>
      </c>
      <c r="P101">
        <f>IF(Greenleaf[[#This Row],[Shipment Status]]="Returned",1,0)</f>
        <v>0</v>
      </c>
      <c r="Q101">
        <f>IF(Greenleaf[[#This Row],[Shipment Status]]="Delivered",1,0)</f>
        <v>1</v>
      </c>
    </row>
    <row r="102" spans="1:17" x14ac:dyDescent="0.45">
      <c r="A102" t="s">
        <v>281</v>
      </c>
      <c r="B102">
        <v>45320</v>
      </c>
      <c r="C102" t="s">
        <v>23</v>
      </c>
      <c r="D102" t="s">
        <v>24</v>
      </c>
      <c r="E102">
        <v>8</v>
      </c>
      <c r="F102">
        <v>25</v>
      </c>
      <c r="G102">
        <v>6.48</v>
      </c>
      <c r="H102" t="s">
        <v>282</v>
      </c>
      <c r="I102" t="s">
        <v>283</v>
      </c>
      <c r="J102" t="s">
        <v>20</v>
      </c>
      <c r="K102" t="s">
        <v>43</v>
      </c>
      <c r="L102">
        <f t="shared" si="3"/>
        <v>200</v>
      </c>
      <c r="M102">
        <f t="shared" si="4"/>
        <v>51.84</v>
      </c>
      <c r="N102">
        <f t="shared" si="5"/>
        <v>148.16</v>
      </c>
      <c r="O102" cm="1">
        <f t="array" ref="O102">_xlfn.LET(_xlpm.cat, Greenleaf[[#This Row],[Product Category]], _xlpm.prices, _xlfn._xlws.FILTER(Greenleaf[Unit Price], (Greenleaf[Product Category]=_xlpm.cat)*(Greenleaf[Unit Price]&lt;&gt;"")), IFERROR(MEDIAN(_xlpm.prices), ""))</f>
        <v>25</v>
      </c>
      <c r="P102">
        <f>IF(Greenleaf[[#This Row],[Shipment Status]]="Returned",1,0)</f>
        <v>0</v>
      </c>
      <c r="Q102">
        <f>IF(Greenleaf[[#This Row],[Shipment Status]]="Delivered",1,0)</f>
        <v>0</v>
      </c>
    </row>
    <row r="103" spans="1:17" x14ac:dyDescent="0.45">
      <c r="A103" t="s">
        <v>284</v>
      </c>
      <c r="B103">
        <v>45320</v>
      </c>
      <c r="C103" t="s">
        <v>16</v>
      </c>
      <c r="D103" t="s">
        <v>17</v>
      </c>
      <c r="E103">
        <v>9</v>
      </c>
      <c r="F103">
        <v>10</v>
      </c>
      <c r="G103">
        <v>3.07</v>
      </c>
      <c r="H103" t="s">
        <v>61</v>
      </c>
      <c r="I103" t="s">
        <v>62</v>
      </c>
      <c r="J103" t="s">
        <v>47</v>
      </c>
      <c r="K103" t="s">
        <v>134</v>
      </c>
      <c r="L103">
        <f t="shared" si="3"/>
        <v>90</v>
      </c>
      <c r="M103">
        <f t="shared" si="4"/>
        <v>27.63</v>
      </c>
      <c r="N103">
        <f t="shared" si="5"/>
        <v>62.370000000000005</v>
      </c>
      <c r="O103" cm="1">
        <f t="array" ref="O103">_xlfn.LET(_xlpm.cat, Greenleaf[[#This Row],[Product Category]], _xlpm.prices, _xlfn._xlws.FILTER(Greenleaf[Unit Price], (Greenleaf[Product Category]=_xlpm.cat)*(Greenleaf[Unit Price]&lt;&gt;"")), IFERROR(MEDIAN(_xlpm.prices), ""))</f>
        <v>10</v>
      </c>
      <c r="P103">
        <f>IF(Greenleaf[[#This Row],[Shipment Status]]="Returned",1,0)</f>
        <v>0</v>
      </c>
      <c r="Q103">
        <f>IF(Greenleaf[[#This Row],[Shipment Status]]="Delivered",1,0)</f>
        <v>0</v>
      </c>
    </row>
    <row r="104" spans="1:17" x14ac:dyDescent="0.45">
      <c r="A104" t="s">
        <v>285</v>
      </c>
      <c r="B104">
        <v>45321</v>
      </c>
      <c r="C104" t="s">
        <v>30</v>
      </c>
      <c r="D104" t="s">
        <v>31</v>
      </c>
      <c r="E104">
        <v>8</v>
      </c>
      <c r="F104">
        <v>40</v>
      </c>
      <c r="G104">
        <v>10.88</v>
      </c>
      <c r="H104" t="s">
        <v>286</v>
      </c>
      <c r="I104" t="s">
        <v>287</v>
      </c>
      <c r="J104" t="s">
        <v>20</v>
      </c>
      <c r="K104" t="s">
        <v>56</v>
      </c>
      <c r="L104">
        <f t="shared" si="3"/>
        <v>320</v>
      </c>
      <c r="M104">
        <f t="shared" si="4"/>
        <v>87.04</v>
      </c>
      <c r="N104">
        <f t="shared" si="5"/>
        <v>232.95999999999998</v>
      </c>
      <c r="O104" cm="1">
        <f t="array" ref="O104">_xlfn.LET(_xlpm.cat, Greenleaf[[#This Row],[Product Category]], _xlpm.prices, _xlfn._xlws.FILTER(Greenleaf[Unit Price], (Greenleaf[Product Category]=_xlpm.cat)*(Greenleaf[Unit Price]&lt;&gt;"")), IFERROR(MEDIAN(_xlpm.prices), ""))</f>
        <v>40</v>
      </c>
      <c r="P104">
        <f>IF(Greenleaf[[#This Row],[Shipment Status]]="Returned",1,0)</f>
        <v>0</v>
      </c>
      <c r="Q104">
        <f>IF(Greenleaf[[#This Row],[Shipment Status]]="Delivered",1,0)</f>
        <v>0</v>
      </c>
    </row>
    <row r="105" spans="1:17" x14ac:dyDescent="0.45">
      <c r="A105" t="s">
        <v>288</v>
      </c>
      <c r="B105">
        <v>45321</v>
      </c>
      <c r="C105" t="s">
        <v>49</v>
      </c>
      <c r="D105" t="s">
        <v>50</v>
      </c>
      <c r="E105">
        <v>7</v>
      </c>
      <c r="F105">
        <v>15</v>
      </c>
      <c r="G105">
        <v>5.75</v>
      </c>
      <c r="H105" t="s">
        <v>289</v>
      </c>
      <c r="I105" t="s">
        <v>290</v>
      </c>
      <c r="J105" t="s">
        <v>27</v>
      </c>
      <c r="K105" t="s">
        <v>34</v>
      </c>
      <c r="L105">
        <f t="shared" si="3"/>
        <v>105</v>
      </c>
      <c r="M105">
        <f t="shared" si="4"/>
        <v>40.25</v>
      </c>
      <c r="N105">
        <f t="shared" si="5"/>
        <v>64.75</v>
      </c>
      <c r="O105" cm="1">
        <f t="array" ref="O105">_xlfn.LET(_xlpm.cat, Greenleaf[[#This Row],[Product Category]], _xlpm.prices, _xlfn._xlws.FILTER(Greenleaf[Unit Price], (Greenleaf[Product Category]=_xlpm.cat)*(Greenleaf[Unit Price]&lt;&gt;"")), IFERROR(MEDIAN(_xlpm.prices), ""))</f>
        <v>15</v>
      </c>
      <c r="P105">
        <f>IF(Greenleaf[[#This Row],[Shipment Status]]="Returned",1,0)</f>
        <v>0</v>
      </c>
      <c r="Q105">
        <f>IF(Greenleaf[[#This Row],[Shipment Status]]="Delivered",1,0)</f>
        <v>1</v>
      </c>
    </row>
    <row r="106" spans="1:17" x14ac:dyDescent="0.45">
      <c r="A106" t="s">
        <v>291</v>
      </c>
      <c r="B106">
        <v>45322</v>
      </c>
      <c r="C106" t="s">
        <v>16</v>
      </c>
      <c r="D106" t="s">
        <v>17</v>
      </c>
      <c r="E106">
        <v>3</v>
      </c>
      <c r="F106">
        <v>10</v>
      </c>
      <c r="G106">
        <v>2.88</v>
      </c>
      <c r="H106" t="s">
        <v>292</v>
      </c>
      <c r="I106" t="s">
        <v>90</v>
      </c>
      <c r="J106" t="s">
        <v>20</v>
      </c>
      <c r="K106" t="s">
        <v>56</v>
      </c>
      <c r="L106">
        <f t="shared" si="3"/>
        <v>30</v>
      </c>
      <c r="M106">
        <f t="shared" si="4"/>
        <v>8.64</v>
      </c>
      <c r="N106">
        <f t="shared" si="5"/>
        <v>21.36</v>
      </c>
      <c r="O106" cm="1">
        <f t="array" ref="O106">_xlfn.LET(_xlpm.cat, Greenleaf[[#This Row],[Product Category]], _xlpm.prices, _xlfn._xlws.FILTER(Greenleaf[Unit Price], (Greenleaf[Product Category]=_xlpm.cat)*(Greenleaf[Unit Price]&lt;&gt;"")), IFERROR(MEDIAN(_xlpm.prices), ""))</f>
        <v>10</v>
      </c>
      <c r="P106">
        <f>IF(Greenleaf[[#This Row],[Shipment Status]]="Returned",1,0)</f>
        <v>0</v>
      </c>
      <c r="Q106">
        <f>IF(Greenleaf[[#This Row],[Shipment Status]]="Delivered",1,0)</f>
        <v>0</v>
      </c>
    </row>
    <row r="107" spans="1:17" x14ac:dyDescent="0.45">
      <c r="A107" t="s">
        <v>293</v>
      </c>
      <c r="B107">
        <v>45322</v>
      </c>
      <c r="C107" t="s">
        <v>16</v>
      </c>
      <c r="D107" t="s">
        <v>17</v>
      </c>
      <c r="E107">
        <v>9</v>
      </c>
      <c r="F107">
        <v>10</v>
      </c>
      <c r="G107">
        <v>3.15</v>
      </c>
      <c r="H107" t="s">
        <v>256</v>
      </c>
      <c r="I107" t="s">
        <v>257</v>
      </c>
      <c r="J107" t="s">
        <v>27</v>
      </c>
      <c r="K107" t="s">
        <v>59</v>
      </c>
      <c r="L107">
        <f t="shared" si="3"/>
        <v>90</v>
      </c>
      <c r="M107">
        <f t="shared" si="4"/>
        <v>28.349999999999998</v>
      </c>
      <c r="N107">
        <f t="shared" si="5"/>
        <v>61.650000000000006</v>
      </c>
      <c r="O107" cm="1">
        <f t="array" ref="O107">_xlfn.LET(_xlpm.cat, Greenleaf[[#This Row],[Product Category]], _xlpm.prices, _xlfn._xlws.FILTER(Greenleaf[Unit Price], (Greenleaf[Product Category]=_xlpm.cat)*(Greenleaf[Unit Price]&lt;&gt;"")), IFERROR(MEDIAN(_xlpm.prices), ""))</f>
        <v>10</v>
      </c>
      <c r="P107">
        <f>IF(Greenleaf[[#This Row],[Shipment Status]]="Returned",1,0)</f>
        <v>0</v>
      </c>
      <c r="Q107">
        <f>IF(Greenleaf[[#This Row],[Shipment Status]]="Delivered",1,0)</f>
        <v>1</v>
      </c>
    </row>
    <row r="108" spans="1:17" x14ac:dyDescent="0.45">
      <c r="A108" t="s">
        <v>294</v>
      </c>
      <c r="B108">
        <v>45322</v>
      </c>
      <c r="C108" t="s">
        <v>23</v>
      </c>
      <c r="D108" t="s">
        <v>24</v>
      </c>
      <c r="E108">
        <v>1</v>
      </c>
      <c r="F108">
        <v>25</v>
      </c>
      <c r="G108">
        <v>5.62</v>
      </c>
      <c r="H108" t="s">
        <v>171</v>
      </c>
      <c r="I108" t="s">
        <v>172</v>
      </c>
      <c r="J108" t="s">
        <v>27</v>
      </c>
      <c r="K108" t="s">
        <v>43</v>
      </c>
      <c r="L108">
        <f t="shared" si="3"/>
        <v>25</v>
      </c>
      <c r="M108">
        <f t="shared" si="4"/>
        <v>5.62</v>
      </c>
      <c r="N108">
        <f t="shared" si="5"/>
        <v>19.38</v>
      </c>
      <c r="O108" cm="1">
        <f t="array" ref="O108">_xlfn.LET(_xlpm.cat, Greenleaf[[#This Row],[Product Category]], _xlpm.prices, _xlfn._xlws.FILTER(Greenleaf[Unit Price], (Greenleaf[Product Category]=_xlpm.cat)*(Greenleaf[Unit Price]&lt;&gt;"")), IFERROR(MEDIAN(_xlpm.prices), ""))</f>
        <v>25</v>
      </c>
      <c r="P108">
        <f>IF(Greenleaf[[#This Row],[Shipment Status]]="Returned",1,0)</f>
        <v>0</v>
      </c>
      <c r="Q108">
        <f>IF(Greenleaf[[#This Row],[Shipment Status]]="Delivered",1,0)</f>
        <v>1</v>
      </c>
    </row>
    <row r="109" spans="1:17" x14ac:dyDescent="0.45">
      <c r="A109" t="s">
        <v>295</v>
      </c>
      <c r="B109">
        <v>45322</v>
      </c>
      <c r="C109" t="s">
        <v>23</v>
      </c>
      <c r="D109" t="s">
        <v>24</v>
      </c>
      <c r="E109">
        <v>10</v>
      </c>
      <c r="F109">
        <v>25</v>
      </c>
      <c r="G109">
        <v>7.15</v>
      </c>
      <c r="H109" t="s">
        <v>296</v>
      </c>
      <c r="I109" t="s">
        <v>93</v>
      </c>
      <c r="J109" t="s">
        <v>27</v>
      </c>
      <c r="K109" t="s">
        <v>74</v>
      </c>
      <c r="L109">
        <f t="shared" si="3"/>
        <v>250</v>
      </c>
      <c r="M109">
        <f t="shared" si="4"/>
        <v>71.5</v>
      </c>
      <c r="N109">
        <f t="shared" si="5"/>
        <v>178.5</v>
      </c>
      <c r="O109" cm="1">
        <f t="array" ref="O109">_xlfn.LET(_xlpm.cat, Greenleaf[[#This Row],[Product Category]], _xlpm.prices, _xlfn._xlws.FILTER(Greenleaf[Unit Price], (Greenleaf[Product Category]=_xlpm.cat)*(Greenleaf[Unit Price]&lt;&gt;"")), IFERROR(MEDIAN(_xlpm.prices), ""))</f>
        <v>25</v>
      </c>
      <c r="P109">
        <f>IF(Greenleaf[[#This Row],[Shipment Status]]="Returned",1,0)</f>
        <v>0</v>
      </c>
      <c r="Q109">
        <f>IF(Greenleaf[[#This Row],[Shipment Status]]="Delivered",1,0)</f>
        <v>1</v>
      </c>
    </row>
    <row r="110" spans="1:17" x14ac:dyDescent="0.45">
      <c r="A110" t="s">
        <v>297</v>
      </c>
      <c r="B110">
        <v>45322</v>
      </c>
      <c r="C110" t="s">
        <v>30</v>
      </c>
      <c r="D110" t="s">
        <v>31</v>
      </c>
      <c r="E110">
        <v>10</v>
      </c>
      <c r="F110">
        <v>40</v>
      </c>
      <c r="G110">
        <v>14.26</v>
      </c>
      <c r="H110" t="s">
        <v>45</v>
      </c>
      <c r="I110" t="s">
        <v>46</v>
      </c>
      <c r="J110" t="s">
        <v>27</v>
      </c>
      <c r="K110" t="s">
        <v>70</v>
      </c>
      <c r="L110">
        <f t="shared" si="3"/>
        <v>400</v>
      </c>
      <c r="M110">
        <f t="shared" si="4"/>
        <v>142.6</v>
      </c>
      <c r="N110">
        <f t="shared" si="5"/>
        <v>257.39999999999998</v>
      </c>
      <c r="O110" cm="1">
        <f t="array" ref="O110">_xlfn.LET(_xlpm.cat, Greenleaf[[#This Row],[Product Category]], _xlpm.prices, _xlfn._xlws.FILTER(Greenleaf[Unit Price], (Greenleaf[Product Category]=_xlpm.cat)*(Greenleaf[Unit Price]&lt;&gt;"")), IFERROR(MEDIAN(_xlpm.prices), ""))</f>
        <v>40</v>
      </c>
      <c r="P110">
        <f>IF(Greenleaf[[#This Row],[Shipment Status]]="Returned",1,0)</f>
        <v>0</v>
      </c>
      <c r="Q110">
        <f>IF(Greenleaf[[#This Row],[Shipment Status]]="Delivered",1,0)</f>
        <v>1</v>
      </c>
    </row>
    <row r="111" spans="1:17" x14ac:dyDescent="0.45">
      <c r="A111" t="s">
        <v>298</v>
      </c>
      <c r="B111">
        <v>45322</v>
      </c>
      <c r="C111" t="s">
        <v>66</v>
      </c>
      <c r="D111" t="s">
        <v>67</v>
      </c>
      <c r="E111">
        <v>3</v>
      </c>
      <c r="F111">
        <v>12</v>
      </c>
      <c r="G111">
        <v>3.43</v>
      </c>
      <c r="H111" t="s">
        <v>235</v>
      </c>
      <c r="I111" t="s">
        <v>236</v>
      </c>
      <c r="J111" t="s">
        <v>27</v>
      </c>
      <c r="K111" t="s">
        <v>134</v>
      </c>
      <c r="L111">
        <f t="shared" si="3"/>
        <v>36</v>
      </c>
      <c r="M111">
        <f t="shared" si="4"/>
        <v>10.290000000000001</v>
      </c>
      <c r="N111">
        <f t="shared" si="5"/>
        <v>25.71</v>
      </c>
      <c r="O111" cm="1">
        <f t="array" ref="O111">_xlfn.LET(_xlpm.cat, Greenleaf[[#This Row],[Product Category]], _xlpm.prices, _xlfn._xlws.FILTER(Greenleaf[Unit Price], (Greenleaf[Product Category]=_xlpm.cat)*(Greenleaf[Unit Price]&lt;&gt;"")), IFERROR(MEDIAN(_xlpm.prices), ""))</f>
        <v>12</v>
      </c>
      <c r="P111">
        <f>IF(Greenleaf[[#This Row],[Shipment Status]]="Returned",1,0)</f>
        <v>0</v>
      </c>
      <c r="Q111">
        <f>IF(Greenleaf[[#This Row],[Shipment Status]]="Delivered",1,0)</f>
        <v>1</v>
      </c>
    </row>
    <row r="112" spans="1:17" x14ac:dyDescent="0.45">
      <c r="A112" t="s">
        <v>299</v>
      </c>
      <c r="B112">
        <v>45323</v>
      </c>
      <c r="C112" t="s">
        <v>23</v>
      </c>
      <c r="D112" t="s">
        <v>24</v>
      </c>
      <c r="E112">
        <v>5</v>
      </c>
      <c r="F112">
        <v>25</v>
      </c>
      <c r="G112">
        <v>7.16</v>
      </c>
      <c r="H112" t="s">
        <v>300</v>
      </c>
      <c r="I112" t="s">
        <v>167</v>
      </c>
      <c r="J112" t="s">
        <v>27</v>
      </c>
      <c r="K112" t="s">
        <v>34</v>
      </c>
      <c r="L112">
        <f t="shared" si="3"/>
        <v>125</v>
      </c>
      <c r="M112">
        <f t="shared" si="4"/>
        <v>35.799999999999997</v>
      </c>
      <c r="N112">
        <f t="shared" si="5"/>
        <v>89.2</v>
      </c>
      <c r="O112" cm="1">
        <f t="array" ref="O112">_xlfn.LET(_xlpm.cat, Greenleaf[[#This Row],[Product Category]], _xlpm.prices, _xlfn._xlws.FILTER(Greenleaf[Unit Price], (Greenleaf[Product Category]=_xlpm.cat)*(Greenleaf[Unit Price]&lt;&gt;"")), IFERROR(MEDIAN(_xlpm.prices), ""))</f>
        <v>25</v>
      </c>
      <c r="P112">
        <f>IF(Greenleaf[[#This Row],[Shipment Status]]="Returned",1,0)</f>
        <v>0</v>
      </c>
      <c r="Q112">
        <f>IF(Greenleaf[[#This Row],[Shipment Status]]="Delivered",1,0)</f>
        <v>1</v>
      </c>
    </row>
    <row r="113" spans="1:17" x14ac:dyDescent="0.45">
      <c r="A113" t="s">
        <v>301</v>
      </c>
      <c r="B113">
        <v>45323</v>
      </c>
      <c r="C113" t="s">
        <v>30</v>
      </c>
      <c r="D113" t="s">
        <v>31</v>
      </c>
      <c r="E113">
        <v>1</v>
      </c>
      <c r="F113">
        <v>40</v>
      </c>
      <c r="G113">
        <v>13.32</v>
      </c>
      <c r="H113" t="s">
        <v>25</v>
      </c>
      <c r="I113" t="s">
        <v>26</v>
      </c>
      <c r="J113" t="s">
        <v>27</v>
      </c>
      <c r="K113" t="s">
        <v>28</v>
      </c>
      <c r="L113">
        <f t="shared" si="3"/>
        <v>40</v>
      </c>
      <c r="M113">
        <f t="shared" si="4"/>
        <v>13.32</v>
      </c>
      <c r="N113">
        <f t="shared" si="5"/>
        <v>26.68</v>
      </c>
      <c r="O113" cm="1">
        <f t="array" ref="O113">_xlfn.LET(_xlpm.cat, Greenleaf[[#This Row],[Product Category]], _xlpm.prices, _xlfn._xlws.FILTER(Greenleaf[Unit Price], (Greenleaf[Product Category]=_xlpm.cat)*(Greenleaf[Unit Price]&lt;&gt;"")), IFERROR(MEDIAN(_xlpm.prices), ""))</f>
        <v>40</v>
      </c>
      <c r="P113">
        <f>IF(Greenleaf[[#This Row],[Shipment Status]]="Returned",1,0)</f>
        <v>0</v>
      </c>
      <c r="Q113">
        <f>IF(Greenleaf[[#This Row],[Shipment Status]]="Delivered",1,0)</f>
        <v>1</v>
      </c>
    </row>
    <row r="114" spans="1:17" x14ac:dyDescent="0.45">
      <c r="A114" t="s">
        <v>302</v>
      </c>
      <c r="B114">
        <v>45324</v>
      </c>
      <c r="C114" t="s">
        <v>49</v>
      </c>
      <c r="D114" t="s">
        <v>50</v>
      </c>
      <c r="E114">
        <v>8</v>
      </c>
      <c r="F114">
        <v>15</v>
      </c>
      <c r="G114">
        <v>4.83</v>
      </c>
      <c r="H114" t="s">
        <v>303</v>
      </c>
      <c r="I114" t="s">
        <v>214</v>
      </c>
      <c r="J114" t="s">
        <v>47</v>
      </c>
      <c r="K114" t="s">
        <v>134</v>
      </c>
      <c r="L114">
        <f t="shared" si="3"/>
        <v>120</v>
      </c>
      <c r="M114">
        <f t="shared" si="4"/>
        <v>38.64</v>
      </c>
      <c r="N114">
        <f t="shared" si="5"/>
        <v>81.36</v>
      </c>
      <c r="O114" cm="1">
        <f t="array" ref="O114">_xlfn.LET(_xlpm.cat, Greenleaf[[#This Row],[Product Category]], _xlpm.prices, _xlfn._xlws.FILTER(Greenleaf[Unit Price], (Greenleaf[Product Category]=_xlpm.cat)*(Greenleaf[Unit Price]&lt;&gt;"")), IFERROR(MEDIAN(_xlpm.prices), ""))</f>
        <v>15</v>
      </c>
      <c r="P114">
        <f>IF(Greenleaf[[#This Row],[Shipment Status]]="Returned",1,0)</f>
        <v>0</v>
      </c>
      <c r="Q114">
        <f>IF(Greenleaf[[#This Row],[Shipment Status]]="Delivered",1,0)</f>
        <v>0</v>
      </c>
    </row>
    <row r="115" spans="1:17" x14ac:dyDescent="0.45">
      <c r="A115" t="s">
        <v>304</v>
      </c>
      <c r="B115">
        <v>45325</v>
      </c>
      <c r="C115" t="s">
        <v>23</v>
      </c>
      <c r="D115" t="s">
        <v>24</v>
      </c>
      <c r="E115">
        <v>2</v>
      </c>
      <c r="F115">
        <v>25</v>
      </c>
      <c r="G115">
        <v>5.45</v>
      </c>
      <c r="H115" t="s">
        <v>305</v>
      </c>
      <c r="I115" t="s">
        <v>210</v>
      </c>
      <c r="J115" t="s">
        <v>20</v>
      </c>
      <c r="K115" t="s">
        <v>70</v>
      </c>
      <c r="L115">
        <f t="shared" si="3"/>
        <v>50</v>
      </c>
      <c r="M115">
        <f t="shared" si="4"/>
        <v>10.9</v>
      </c>
      <c r="N115">
        <f t="shared" si="5"/>
        <v>39.1</v>
      </c>
      <c r="O115" cm="1">
        <f t="array" ref="O115">_xlfn.LET(_xlpm.cat, Greenleaf[[#This Row],[Product Category]], _xlpm.prices, _xlfn._xlws.FILTER(Greenleaf[Unit Price], (Greenleaf[Product Category]=_xlpm.cat)*(Greenleaf[Unit Price]&lt;&gt;"")), IFERROR(MEDIAN(_xlpm.prices), ""))</f>
        <v>25</v>
      </c>
      <c r="P115">
        <f>IF(Greenleaf[[#This Row],[Shipment Status]]="Returned",1,0)</f>
        <v>0</v>
      </c>
      <c r="Q115">
        <f>IF(Greenleaf[[#This Row],[Shipment Status]]="Delivered",1,0)</f>
        <v>0</v>
      </c>
    </row>
    <row r="116" spans="1:17" x14ac:dyDescent="0.45">
      <c r="A116" t="s">
        <v>306</v>
      </c>
      <c r="B116">
        <v>45326</v>
      </c>
      <c r="C116" t="s">
        <v>23</v>
      </c>
      <c r="D116" t="s">
        <v>24</v>
      </c>
      <c r="E116">
        <v>9</v>
      </c>
      <c r="F116">
        <v>25</v>
      </c>
      <c r="G116">
        <v>6.65</v>
      </c>
      <c r="H116" t="s">
        <v>272</v>
      </c>
      <c r="I116" t="s">
        <v>273</v>
      </c>
      <c r="J116" t="s">
        <v>27</v>
      </c>
      <c r="K116" t="s">
        <v>134</v>
      </c>
      <c r="L116">
        <f t="shared" si="3"/>
        <v>225</v>
      </c>
      <c r="M116">
        <f t="shared" si="4"/>
        <v>59.85</v>
      </c>
      <c r="N116">
        <f t="shared" si="5"/>
        <v>165.15</v>
      </c>
      <c r="O116" cm="1">
        <f t="array" ref="O116">_xlfn.LET(_xlpm.cat, Greenleaf[[#This Row],[Product Category]], _xlpm.prices, _xlfn._xlws.FILTER(Greenleaf[Unit Price], (Greenleaf[Product Category]=_xlpm.cat)*(Greenleaf[Unit Price]&lt;&gt;"")), IFERROR(MEDIAN(_xlpm.prices), ""))</f>
        <v>25</v>
      </c>
      <c r="P116">
        <f>IF(Greenleaf[[#This Row],[Shipment Status]]="Returned",1,0)</f>
        <v>0</v>
      </c>
      <c r="Q116">
        <f>IF(Greenleaf[[#This Row],[Shipment Status]]="Delivered",1,0)</f>
        <v>1</v>
      </c>
    </row>
    <row r="117" spans="1:17" x14ac:dyDescent="0.45">
      <c r="A117" t="s">
        <v>307</v>
      </c>
      <c r="B117">
        <v>45327</v>
      </c>
      <c r="C117" t="s">
        <v>16</v>
      </c>
      <c r="D117" t="s">
        <v>17</v>
      </c>
      <c r="E117">
        <v>1</v>
      </c>
      <c r="F117">
        <v>10</v>
      </c>
      <c r="G117">
        <v>2.91</v>
      </c>
      <c r="H117" t="s">
        <v>124</v>
      </c>
      <c r="I117" t="s">
        <v>125</v>
      </c>
      <c r="J117" t="s">
        <v>27</v>
      </c>
      <c r="K117" t="s">
        <v>70</v>
      </c>
      <c r="L117">
        <f t="shared" si="3"/>
        <v>10</v>
      </c>
      <c r="M117">
        <f t="shared" si="4"/>
        <v>2.91</v>
      </c>
      <c r="N117">
        <f t="shared" si="5"/>
        <v>7.09</v>
      </c>
      <c r="O117" cm="1">
        <f t="array" ref="O117">_xlfn.LET(_xlpm.cat, Greenleaf[[#This Row],[Product Category]], _xlpm.prices, _xlfn._xlws.FILTER(Greenleaf[Unit Price], (Greenleaf[Product Category]=_xlpm.cat)*(Greenleaf[Unit Price]&lt;&gt;"")), IFERROR(MEDIAN(_xlpm.prices), ""))</f>
        <v>10</v>
      </c>
      <c r="P117">
        <f>IF(Greenleaf[[#This Row],[Shipment Status]]="Returned",1,0)</f>
        <v>0</v>
      </c>
      <c r="Q117">
        <f>IF(Greenleaf[[#This Row],[Shipment Status]]="Delivered",1,0)</f>
        <v>1</v>
      </c>
    </row>
    <row r="118" spans="1:17" x14ac:dyDescent="0.45">
      <c r="A118" t="s">
        <v>308</v>
      </c>
      <c r="B118">
        <v>45328</v>
      </c>
      <c r="C118" t="s">
        <v>16</v>
      </c>
      <c r="D118" t="s">
        <v>17</v>
      </c>
      <c r="E118">
        <v>8</v>
      </c>
      <c r="F118">
        <v>10</v>
      </c>
      <c r="G118">
        <v>3.92</v>
      </c>
      <c r="H118" t="s">
        <v>89</v>
      </c>
      <c r="I118" t="s">
        <v>90</v>
      </c>
      <c r="J118" t="s">
        <v>20</v>
      </c>
      <c r="K118" t="s">
        <v>43</v>
      </c>
      <c r="L118">
        <f t="shared" si="3"/>
        <v>80</v>
      </c>
      <c r="M118">
        <f t="shared" si="4"/>
        <v>31.36</v>
      </c>
      <c r="N118">
        <f t="shared" si="5"/>
        <v>48.64</v>
      </c>
      <c r="O118" cm="1">
        <f t="array" ref="O118">_xlfn.LET(_xlpm.cat, Greenleaf[[#This Row],[Product Category]], _xlpm.prices, _xlfn._xlws.FILTER(Greenleaf[Unit Price], (Greenleaf[Product Category]=_xlpm.cat)*(Greenleaf[Unit Price]&lt;&gt;"")), IFERROR(MEDIAN(_xlpm.prices), ""))</f>
        <v>10</v>
      </c>
      <c r="P118">
        <f>IF(Greenleaf[[#This Row],[Shipment Status]]="Returned",1,0)</f>
        <v>0</v>
      </c>
      <c r="Q118">
        <f>IF(Greenleaf[[#This Row],[Shipment Status]]="Delivered",1,0)</f>
        <v>0</v>
      </c>
    </row>
    <row r="119" spans="1:17" x14ac:dyDescent="0.45">
      <c r="A119" t="s">
        <v>309</v>
      </c>
      <c r="B119">
        <v>45328</v>
      </c>
      <c r="C119" t="s">
        <v>49</v>
      </c>
      <c r="D119" t="s">
        <v>50</v>
      </c>
      <c r="E119">
        <v>5</v>
      </c>
      <c r="F119">
        <v>15</v>
      </c>
      <c r="G119">
        <v>4.6100000000000003</v>
      </c>
      <c r="H119" t="s">
        <v>310</v>
      </c>
      <c r="I119" t="s">
        <v>311</v>
      </c>
      <c r="J119" t="s">
        <v>47</v>
      </c>
      <c r="K119" t="s">
        <v>70</v>
      </c>
      <c r="L119">
        <f t="shared" si="3"/>
        <v>75</v>
      </c>
      <c r="M119">
        <f t="shared" si="4"/>
        <v>23.05</v>
      </c>
      <c r="N119">
        <f t="shared" si="5"/>
        <v>51.95</v>
      </c>
      <c r="O119" cm="1">
        <f t="array" ref="O119">_xlfn.LET(_xlpm.cat, Greenleaf[[#This Row],[Product Category]], _xlpm.prices, _xlfn._xlws.FILTER(Greenleaf[Unit Price], (Greenleaf[Product Category]=_xlpm.cat)*(Greenleaf[Unit Price]&lt;&gt;"")), IFERROR(MEDIAN(_xlpm.prices), ""))</f>
        <v>15</v>
      </c>
      <c r="P119">
        <f>IF(Greenleaf[[#This Row],[Shipment Status]]="Returned",1,0)</f>
        <v>0</v>
      </c>
      <c r="Q119">
        <f>IF(Greenleaf[[#This Row],[Shipment Status]]="Delivered",1,0)</f>
        <v>0</v>
      </c>
    </row>
    <row r="120" spans="1:17" x14ac:dyDescent="0.45">
      <c r="A120" t="s">
        <v>312</v>
      </c>
      <c r="B120">
        <v>45328</v>
      </c>
      <c r="C120" t="s">
        <v>16</v>
      </c>
      <c r="D120" t="s">
        <v>17</v>
      </c>
      <c r="E120">
        <v>4</v>
      </c>
      <c r="F120">
        <v>10</v>
      </c>
      <c r="G120">
        <v>3.17</v>
      </c>
      <c r="H120" t="s">
        <v>313</v>
      </c>
      <c r="I120" t="s">
        <v>314</v>
      </c>
      <c r="J120" t="s">
        <v>27</v>
      </c>
      <c r="K120" t="s">
        <v>43</v>
      </c>
      <c r="L120">
        <f t="shared" si="3"/>
        <v>40</v>
      </c>
      <c r="M120">
        <f t="shared" si="4"/>
        <v>12.68</v>
      </c>
      <c r="N120">
        <f t="shared" si="5"/>
        <v>27.32</v>
      </c>
      <c r="O120" cm="1">
        <f t="array" ref="O120">_xlfn.LET(_xlpm.cat, Greenleaf[[#This Row],[Product Category]], _xlpm.prices, _xlfn._xlws.FILTER(Greenleaf[Unit Price], (Greenleaf[Product Category]=_xlpm.cat)*(Greenleaf[Unit Price]&lt;&gt;"")), IFERROR(MEDIAN(_xlpm.prices), ""))</f>
        <v>10</v>
      </c>
      <c r="P120">
        <f>IF(Greenleaf[[#This Row],[Shipment Status]]="Returned",1,0)</f>
        <v>0</v>
      </c>
      <c r="Q120">
        <f>IF(Greenleaf[[#This Row],[Shipment Status]]="Delivered",1,0)</f>
        <v>1</v>
      </c>
    </row>
    <row r="121" spans="1:17" x14ac:dyDescent="0.45">
      <c r="A121" t="s">
        <v>315</v>
      </c>
      <c r="B121">
        <v>45328</v>
      </c>
      <c r="C121" t="s">
        <v>30</v>
      </c>
      <c r="D121" t="s">
        <v>31</v>
      </c>
      <c r="E121">
        <v>5</v>
      </c>
      <c r="F121">
        <v>40</v>
      </c>
      <c r="G121">
        <v>11.02</v>
      </c>
      <c r="H121" t="s">
        <v>194</v>
      </c>
      <c r="I121" t="s">
        <v>195</v>
      </c>
      <c r="J121" t="s">
        <v>27</v>
      </c>
      <c r="K121" t="s">
        <v>21</v>
      </c>
      <c r="L121">
        <f t="shared" si="3"/>
        <v>200</v>
      </c>
      <c r="M121">
        <f t="shared" si="4"/>
        <v>55.099999999999994</v>
      </c>
      <c r="N121">
        <f t="shared" si="5"/>
        <v>144.9</v>
      </c>
      <c r="O121" cm="1">
        <f t="array" ref="O121">_xlfn.LET(_xlpm.cat, Greenleaf[[#This Row],[Product Category]], _xlpm.prices, _xlfn._xlws.FILTER(Greenleaf[Unit Price], (Greenleaf[Product Category]=_xlpm.cat)*(Greenleaf[Unit Price]&lt;&gt;"")), IFERROR(MEDIAN(_xlpm.prices), ""))</f>
        <v>40</v>
      </c>
      <c r="P121">
        <f>IF(Greenleaf[[#This Row],[Shipment Status]]="Returned",1,0)</f>
        <v>0</v>
      </c>
      <c r="Q121">
        <f>IF(Greenleaf[[#This Row],[Shipment Status]]="Delivered",1,0)</f>
        <v>1</v>
      </c>
    </row>
    <row r="122" spans="1:17" x14ac:dyDescent="0.45">
      <c r="A122" t="s">
        <v>316</v>
      </c>
      <c r="B122">
        <v>45328</v>
      </c>
      <c r="C122" t="s">
        <v>30</v>
      </c>
      <c r="D122" t="s">
        <v>31</v>
      </c>
      <c r="E122">
        <v>1</v>
      </c>
      <c r="F122">
        <v>40</v>
      </c>
      <c r="G122">
        <v>12.28</v>
      </c>
      <c r="H122" t="s">
        <v>230</v>
      </c>
      <c r="I122" t="s">
        <v>225</v>
      </c>
      <c r="J122" t="s">
        <v>27</v>
      </c>
      <c r="K122" t="s">
        <v>56</v>
      </c>
      <c r="L122">
        <f t="shared" si="3"/>
        <v>40</v>
      </c>
      <c r="M122">
        <f t="shared" si="4"/>
        <v>12.28</v>
      </c>
      <c r="N122">
        <f t="shared" si="5"/>
        <v>27.72</v>
      </c>
      <c r="O122" cm="1">
        <f t="array" ref="O122">_xlfn.LET(_xlpm.cat, Greenleaf[[#This Row],[Product Category]], _xlpm.prices, _xlfn._xlws.FILTER(Greenleaf[Unit Price], (Greenleaf[Product Category]=_xlpm.cat)*(Greenleaf[Unit Price]&lt;&gt;"")), IFERROR(MEDIAN(_xlpm.prices), ""))</f>
        <v>40</v>
      </c>
      <c r="P122">
        <f>IF(Greenleaf[[#This Row],[Shipment Status]]="Returned",1,0)</f>
        <v>0</v>
      </c>
      <c r="Q122">
        <f>IF(Greenleaf[[#This Row],[Shipment Status]]="Delivered",1,0)</f>
        <v>1</v>
      </c>
    </row>
    <row r="123" spans="1:17" x14ac:dyDescent="0.45">
      <c r="A123" t="s">
        <v>317</v>
      </c>
      <c r="B123">
        <v>45329</v>
      </c>
      <c r="C123" t="s">
        <v>66</v>
      </c>
      <c r="D123" t="s">
        <v>67</v>
      </c>
      <c r="E123">
        <v>10</v>
      </c>
      <c r="F123">
        <v>12</v>
      </c>
      <c r="G123">
        <v>3.91</v>
      </c>
      <c r="H123" t="s">
        <v>318</v>
      </c>
      <c r="I123" t="s">
        <v>319</v>
      </c>
      <c r="J123" t="s">
        <v>20</v>
      </c>
      <c r="K123" t="s">
        <v>70</v>
      </c>
      <c r="L123">
        <f t="shared" si="3"/>
        <v>120</v>
      </c>
      <c r="M123">
        <f t="shared" si="4"/>
        <v>39.1</v>
      </c>
      <c r="N123">
        <f t="shared" si="5"/>
        <v>80.900000000000006</v>
      </c>
      <c r="O123" cm="1">
        <f t="array" ref="O123">_xlfn.LET(_xlpm.cat, Greenleaf[[#This Row],[Product Category]], _xlpm.prices, _xlfn._xlws.FILTER(Greenleaf[Unit Price], (Greenleaf[Product Category]=_xlpm.cat)*(Greenleaf[Unit Price]&lt;&gt;"")), IFERROR(MEDIAN(_xlpm.prices), ""))</f>
        <v>12</v>
      </c>
      <c r="P123">
        <f>IF(Greenleaf[[#This Row],[Shipment Status]]="Returned",1,0)</f>
        <v>0</v>
      </c>
      <c r="Q123">
        <f>IF(Greenleaf[[#This Row],[Shipment Status]]="Delivered",1,0)</f>
        <v>0</v>
      </c>
    </row>
    <row r="124" spans="1:17" x14ac:dyDescent="0.45">
      <c r="A124" t="s">
        <v>320</v>
      </c>
      <c r="B124">
        <v>45329</v>
      </c>
      <c r="C124" t="s">
        <v>30</v>
      </c>
      <c r="D124" t="s">
        <v>31</v>
      </c>
      <c r="E124">
        <v>6</v>
      </c>
      <c r="F124">
        <v>40</v>
      </c>
      <c r="G124">
        <v>15</v>
      </c>
      <c r="H124" t="s">
        <v>321</v>
      </c>
      <c r="I124" t="s">
        <v>322</v>
      </c>
      <c r="J124" t="s">
        <v>27</v>
      </c>
      <c r="K124" t="s">
        <v>28</v>
      </c>
      <c r="L124">
        <f t="shared" si="3"/>
        <v>240</v>
      </c>
      <c r="M124">
        <f t="shared" si="4"/>
        <v>90</v>
      </c>
      <c r="N124">
        <f t="shared" si="5"/>
        <v>150</v>
      </c>
      <c r="O124" cm="1">
        <f t="array" ref="O124">_xlfn.LET(_xlpm.cat, Greenleaf[[#This Row],[Product Category]], _xlpm.prices, _xlfn._xlws.FILTER(Greenleaf[Unit Price], (Greenleaf[Product Category]=_xlpm.cat)*(Greenleaf[Unit Price]&lt;&gt;"")), IFERROR(MEDIAN(_xlpm.prices), ""))</f>
        <v>40</v>
      </c>
      <c r="P124">
        <f>IF(Greenleaf[[#This Row],[Shipment Status]]="Returned",1,0)</f>
        <v>0</v>
      </c>
      <c r="Q124">
        <f>IF(Greenleaf[[#This Row],[Shipment Status]]="Delivered",1,0)</f>
        <v>1</v>
      </c>
    </row>
    <row r="125" spans="1:17" x14ac:dyDescent="0.45">
      <c r="A125" t="s">
        <v>323</v>
      </c>
      <c r="B125">
        <v>45330</v>
      </c>
      <c r="C125" t="s">
        <v>49</v>
      </c>
      <c r="D125" t="s">
        <v>50</v>
      </c>
      <c r="E125">
        <v>7</v>
      </c>
      <c r="F125">
        <v>15</v>
      </c>
      <c r="G125">
        <v>5.54</v>
      </c>
      <c r="H125" t="s">
        <v>324</v>
      </c>
      <c r="I125" t="s">
        <v>62</v>
      </c>
      <c r="J125" t="s">
        <v>20</v>
      </c>
      <c r="K125" t="s">
        <v>43</v>
      </c>
      <c r="L125">
        <f t="shared" si="3"/>
        <v>105</v>
      </c>
      <c r="M125">
        <f t="shared" si="4"/>
        <v>38.78</v>
      </c>
      <c r="N125">
        <f t="shared" si="5"/>
        <v>66.22</v>
      </c>
      <c r="O125" cm="1">
        <f t="array" ref="O125">_xlfn.LET(_xlpm.cat, Greenleaf[[#This Row],[Product Category]], _xlpm.prices, _xlfn._xlws.FILTER(Greenleaf[Unit Price], (Greenleaf[Product Category]=_xlpm.cat)*(Greenleaf[Unit Price]&lt;&gt;"")), IFERROR(MEDIAN(_xlpm.prices), ""))</f>
        <v>15</v>
      </c>
      <c r="P125">
        <f>IF(Greenleaf[[#This Row],[Shipment Status]]="Returned",1,0)</f>
        <v>0</v>
      </c>
      <c r="Q125">
        <f>IF(Greenleaf[[#This Row],[Shipment Status]]="Delivered",1,0)</f>
        <v>0</v>
      </c>
    </row>
    <row r="126" spans="1:17" x14ac:dyDescent="0.45">
      <c r="A126" t="s">
        <v>325</v>
      </c>
      <c r="B126">
        <v>45330</v>
      </c>
      <c r="C126" t="s">
        <v>49</v>
      </c>
      <c r="D126" t="s">
        <v>50</v>
      </c>
      <c r="E126">
        <v>7</v>
      </c>
      <c r="F126">
        <v>15</v>
      </c>
      <c r="G126">
        <v>3.16</v>
      </c>
      <c r="H126" t="s">
        <v>326</v>
      </c>
      <c r="I126" t="s">
        <v>327</v>
      </c>
      <c r="J126" t="s">
        <v>27</v>
      </c>
      <c r="K126" t="s">
        <v>43</v>
      </c>
      <c r="L126">
        <f t="shared" si="3"/>
        <v>105</v>
      </c>
      <c r="M126">
        <f t="shared" si="4"/>
        <v>22.12</v>
      </c>
      <c r="N126">
        <f t="shared" si="5"/>
        <v>82.88</v>
      </c>
      <c r="O126" cm="1">
        <f t="array" ref="O126">_xlfn.LET(_xlpm.cat, Greenleaf[[#This Row],[Product Category]], _xlpm.prices, _xlfn._xlws.FILTER(Greenleaf[Unit Price], (Greenleaf[Product Category]=_xlpm.cat)*(Greenleaf[Unit Price]&lt;&gt;"")), IFERROR(MEDIAN(_xlpm.prices), ""))</f>
        <v>15</v>
      </c>
      <c r="P126">
        <f>IF(Greenleaf[[#This Row],[Shipment Status]]="Returned",1,0)</f>
        <v>0</v>
      </c>
      <c r="Q126">
        <f>IF(Greenleaf[[#This Row],[Shipment Status]]="Delivered",1,0)</f>
        <v>1</v>
      </c>
    </row>
    <row r="127" spans="1:17" x14ac:dyDescent="0.45">
      <c r="A127" t="s">
        <v>328</v>
      </c>
      <c r="B127">
        <v>45330</v>
      </c>
      <c r="C127" t="s">
        <v>49</v>
      </c>
      <c r="D127" t="s">
        <v>50</v>
      </c>
      <c r="E127">
        <v>5</v>
      </c>
      <c r="F127">
        <v>15</v>
      </c>
      <c r="G127">
        <v>4.28</v>
      </c>
      <c r="H127" t="s">
        <v>329</v>
      </c>
      <c r="I127" t="s">
        <v>195</v>
      </c>
      <c r="J127" t="s">
        <v>20</v>
      </c>
      <c r="K127" t="s">
        <v>28</v>
      </c>
      <c r="L127">
        <f t="shared" si="3"/>
        <v>75</v>
      </c>
      <c r="M127">
        <f t="shared" si="4"/>
        <v>21.400000000000002</v>
      </c>
      <c r="N127">
        <f t="shared" si="5"/>
        <v>53.599999999999994</v>
      </c>
      <c r="O127" cm="1">
        <f t="array" ref="O127">_xlfn.LET(_xlpm.cat, Greenleaf[[#This Row],[Product Category]], _xlpm.prices, _xlfn._xlws.FILTER(Greenleaf[Unit Price], (Greenleaf[Product Category]=_xlpm.cat)*(Greenleaf[Unit Price]&lt;&gt;"")), IFERROR(MEDIAN(_xlpm.prices), ""))</f>
        <v>15</v>
      </c>
      <c r="P127">
        <f>IF(Greenleaf[[#This Row],[Shipment Status]]="Returned",1,0)</f>
        <v>0</v>
      </c>
      <c r="Q127">
        <f>IF(Greenleaf[[#This Row],[Shipment Status]]="Delivered",1,0)</f>
        <v>0</v>
      </c>
    </row>
    <row r="128" spans="1:17" x14ac:dyDescent="0.45">
      <c r="A128" t="s">
        <v>330</v>
      </c>
      <c r="B128">
        <v>45331</v>
      </c>
      <c r="C128" t="s">
        <v>66</v>
      </c>
      <c r="D128" t="s">
        <v>67</v>
      </c>
      <c r="E128">
        <v>6</v>
      </c>
      <c r="F128">
        <v>12</v>
      </c>
      <c r="G128">
        <v>3.5</v>
      </c>
      <c r="H128" t="s">
        <v>104</v>
      </c>
      <c r="I128" t="s">
        <v>105</v>
      </c>
      <c r="J128" t="s">
        <v>27</v>
      </c>
      <c r="K128" t="s">
        <v>70</v>
      </c>
      <c r="L128">
        <f t="shared" si="3"/>
        <v>72</v>
      </c>
      <c r="M128">
        <f t="shared" si="4"/>
        <v>21</v>
      </c>
      <c r="N128">
        <f t="shared" si="5"/>
        <v>51</v>
      </c>
      <c r="O128" cm="1">
        <f t="array" ref="O128">_xlfn.LET(_xlpm.cat, Greenleaf[[#This Row],[Product Category]], _xlpm.prices, _xlfn._xlws.FILTER(Greenleaf[Unit Price], (Greenleaf[Product Category]=_xlpm.cat)*(Greenleaf[Unit Price]&lt;&gt;"")), IFERROR(MEDIAN(_xlpm.prices), ""))</f>
        <v>12</v>
      </c>
      <c r="P128">
        <f>IF(Greenleaf[[#This Row],[Shipment Status]]="Returned",1,0)</f>
        <v>0</v>
      </c>
      <c r="Q128">
        <f>IF(Greenleaf[[#This Row],[Shipment Status]]="Delivered",1,0)</f>
        <v>1</v>
      </c>
    </row>
    <row r="129" spans="1:17" x14ac:dyDescent="0.45">
      <c r="A129" t="s">
        <v>331</v>
      </c>
      <c r="B129">
        <v>45332</v>
      </c>
      <c r="C129" t="s">
        <v>66</v>
      </c>
      <c r="D129" t="s">
        <v>67</v>
      </c>
      <c r="E129">
        <v>10</v>
      </c>
      <c r="F129">
        <v>12</v>
      </c>
      <c r="G129">
        <v>2.52</v>
      </c>
      <c r="H129" t="s">
        <v>332</v>
      </c>
      <c r="I129" t="s">
        <v>333</v>
      </c>
      <c r="J129" t="s">
        <v>27</v>
      </c>
      <c r="K129" t="s">
        <v>28</v>
      </c>
      <c r="L129">
        <f t="shared" si="3"/>
        <v>120</v>
      </c>
      <c r="M129">
        <f t="shared" si="4"/>
        <v>25.2</v>
      </c>
      <c r="N129">
        <f t="shared" si="5"/>
        <v>94.8</v>
      </c>
      <c r="O129" cm="1">
        <f t="array" ref="O129">_xlfn.LET(_xlpm.cat, Greenleaf[[#This Row],[Product Category]], _xlpm.prices, _xlfn._xlws.FILTER(Greenleaf[Unit Price], (Greenleaf[Product Category]=_xlpm.cat)*(Greenleaf[Unit Price]&lt;&gt;"")), IFERROR(MEDIAN(_xlpm.prices), ""))</f>
        <v>12</v>
      </c>
      <c r="P129">
        <f>IF(Greenleaf[[#This Row],[Shipment Status]]="Returned",1,0)</f>
        <v>0</v>
      </c>
      <c r="Q129">
        <f>IF(Greenleaf[[#This Row],[Shipment Status]]="Delivered",1,0)</f>
        <v>1</v>
      </c>
    </row>
    <row r="130" spans="1:17" x14ac:dyDescent="0.45">
      <c r="A130" t="s">
        <v>334</v>
      </c>
      <c r="B130">
        <v>45334</v>
      </c>
      <c r="C130" t="s">
        <v>23</v>
      </c>
      <c r="D130" t="s">
        <v>24</v>
      </c>
      <c r="E130">
        <v>8</v>
      </c>
      <c r="F130">
        <v>25</v>
      </c>
      <c r="G130">
        <v>8.44</v>
      </c>
      <c r="H130" t="s">
        <v>335</v>
      </c>
      <c r="I130" t="s">
        <v>333</v>
      </c>
      <c r="J130" t="s">
        <v>42</v>
      </c>
      <c r="K130" t="s">
        <v>43</v>
      </c>
      <c r="L130">
        <f t="shared" ref="L130:L193" si="6">E130*F130</f>
        <v>200</v>
      </c>
      <c r="M130">
        <f t="shared" ref="M130:M193" si="7">E130*G130</f>
        <v>67.52</v>
      </c>
      <c r="N130">
        <f t="shared" ref="N130:N193" si="8">L130-M130</f>
        <v>132.48000000000002</v>
      </c>
      <c r="O130" cm="1">
        <f t="array" ref="O130">_xlfn.LET(_xlpm.cat, Greenleaf[[#This Row],[Product Category]], _xlpm.prices, _xlfn._xlws.FILTER(Greenleaf[Unit Price], (Greenleaf[Product Category]=_xlpm.cat)*(Greenleaf[Unit Price]&lt;&gt;"")), IFERROR(MEDIAN(_xlpm.prices), ""))</f>
        <v>25</v>
      </c>
      <c r="P130">
        <f>IF(Greenleaf[[#This Row],[Shipment Status]]="Returned",1,0)</f>
        <v>1</v>
      </c>
      <c r="Q130">
        <f>IF(Greenleaf[[#This Row],[Shipment Status]]="Delivered",1,0)</f>
        <v>0</v>
      </c>
    </row>
    <row r="131" spans="1:17" x14ac:dyDescent="0.45">
      <c r="A131" t="s">
        <v>336</v>
      </c>
      <c r="B131">
        <v>45335</v>
      </c>
      <c r="C131" t="s">
        <v>16</v>
      </c>
      <c r="D131" t="s">
        <v>17</v>
      </c>
      <c r="E131">
        <v>9</v>
      </c>
      <c r="F131">
        <v>10</v>
      </c>
      <c r="G131">
        <v>3.45</v>
      </c>
      <c r="H131" t="s">
        <v>337</v>
      </c>
      <c r="I131" t="s">
        <v>183</v>
      </c>
      <c r="J131" t="s">
        <v>27</v>
      </c>
      <c r="K131" t="s">
        <v>21</v>
      </c>
      <c r="L131">
        <f t="shared" si="6"/>
        <v>90</v>
      </c>
      <c r="M131">
        <f t="shared" si="7"/>
        <v>31.05</v>
      </c>
      <c r="N131">
        <f t="shared" si="8"/>
        <v>58.95</v>
      </c>
      <c r="O131" cm="1">
        <f t="array" ref="O131">_xlfn.LET(_xlpm.cat, Greenleaf[[#This Row],[Product Category]], _xlpm.prices, _xlfn._xlws.FILTER(Greenleaf[Unit Price], (Greenleaf[Product Category]=_xlpm.cat)*(Greenleaf[Unit Price]&lt;&gt;"")), IFERROR(MEDIAN(_xlpm.prices), ""))</f>
        <v>10</v>
      </c>
      <c r="P131">
        <f>IF(Greenleaf[[#This Row],[Shipment Status]]="Returned",1,0)</f>
        <v>0</v>
      </c>
      <c r="Q131">
        <f>IF(Greenleaf[[#This Row],[Shipment Status]]="Delivered",1,0)</f>
        <v>1</v>
      </c>
    </row>
    <row r="132" spans="1:17" x14ac:dyDescent="0.45">
      <c r="A132" t="s">
        <v>338</v>
      </c>
      <c r="B132">
        <v>45335</v>
      </c>
      <c r="C132" t="s">
        <v>49</v>
      </c>
      <c r="D132" t="s">
        <v>50</v>
      </c>
      <c r="E132">
        <v>3</v>
      </c>
      <c r="F132">
        <v>15</v>
      </c>
      <c r="G132">
        <v>4.2699999999999996</v>
      </c>
      <c r="H132" t="s">
        <v>232</v>
      </c>
      <c r="I132" t="s">
        <v>93</v>
      </c>
      <c r="J132" t="s">
        <v>20</v>
      </c>
      <c r="K132" t="s">
        <v>43</v>
      </c>
      <c r="L132">
        <f t="shared" si="6"/>
        <v>45</v>
      </c>
      <c r="M132">
        <f t="shared" si="7"/>
        <v>12.809999999999999</v>
      </c>
      <c r="N132">
        <f t="shared" si="8"/>
        <v>32.19</v>
      </c>
      <c r="O132" cm="1">
        <f t="array" ref="O132">_xlfn.LET(_xlpm.cat, Greenleaf[[#This Row],[Product Category]], _xlpm.prices, _xlfn._xlws.FILTER(Greenleaf[Unit Price], (Greenleaf[Product Category]=_xlpm.cat)*(Greenleaf[Unit Price]&lt;&gt;"")), IFERROR(MEDIAN(_xlpm.prices), ""))</f>
        <v>15</v>
      </c>
      <c r="P132">
        <f>IF(Greenleaf[[#This Row],[Shipment Status]]="Returned",1,0)</f>
        <v>0</v>
      </c>
      <c r="Q132">
        <f>IF(Greenleaf[[#This Row],[Shipment Status]]="Delivered",1,0)</f>
        <v>0</v>
      </c>
    </row>
    <row r="133" spans="1:17" x14ac:dyDescent="0.45">
      <c r="A133" t="s">
        <v>339</v>
      </c>
      <c r="B133">
        <v>45335</v>
      </c>
      <c r="C133" t="s">
        <v>16</v>
      </c>
      <c r="D133" t="s">
        <v>17</v>
      </c>
      <c r="E133">
        <v>9</v>
      </c>
      <c r="F133">
        <v>10</v>
      </c>
      <c r="G133">
        <v>3.07</v>
      </c>
      <c r="H133" t="s">
        <v>329</v>
      </c>
      <c r="I133" t="s">
        <v>195</v>
      </c>
      <c r="J133" t="s">
        <v>20</v>
      </c>
      <c r="K133" t="s">
        <v>70</v>
      </c>
      <c r="L133">
        <f t="shared" si="6"/>
        <v>90</v>
      </c>
      <c r="M133">
        <f t="shared" si="7"/>
        <v>27.63</v>
      </c>
      <c r="N133">
        <f t="shared" si="8"/>
        <v>62.370000000000005</v>
      </c>
      <c r="O133" cm="1">
        <f t="array" ref="O133">_xlfn.LET(_xlpm.cat, Greenleaf[[#This Row],[Product Category]], _xlpm.prices, _xlfn._xlws.FILTER(Greenleaf[Unit Price], (Greenleaf[Product Category]=_xlpm.cat)*(Greenleaf[Unit Price]&lt;&gt;"")), IFERROR(MEDIAN(_xlpm.prices), ""))</f>
        <v>10</v>
      </c>
      <c r="P133">
        <f>IF(Greenleaf[[#This Row],[Shipment Status]]="Returned",1,0)</f>
        <v>0</v>
      </c>
      <c r="Q133">
        <f>IF(Greenleaf[[#This Row],[Shipment Status]]="Delivered",1,0)</f>
        <v>0</v>
      </c>
    </row>
    <row r="134" spans="1:17" x14ac:dyDescent="0.45">
      <c r="A134" t="s">
        <v>340</v>
      </c>
      <c r="B134">
        <v>45336</v>
      </c>
      <c r="C134" t="s">
        <v>30</v>
      </c>
      <c r="D134" t="s">
        <v>31</v>
      </c>
      <c r="E134">
        <v>7</v>
      </c>
      <c r="F134">
        <v>40</v>
      </c>
      <c r="G134">
        <v>12.58</v>
      </c>
      <c r="H134" t="s">
        <v>25</v>
      </c>
      <c r="I134" t="s">
        <v>26</v>
      </c>
      <c r="J134" t="s">
        <v>47</v>
      </c>
      <c r="K134" t="s">
        <v>59</v>
      </c>
      <c r="L134">
        <f t="shared" si="6"/>
        <v>280</v>
      </c>
      <c r="M134">
        <f t="shared" si="7"/>
        <v>88.06</v>
      </c>
      <c r="N134">
        <f t="shared" si="8"/>
        <v>191.94</v>
      </c>
      <c r="O134" cm="1">
        <f t="array" ref="O134">_xlfn.LET(_xlpm.cat, Greenleaf[[#This Row],[Product Category]], _xlpm.prices, _xlfn._xlws.FILTER(Greenleaf[Unit Price], (Greenleaf[Product Category]=_xlpm.cat)*(Greenleaf[Unit Price]&lt;&gt;"")), IFERROR(MEDIAN(_xlpm.prices), ""))</f>
        <v>40</v>
      </c>
      <c r="P134">
        <f>IF(Greenleaf[[#This Row],[Shipment Status]]="Returned",1,0)</f>
        <v>0</v>
      </c>
      <c r="Q134">
        <f>IF(Greenleaf[[#This Row],[Shipment Status]]="Delivered",1,0)</f>
        <v>0</v>
      </c>
    </row>
    <row r="135" spans="1:17" x14ac:dyDescent="0.45">
      <c r="A135" t="s">
        <v>341</v>
      </c>
      <c r="B135">
        <v>45336</v>
      </c>
      <c r="C135" t="s">
        <v>30</v>
      </c>
      <c r="D135" t="s">
        <v>31</v>
      </c>
      <c r="E135">
        <v>2</v>
      </c>
      <c r="F135">
        <v>40</v>
      </c>
      <c r="G135">
        <v>9.66</v>
      </c>
      <c r="H135" t="s">
        <v>171</v>
      </c>
      <c r="I135" t="s">
        <v>172</v>
      </c>
      <c r="J135" t="s">
        <v>42</v>
      </c>
      <c r="K135" t="s">
        <v>43</v>
      </c>
      <c r="L135">
        <f t="shared" si="6"/>
        <v>80</v>
      </c>
      <c r="M135">
        <f t="shared" si="7"/>
        <v>19.32</v>
      </c>
      <c r="N135">
        <f t="shared" si="8"/>
        <v>60.68</v>
      </c>
      <c r="O135" cm="1">
        <f t="array" ref="O135">_xlfn.LET(_xlpm.cat, Greenleaf[[#This Row],[Product Category]], _xlpm.prices, _xlfn._xlws.FILTER(Greenleaf[Unit Price], (Greenleaf[Product Category]=_xlpm.cat)*(Greenleaf[Unit Price]&lt;&gt;"")), IFERROR(MEDIAN(_xlpm.prices), ""))</f>
        <v>40</v>
      </c>
      <c r="P135">
        <f>IF(Greenleaf[[#This Row],[Shipment Status]]="Returned",1,0)</f>
        <v>1</v>
      </c>
      <c r="Q135">
        <f>IF(Greenleaf[[#This Row],[Shipment Status]]="Delivered",1,0)</f>
        <v>0</v>
      </c>
    </row>
    <row r="136" spans="1:17" x14ac:dyDescent="0.45">
      <c r="A136" t="s">
        <v>342</v>
      </c>
      <c r="B136">
        <v>45336</v>
      </c>
      <c r="C136" t="s">
        <v>23</v>
      </c>
      <c r="D136" t="s">
        <v>24</v>
      </c>
      <c r="E136">
        <v>2</v>
      </c>
      <c r="F136">
        <v>25</v>
      </c>
      <c r="G136">
        <v>9.7100000000000009</v>
      </c>
      <c r="H136" t="s">
        <v>235</v>
      </c>
      <c r="I136" t="s">
        <v>236</v>
      </c>
      <c r="J136" t="s">
        <v>27</v>
      </c>
      <c r="K136" t="s">
        <v>43</v>
      </c>
      <c r="L136">
        <f t="shared" si="6"/>
        <v>50</v>
      </c>
      <c r="M136">
        <f t="shared" si="7"/>
        <v>19.420000000000002</v>
      </c>
      <c r="N136">
        <f t="shared" si="8"/>
        <v>30.58</v>
      </c>
      <c r="O136" cm="1">
        <f t="array" ref="O136">_xlfn.LET(_xlpm.cat, Greenleaf[[#This Row],[Product Category]], _xlpm.prices, _xlfn._xlws.FILTER(Greenleaf[Unit Price], (Greenleaf[Product Category]=_xlpm.cat)*(Greenleaf[Unit Price]&lt;&gt;"")), IFERROR(MEDIAN(_xlpm.prices), ""))</f>
        <v>25</v>
      </c>
      <c r="P136">
        <f>IF(Greenleaf[[#This Row],[Shipment Status]]="Returned",1,0)</f>
        <v>0</v>
      </c>
      <c r="Q136">
        <f>IF(Greenleaf[[#This Row],[Shipment Status]]="Delivered",1,0)</f>
        <v>1</v>
      </c>
    </row>
    <row r="137" spans="1:17" x14ac:dyDescent="0.45">
      <c r="A137" t="s">
        <v>343</v>
      </c>
      <c r="B137">
        <v>45337</v>
      </c>
      <c r="C137" t="s">
        <v>30</v>
      </c>
      <c r="D137" t="s">
        <v>31</v>
      </c>
      <c r="E137">
        <v>10</v>
      </c>
      <c r="F137">
        <v>40</v>
      </c>
      <c r="G137">
        <v>14.95</v>
      </c>
      <c r="H137" t="s">
        <v>344</v>
      </c>
      <c r="I137" t="s">
        <v>277</v>
      </c>
      <c r="J137" t="s">
        <v>27</v>
      </c>
      <c r="K137" t="s">
        <v>134</v>
      </c>
      <c r="L137">
        <f t="shared" si="6"/>
        <v>400</v>
      </c>
      <c r="M137">
        <f t="shared" si="7"/>
        <v>149.5</v>
      </c>
      <c r="N137">
        <f t="shared" si="8"/>
        <v>250.5</v>
      </c>
      <c r="O137" cm="1">
        <f t="array" ref="O137">_xlfn.LET(_xlpm.cat, Greenleaf[[#This Row],[Product Category]], _xlpm.prices, _xlfn._xlws.FILTER(Greenleaf[Unit Price], (Greenleaf[Product Category]=_xlpm.cat)*(Greenleaf[Unit Price]&lt;&gt;"")), IFERROR(MEDIAN(_xlpm.prices), ""))</f>
        <v>40</v>
      </c>
      <c r="P137">
        <f>IF(Greenleaf[[#This Row],[Shipment Status]]="Returned",1,0)</f>
        <v>0</v>
      </c>
      <c r="Q137">
        <f>IF(Greenleaf[[#This Row],[Shipment Status]]="Delivered",1,0)</f>
        <v>1</v>
      </c>
    </row>
    <row r="138" spans="1:17" x14ac:dyDescent="0.45">
      <c r="A138" t="s">
        <v>345</v>
      </c>
      <c r="B138">
        <v>45337</v>
      </c>
      <c r="C138" t="s">
        <v>66</v>
      </c>
      <c r="D138" t="s">
        <v>67</v>
      </c>
      <c r="E138">
        <v>5</v>
      </c>
      <c r="F138">
        <v>12</v>
      </c>
      <c r="G138">
        <v>3.63</v>
      </c>
      <c r="H138" t="s">
        <v>326</v>
      </c>
      <c r="I138" t="s">
        <v>327</v>
      </c>
      <c r="J138" t="s">
        <v>27</v>
      </c>
      <c r="K138" t="s">
        <v>28</v>
      </c>
      <c r="L138">
        <f t="shared" si="6"/>
        <v>60</v>
      </c>
      <c r="M138">
        <f t="shared" si="7"/>
        <v>18.149999999999999</v>
      </c>
      <c r="N138">
        <f t="shared" si="8"/>
        <v>41.85</v>
      </c>
      <c r="O138" cm="1">
        <f t="array" ref="O138">_xlfn.LET(_xlpm.cat, Greenleaf[[#This Row],[Product Category]], _xlpm.prices, _xlfn._xlws.FILTER(Greenleaf[Unit Price], (Greenleaf[Product Category]=_xlpm.cat)*(Greenleaf[Unit Price]&lt;&gt;"")), IFERROR(MEDIAN(_xlpm.prices), ""))</f>
        <v>12</v>
      </c>
      <c r="P138">
        <f>IF(Greenleaf[[#This Row],[Shipment Status]]="Returned",1,0)</f>
        <v>0</v>
      </c>
      <c r="Q138">
        <f>IF(Greenleaf[[#This Row],[Shipment Status]]="Delivered",1,0)</f>
        <v>1</v>
      </c>
    </row>
    <row r="139" spans="1:17" x14ac:dyDescent="0.45">
      <c r="A139" t="s">
        <v>346</v>
      </c>
      <c r="B139">
        <v>45337</v>
      </c>
      <c r="C139" t="s">
        <v>23</v>
      </c>
      <c r="D139" t="s">
        <v>24</v>
      </c>
      <c r="E139">
        <v>2</v>
      </c>
      <c r="F139">
        <v>25</v>
      </c>
      <c r="G139">
        <v>8.08</v>
      </c>
      <c r="H139" t="s">
        <v>337</v>
      </c>
      <c r="I139" t="s">
        <v>183</v>
      </c>
      <c r="J139" t="s">
        <v>27</v>
      </c>
      <c r="K139" t="s">
        <v>28</v>
      </c>
      <c r="L139">
        <f t="shared" si="6"/>
        <v>50</v>
      </c>
      <c r="M139">
        <f t="shared" si="7"/>
        <v>16.16</v>
      </c>
      <c r="N139">
        <f t="shared" si="8"/>
        <v>33.840000000000003</v>
      </c>
      <c r="O139" cm="1">
        <f t="array" ref="O139">_xlfn.LET(_xlpm.cat, Greenleaf[[#This Row],[Product Category]], _xlpm.prices, _xlfn._xlws.FILTER(Greenleaf[Unit Price], (Greenleaf[Product Category]=_xlpm.cat)*(Greenleaf[Unit Price]&lt;&gt;"")), IFERROR(MEDIAN(_xlpm.prices), ""))</f>
        <v>25</v>
      </c>
      <c r="P139">
        <f>IF(Greenleaf[[#This Row],[Shipment Status]]="Returned",1,0)</f>
        <v>0</v>
      </c>
      <c r="Q139">
        <f>IF(Greenleaf[[#This Row],[Shipment Status]]="Delivered",1,0)</f>
        <v>1</v>
      </c>
    </row>
    <row r="140" spans="1:17" x14ac:dyDescent="0.45">
      <c r="A140" t="s">
        <v>347</v>
      </c>
      <c r="B140">
        <v>45337</v>
      </c>
      <c r="C140" t="s">
        <v>16</v>
      </c>
      <c r="D140" t="s">
        <v>17</v>
      </c>
      <c r="E140">
        <v>9</v>
      </c>
      <c r="F140">
        <v>10</v>
      </c>
      <c r="G140">
        <v>3.45</v>
      </c>
      <c r="H140" t="s">
        <v>348</v>
      </c>
      <c r="I140" t="s">
        <v>349</v>
      </c>
      <c r="J140" t="s">
        <v>20</v>
      </c>
      <c r="K140" t="s">
        <v>38</v>
      </c>
      <c r="L140">
        <f t="shared" si="6"/>
        <v>90</v>
      </c>
      <c r="M140">
        <f t="shared" si="7"/>
        <v>31.05</v>
      </c>
      <c r="N140">
        <f t="shared" si="8"/>
        <v>58.95</v>
      </c>
      <c r="O140" cm="1">
        <f t="array" ref="O140">_xlfn.LET(_xlpm.cat, Greenleaf[[#This Row],[Product Category]], _xlpm.prices, _xlfn._xlws.FILTER(Greenleaf[Unit Price], (Greenleaf[Product Category]=_xlpm.cat)*(Greenleaf[Unit Price]&lt;&gt;"")), IFERROR(MEDIAN(_xlpm.prices), ""))</f>
        <v>10</v>
      </c>
      <c r="P140">
        <f>IF(Greenleaf[[#This Row],[Shipment Status]]="Returned",1,0)</f>
        <v>0</v>
      </c>
      <c r="Q140">
        <f>IF(Greenleaf[[#This Row],[Shipment Status]]="Delivered",1,0)</f>
        <v>0</v>
      </c>
    </row>
    <row r="141" spans="1:17" x14ac:dyDescent="0.45">
      <c r="A141" t="s">
        <v>350</v>
      </c>
      <c r="B141">
        <v>45337</v>
      </c>
      <c r="C141" t="s">
        <v>66</v>
      </c>
      <c r="D141" t="s">
        <v>67</v>
      </c>
      <c r="E141">
        <v>5</v>
      </c>
      <c r="F141">
        <v>12</v>
      </c>
      <c r="G141">
        <v>4.0199999999999996</v>
      </c>
      <c r="H141" t="s">
        <v>40</v>
      </c>
      <c r="I141" t="s">
        <v>41</v>
      </c>
      <c r="J141" t="s">
        <v>27</v>
      </c>
      <c r="K141" t="s">
        <v>59</v>
      </c>
      <c r="L141">
        <f t="shared" si="6"/>
        <v>60</v>
      </c>
      <c r="M141">
        <f t="shared" si="7"/>
        <v>20.099999999999998</v>
      </c>
      <c r="N141">
        <f t="shared" si="8"/>
        <v>39.900000000000006</v>
      </c>
      <c r="O141" cm="1">
        <f t="array" ref="O141">_xlfn.LET(_xlpm.cat, Greenleaf[[#This Row],[Product Category]], _xlpm.prices, _xlfn._xlws.FILTER(Greenleaf[Unit Price], (Greenleaf[Product Category]=_xlpm.cat)*(Greenleaf[Unit Price]&lt;&gt;"")), IFERROR(MEDIAN(_xlpm.prices), ""))</f>
        <v>12</v>
      </c>
      <c r="P141">
        <f>IF(Greenleaf[[#This Row],[Shipment Status]]="Returned",1,0)</f>
        <v>0</v>
      </c>
      <c r="Q141">
        <f>IF(Greenleaf[[#This Row],[Shipment Status]]="Delivered",1,0)</f>
        <v>1</v>
      </c>
    </row>
    <row r="142" spans="1:17" x14ac:dyDescent="0.45">
      <c r="A142" t="s">
        <v>351</v>
      </c>
      <c r="B142">
        <v>45338</v>
      </c>
      <c r="C142" t="s">
        <v>23</v>
      </c>
      <c r="D142" t="s">
        <v>24</v>
      </c>
      <c r="E142">
        <v>4</v>
      </c>
      <c r="F142">
        <v>25</v>
      </c>
      <c r="G142">
        <v>8</v>
      </c>
      <c r="H142" t="s">
        <v>352</v>
      </c>
      <c r="I142" t="s">
        <v>353</v>
      </c>
      <c r="J142" t="s">
        <v>27</v>
      </c>
      <c r="K142" t="s">
        <v>28</v>
      </c>
      <c r="L142">
        <f t="shared" si="6"/>
        <v>100</v>
      </c>
      <c r="M142">
        <f t="shared" si="7"/>
        <v>32</v>
      </c>
      <c r="N142">
        <f t="shared" si="8"/>
        <v>68</v>
      </c>
      <c r="O142" cm="1">
        <f t="array" ref="O142">_xlfn.LET(_xlpm.cat, Greenleaf[[#This Row],[Product Category]], _xlpm.prices, _xlfn._xlws.FILTER(Greenleaf[Unit Price], (Greenleaf[Product Category]=_xlpm.cat)*(Greenleaf[Unit Price]&lt;&gt;"")), IFERROR(MEDIAN(_xlpm.prices), ""))</f>
        <v>25</v>
      </c>
      <c r="P142">
        <f>IF(Greenleaf[[#This Row],[Shipment Status]]="Returned",1,0)</f>
        <v>0</v>
      </c>
      <c r="Q142">
        <f>IF(Greenleaf[[#This Row],[Shipment Status]]="Delivered",1,0)</f>
        <v>1</v>
      </c>
    </row>
    <row r="143" spans="1:17" x14ac:dyDescent="0.45">
      <c r="A143" t="s">
        <v>354</v>
      </c>
      <c r="B143">
        <v>45338</v>
      </c>
      <c r="C143" t="s">
        <v>49</v>
      </c>
      <c r="D143" t="s">
        <v>50</v>
      </c>
      <c r="E143">
        <v>1</v>
      </c>
      <c r="F143">
        <v>15</v>
      </c>
      <c r="G143">
        <v>5.45</v>
      </c>
      <c r="H143" t="s">
        <v>121</v>
      </c>
      <c r="I143" t="s">
        <v>122</v>
      </c>
      <c r="J143" t="s">
        <v>27</v>
      </c>
      <c r="K143" t="s">
        <v>38</v>
      </c>
      <c r="L143">
        <f t="shared" si="6"/>
        <v>15</v>
      </c>
      <c r="M143">
        <f t="shared" si="7"/>
        <v>5.45</v>
      </c>
      <c r="N143">
        <f t="shared" si="8"/>
        <v>9.5500000000000007</v>
      </c>
      <c r="O143" cm="1">
        <f t="array" ref="O143">_xlfn.LET(_xlpm.cat, Greenleaf[[#This Row],[Product Category]], _xlpm.prices, _xlfn._xlws.FILTER(Greenleaf[Unit Price], (Greenleaf[Product Category]=_xlpm.cat)*(Greenleaf[Unit Price]&lt;&gt;"")), IFERROR(MEDIAN(_xlpm.prices), ""))</f>
        <v>15</v>
      </c>
      <c r="P143">
        <f>IF(Greenleaf[[#This Row],[Shipment Status]]="Returned",1,0)</f>
        <v>0</v>
      </c>
      <c r="Q143">
        <f>IF(Greenleaf[[#This Row],[Shipment Status]]="Delivered",1,0)</f>
        <v>1</v>
      </c>
    </row>
    <row r="144" spans="1:17" x14ac:dyDescent="0.45">
      <c r="A144" t="s">
        <v>355</v>
      </c>
      <c r="B144">
        <v>45338</v>
      </c>
      <c r="C144" t="s">
        <v>49</v>
      </c>
      <c r="D144" t="s">
        <v>50</v>
      </c>
      <c r="E144">
        <v>1</v>
      </c>
      <c r="F144">
        <v>15</v>
      </c>
      <c r="G144">
        <v>3.59</v>
      </c>
      <c r="H144" t="s">
        <v>356</v>
      </c>
      <c r="I144" t="s">
        <v>357</v>
      </c>
      <c r="J144" t="s">
        <v>47</v>
      </c>
      <c r="K144" t="s">
        <v>74</v>
      </c>
      <c r="L144">
        <f t="shared" si="6"/>
        <v>15</v>
      </c>
      <c r="M144">
        <f t="shared" si="7"/>
        <v>3.59</v>
      </c>
      <c r="N144">
        <f t="shared" si="8"/>
        <v>11.41</v>
      </c>
      <c r="O144" cm="1">
        <f t="array" ref="O144">_xlfn.LET(_xlpm.cat, Greenleaf[[#This Row],[Product Category]], _xlpm.prices, _xlfn._xlws.FILTER(Greenleaf[Unit Price], (Greenleaf[Product Category]=_xlpm.cat)*(Greenleaf[Unit Price]&lt;&gt;"")), IFERROR(MEDIAN(_xlpm.prices), ""))</f>
        <v>15</v>
      </c>
      <c r="P144">
        <f>IF(Greenleaf[[#This Row],[Shipment Status]]="Returned",1,0)</f>
        <v>0</v>
      </c>
      <c r="Q144">
        <f>IF(Greenleaf[[#This Row],[Shipment Status]]="Delivered",1,0)</f>
        <v>0</v>
      </c>
    </row>
    <row r="145" spans="1:17" x14ac:dyDescent="0.45">
      <c r="A145" t="s">
        <v>358</v>
      </c>
      <c r="B145">
        <v>45339</v>
      </c>
      <c r="C145" t="s">
        <v>30</v>
      </c>
      <c r="D145" t="s">
        <v>31</v>
      </c>
      <c r="E145">
        <v>3</v>
      </c>
      <c r="F145">
        <v>40</v>
      </c>
      <c r="G145">
        <v>13.47</v>
      </c>
      <c r="H145" t="s">
        <v>118</v>
      </c>
      <c r="I145" t="s">
        <v>119</v>
      </c>
      <c r="J145" t="s">
        <v>20</v>
      </c>
      <c r="K145" t="s">
        <v>28</v>
      </c>
      <c r="L145">
        <f t="shared" si="6"/>
        <v>120</v>
      </c>
      <c r="M145">
        <f t="shared" si="7"/>
        <v>40.410000000000004</v>
      </c>
      <c r="N145">
        <f t="shared" si="8"/>
        <v>79.59</v>
      </c>
      <c r="O145" cm="1">
        <f t="array" ref="O145">_xlfn.LET(_xlpm.cat, Greenleaf[[#This Row],[Product Category]], _xlpm.prices, _xlfn._xlws.FILTER(Greenleaf[Unit Price], (Greenleaf[Product Category]=_xlpm.cat)*(Greenleaf[Unit Price]&lt;&gt;"")), IFERROR(MEDIAN(_xlpm.prices), ""))</f>
        <v>40</v>
      </c>
      <c r="P145">
        <f>IF(Greenleaf[[#This Row],[Shipment Status]]="Returned",1,0)</f>
        <v>0</v>
      </c>
      <c r="Q145">
        <f>IF(Greenleaf[[#This Row],[Shipment Status]]="Delivered",1,0)</f>
        <v>0</v>
      </c>
    </row>
    <row r="146" spans="1:17" x14ac:dyDescent="0.45">
      <c r="A146" t="s">
        <v>359</v>
      </c>
      <c r="B146">
        <v>45339</v>
      </c>
      <c r="C146" t="s">
        <v>66</v>
      </c>
      <c r="D146" t="s">
        <v>67</v>
      </c>
      <c r="E146">
        <v>8</v>
      </c>
      <c r="F146">
        <v>12</v>
      </c>
      <c r="G146">
        <v>2.72</v>
      </c>
      <c r="H146" t="s">
        <v>303</v>
      </c>
      <c r="I146" t="s">
        <v>214</v>
      </c>
      <c r="J146" t="s">
        <v>27</v>
      </c>
      <c r="K146" t="s">
        <v>70</v>
      </c>
      <c r="L146">
        <f t="shared" si="6"/>
        <v>96</v>
      </c>
      <c r="M146">
        <f t="shared" si="7"/>
        <v>21.76</v>
      </c>
      <c r="N146">
        <f t="shared" si="8"/>
        <v>74.239999999999995</v>
      </c>
      <c r="O146" cm="1">
        <f t="array" ref="O146">_xlfn.LET(_xlpm.cat, Greenleaf[[#This Row],[Product Category]], _xlpm.prices, _xlfn._xlws.FILTER(Greenleaf[Unit Price], (Greenleaf[Product Category]=_xlpm.cat)*(Greenleaf[Unit Price]&lt;&gt;"")), IFERROR(MEDIAN(_xlpm.prices), ""))</f>
        <v>12</v>
      </c>
      <c r="P146">
        <f>IF(Greenleaf[[#This Row],[Shipment Status]]="Returned",1,0)</f>
        <v>0</v>
      </c>
      <c r="Q146">
        <f>IF(Greenleaf[[#This Row],[Shipment Status]]="Delivered",1,0)</f>
        <v>1</v>
      </c>
    </row>
    <row r="147" spans="1:17" x14ac:dyDescent="0.45">
      <c r="A147" t="s">
        <v>360</v>
      </c>
      <c r="B147">
        <v>45339</v>
      </c>
      <c r="C147" t="s">
        <v>49</v>
      </c>
      <c r="D147" t="s">
        <v>50</v>
      </c>
      <c r="E147">
        <v>1</v>
      </c>
      <c r="F147">
        <v>15</v>
      </c>
      <c r="G147">
        <v>3.43</v>
      </c>
      <c r="H147" t="s">
        <v>361</v>
      </c>
      <c r="I147" t="s">
        <v>357</v>
      </c>
      <c r="J147" t="s">
        <v>27</v>
      </c>
      <c r="K147" t="s">
        <v>59</v>
      </c>
      <c r="L147">
        <f t="shared" si="6"/>
        <v>15</v>
      </c>
      <c r="M147">
        <f t="shared" si="7"/>
        <v>3.43</v>
      </c>
      <c r="N147">
        <f t="shared" si="8"/>
        <v>11.57</v>
      </c>
      <c r="O147" cm="1">
        <f t="array" ref="O147">_xlfn.LET(_xlpm.cat, Greenleaf[[#This Row],[Product Category]], _xlpm.prices, _xlfn._xlws.FILTER(Greenleaf[Unit Price], (Greenleaf[Product Category]=_xlpm.cat)*(Greenleaf[Unit Price]&lt;&gt;"")), IFERROR(MEDIAN(_xlpm.prices), ""))</f>
        <v>15</v>
      </c>
      <c r="P147">
        <f>IF(Greenleaf[[#This Row],[Shipment Status]]="Returned",1,0)</f>
        <v>0</v>
      </c>
      <c r="Q147">
        <f>IF(Greenleaf[[#This Row],[Shipment Status]]="Delivered",1,0)</f>
        <v>1</v>
      </c>
    </row>
    <row r="148" spans="1:17" x14ac:dyDescent="0.45">
      <c r="A148" t="s">
        <v>362</v>
      </c>
      <c r="B148">
        <v>45340</v>
      </c>
      <c r="C148" t="s">
        <v>16</v>
      </c>
      <c r="D148" t="s">
        <v>17</v>
      </c>
      <c r="E148">
        <v>1</v>
      </c>
      <c r="F148">
        <v>10</v>
      </c>
      <c r="G148">
        <v>3.27</v>
      </c>
      <c r="H148" t="s">
        <v>363</v>
      </c>
      <c r="I148" t="s">
        <v>210</v>
      </c>
      <c r="J148" t="s">
        <v>20</v>
      </c>
      <c r="K148" t="s">
        <v>38</v>
      </c>
      <c r="L148">
        <f t="shared" si="6"/>
        <v>10</v>
      </c>
      <c r="M148">
        <f t="shared" si="7"/>
        <v>3.27</v>
      </c>
      <c r="N148">
        <f t="shared" si="8"/>
        <v>6.73</v>
      </c>
      <c r="O148" cm="1">
        <f t="array" ref="O148">_xlfn.LET(_xlpm.cat, Greenleaf[[#This Row],[Product Category]], _xlpm.prices, _xlfn._xlws.FILTER(Greenleaf[Unit Price], (Greenleaf[Product Category]=_xlpm.cat)*(Greenleaf[Unit Price]&lt;&gt;"")), IFERROR(MEDIAN(_xlpm.prices), ""))</f>
        <v>10</v>
      </c>
      <c r="P148">
        <f>IF(Greenleaf[[#This Row],[Shipment Status]]="Returned",1,0)</f>
        <v>0</v>
      </c>
      <c r="Q148">
        <f>IF(Greenleaf[[#This Row],[Shipment Status]]="Delivered",1,0)</f>
        <v>0</v>
      </c>
    </row>
    <row r="149" spans="1:17" x14ac:dyDescent="0.45">
      <c r="A149" t="s">
        <v>364</v>
      </c>
      <c r="B149">
        <v>45340</v>
      </c>
      <c r="C149" t="s">
        <v>16</v>
      </c>
      <c r="D149" t="s">
        <v>17</v>
      </c>
      <c r="E149">
        <v>6</v>
      </c>
      <c r="F149">
        <v>10</v>
      </c>
      <c r="G149">
        <v>3.92</v>
      </c>
      <c r="H149" t="s">
        <v>365</v>
      </c>
      <c r="I149" t="s">
        <v>115</v>
      </c>
      <c r="J149" t="s">
        <v>27</v>
      </c>
      <c r="K149" t="s">
        <v>28</v>
      </c>
      <c r="L149">
        <f t="shared" si="6"/>
        <v>60</v>
      </c>
      <c r="M149">
        <f t="shared" si="7"/>
        <v>23.52</v>
      </c>
      <c r="N149">
        <f t="shared" si="8"/>
        <v>36.480000000000004</v>
      </c>
      <c r="O149" cm="1">
        <f t="array" ref="O149">_xlfn.LET(_xlpm.cat, Greenleaf[[#This Row],[Product Category]], _xlpm.prices, _xlfn._xlws.FILTER(Greenleaf[Unit Price], (Greenleaf[Product Category]=_xlpm.cat)*(Greenleaf[Unit Price]&lt;&gt;"")), IFERROR(MEDIAN(_xlpm.prices), ""))</f>
        <v>10</v>
      </c>
      <c r="P149">
        <f>IF(Greenleaf[[#This Row],[Shipment Status]]="Returned",1,0)</f>
        <v>0</v>
      </c>
      <c r="Q149">
        <f>IF(Greenleaf[[#This Row],[Shipment Status]]="Delivered",1,0)</f>
        <v>1</v>
      </c>
    </row>
    <row r="150" spans="1:17" x14ac:dyDescent="0.45">
      <c r="A150" t="s">
        <v>366</v>
      </c>
      <c r="B150">
        <v>45340</v>
      </c>
      <c r="C150" t="s">
        <v>30</v>
      </c>
      <c r="D150" t="s">
        <v>31</v>
      </c>
      <c r="E150">
        <v>10</v>
      </c>
      <c r="F150">
        <v>40</v>
      </c>
      <c r="G150">
        <v>10.39</v>
      </c>
      <c r="H150" t="s">
        <v>121</v>
      </c>
      <c r="I150" t="s">
        <v>122</v>
      </c>
      <c r="J150" t="s">
        <v>27</v>
      </c>
      <c r="K150" t="s">
        <v>43</v>
      </c>
      <c r="L150">
        <f t="shared" si="6"/>
        <v>400</v>
      </c>
      <c r="M150">
        <f t="shared" si="7"/>
        <v>103.9</v>
      </c>
      <c r="N150">
        <f t="shared" si="8"/>
        <v>296.10000000000002</v>
      </c>
      <c r="O150" cm="1">
        <f t="array" ref="O150">_xlfn.LET(_xlpm.cat, Greenleaf[[#This Row],[Product Category]], _xlpm.prices, _xlfn._xlws.FILTER(Greenleaf[Unit Price], (Greenleaf[Product Category]=_xlpm.cat)*(Greenleaf[Unit Price]&lt;&gt;"")), IFERROR(MEDIAN(_xlpm.prices), ""))</f>
        <v>40</v>
      </c>
      <c r="P150">
        <f>IF(Greenleaf[[#This Row],[Shipment Status]]="Returned",1,0)</f>
        <v>0</v>
      </c>
      <c r="Q150">
        <f>IF(Greenleaf[[#This Row],[Shipment Status]]="Delivered",1,0)</f>
        <v>1</v>
      </c>
    </row>
    <row r="151" spans="1:17" x14ac:dyDescent="0.45">
      <c r="A151" t="s">
        <v>367</v>
      </c>
      <c r="B151">
        <v>45341</v>
      </c>
      <c r="C151" t="s">
        <v>66</v>
      </c>
      <c r="D151" t="s">
        <v>67</v>
      </c>
      <c r="E151">
        <v>1</v>
      </c>
      <c r="F151">
        <v>12</v>
      </c>
      <c r="G151">
        <v>3.88</v>
      </c>
      <c r="H151" t="s">
        <v>368</v>
      </c>
      <c r="I151" t="s">
        <v>369</v>
      </c>
      <c r="J151" t="s">
        <v>27</v>
      </c>
      <c r="K151" t="s">
        <v>74</v>
      </c>
      <c r="L151">
        <f t="shared" si="6"/>
        <v>12</v>
      </c>
      <c r="M151">
        <f t="shared" si="7"/>
        <v>3.88</v>
      </c>
      <c r="N151">
        <f t="shared" si="8"/>
        <v>8.120000000000001</v>
      </c>
      <c r="O151" cm="1">
        <f t="array" ref="O151">_xlfn.LET(_xlpm.cat, Greenleaf[[#This Row],[Product Category]], _xlpm.prices, _xlfn._xlws.FILTER(Greenleaf[Unit Price], (Greenleaf[Product Category]=_xlpm.cat)*(Greenleaf[Unit Price]&lt;&gt;"")), IFERROR(MEDIAN(_xlpm.prices), ""))</f>
        <v>12</v>
      </c>
      <c r="P151">
        <f>IF(Greenleaf[[#This Row],[Shipment Status]]="Returned",1,0)</f>
        <v>0</v>
      </c>
      <c r="Q151">
        <f>IF(Greenleaf[[#This Row],[Shipment Status]]="Delivered",1,0)</f>
        <v>1</v>
      </c>
    </row>
    <row r="152" spans="1:17" x14ac:dyDescent="0.45">
      <c r="A152" t="s">
        <v>370</v>
      </c>
      <c r="B152">
        <v>45341</v>
      </c>
      <c r="C152" t="s">
        <v>30</v>
      </c>
      <c r="D152" t="s">
        <v>31</v>
      </c>
      <c r="E152">
        <v>9</v>
      </c>
      <c r="F152">
        <v>40</v>
      </c>
      <c r="G152">
        <v>13.95</v>
      </c>
      <c r="H152" t="s">
        <v>371</v>
      </c>
      <c r="I152" t="s">
        <v>26</v>
      </c>
      <c r="J152" t="s">
        <v>27</v>
      </c>
      <c r="K152" t="s">
        <v>21</v>
      </c>
      <c r="L152">
        <f t="shared" si="6"/>
        <v>360</v>
      </c>
      <c r="M152">
        <f t="shared" si="7"/>
        <v>125.55</v>
      </c>
      <c r="N152">
        <f t="shared" si="8"/>
        <v>234.45</v>
      </c>
      <c r="O152" cm="1">
        <f t="array" ref="O152">_xlfn.LET(_xlpm.cat, Greenleaf[[#This Row],[Product Category]], _xlpm.prices, _xlfn._xlws.FILTER(Greenleaf[Unit Price], (Greenleaf[Product Category]=_xlpm.cat)*(Greenleaf[Unit Price]&lt;&gt;"")), IFERROR(MEDIAN(_xlpm.prices), ""))</f>
        <v>40</v>
      </c>
      <c r="P152">
        <f>IF(Greenleaf[[#This Row],[Shipment Status]]="Returned",1,0)</f>
        <v>0</v>
      </c>
      <c r="Q152">
        <f>IF(Greenleaf[[#This Row],[Shipment Status]]="Delivered",1,0)</f>
        <v>1</v>
      </c>
    </row>
    <row r="153" spans="1:17" x14ac:dyDescent="0.45">
      <c r="A153" t="s">
        <v>372</v>
      </c>
      <c r="B153">
        <v>45342</v>
      </c>
      <c r="C153" t="s">
        <v>30</v>
      </c>
      <c r="D153" t="s">
        <v>31</v>
      </c>
      <c r="E153">
        <v>6</v>
      </c>
      <c r="F153">
        <v>40</v>
      </c>
      <c r="G153">
        <v>11.41</v>
      </c>
      <c r="H153" t="s">
        <v>373</v>
      </c>
      <c r="I153" t="s">
        <v>374</v>
      </c>
      <c r="J153" t="s">
        <v>20</v>
      </c>
      <c r="K153" t="s">
        <v>21</v>
      </c>
      <c r="L153">
        <f t="shared" si="6"/>
        <v>240</v>
      </c>
      <c r="M153">
        <f t="shared" si="7"/>
        <v>68.460000000000008</v>
      </c>
      <c r="N153">
        <f t="shared" si="8"/>
        <v>171.54</v>
      </c>
      <c r="O153" cm="1">
        <f t="array" ref="O153">_xlfn.LET(_xlpm.cat, Greenleaf[[#This Row],[Product Category]], _xlpm.prices, _xlfn._xlws.FILTER(Greenleaf[Unit Price], (Greenleaf[Product Category]=_xlpm.cat)*(Greenleaf[Unit Price]&lt;&gt;"")), IFERROR(MEDIAN(_xlpm.prices), ""))</f>
        <v>40</v>
      </c>
      <c r="P153">
        <f>IF(Greenleaf[[#This Row],[Shipment Status]]="Returned",1,0)</f>
        <v>0</v>
      </c>
      <c r="Q153">
        <f>IF(Greenleaf[[#This Row],[Shipment Status]]="Delivered",1,0)</f>
        <v>0</v>
      </c>
    </row>
    <row r="154" spans="1:17" x14ac:dyDescent="0.45">
      <c r="A154" t="s">
        <v>375</v>
      </c>
      <c r="B154">
        <v>45343</v>
      </c>
      <c r="C154" t="s">
        <v>30</v>
      </c>
      <c r="D154" t="s">
        <v>31</v>
      </c>
      <c r="E154">
        <v>10</v>
      </c>
      <c r="F154">
        <v>40</v>
      </c>
      <c r="G154">
        <v>15.1</v>
      </c>
      <c r="H154" t="s">
        <v>185</v>
      </c>
      <c r="I154" t="s">
        <v>186</v>
      </c>
      <c r="J154" t="s">
        <v>27</v>
      </c>
      <c r="K154" t="s">
        <v>28</v>
      </c>
      <c r="L154">
        <f t="shared" si="6"/>
        <v>400</v>
      </c>
      <c r="M154">
        <f t="shared" si="7"/>
        <v>151</v>
      </c>
      <c r="N154">
        <f t="shared" si="8"/>
        <v>249</v>
      </c>
      <c r="O154" cm="1">
        <f t="array" ref="O154">_xlfn.LET(_xlpm.cat, Greenleaf[[#This Row],[Product Category]], _xlpm.prices, _xlfn._xlws.FILTER(Greenleaf[Unit Price], (Greenleaf[Product Category]=_xlpm.cat)*(Greenleaf[Unit Price]&lt;&gt;"")), IFERROR(MEDIAN(_xlpm.prices), ""))</f>
        <v>40</v>
      </c>
      <c r="P154">
        <f>IF(Greenleaf[[#This Row],[Shipment Status]]="Returned",1,0)</f>
        <v>0</v>
      </c>
      <c r="Q154">
        <f>IF(Greenleaf[[#This Row],[Shipment Status]]="Delivered",1,0)</f>
        <v>1</v>
      </c>
    </row>
    <row r="155" spans="1:17" x14ac:dyDescent="0.45">
      <c r="A155" t="s">
        <v>376</v>
      </c>
      <c r="B155">
        <v>45343</v>
      </c>
      <c r="C155" t="s">
        <v>66</v>
      </c>
      <c r="D155" t="s">
        <v>67</v>
      </c>
      <c r="E155">
        <v>3</v>
      </c>
      <c r="F155">
        <v>12</v>
      </c>
      <c r="G155">
        <v>4.78</v>
      </c>
      <c r="H155" t="s">
        <v>182</v>
      </c>
      <c r="I155" t="s">
        <v>183</v>
      </c>
      <c r="J155" t="s">
        <v>27</v>
      </c>
      <c r="K155" t="s">
        <v>56</v>
      </c>
      <c r="L155">
        <f t="shared" si="6"/>
        <v>36</v>
      </c>
      <c r="M155">
        <f t="shared" si="7"/>
        <v>14.34</v>
      </c>
      <c r="N155">
        <f t="shared" si="8"/>
        <v>21.66</v>
      </c>
      <c r="O155" cm="1">
        <f t="array" ref="O155">_xlfn.LET(_xlpm.cat, Greenleaf[[#This Row],[Product Category]], _xlpm.prices, _xlfn._xlws.FILTER(Greenleaf[Unit Price], (Greenleaf[Product Category]=_xlpm.cat)*(Greenleaf[Unit Price]&lt;&gt;"")), IFERROR(MEDIAN(_xlpm.prices), ""))</f>
        <v>12</v>
      </c>
      <c r="P155">
        <f>IF(Greenleaf[[#This Row],[Shipment Status]]="Returned",1,0)</f>
        <v>0</v>
      </c>
      <c r="Q155">
        <f>IF(Greenleaf[[#This Row],[Shipment Status]]="Delivered",1,0)</f>
        <v>1</v>
      </c>
    </row>
    <row r="156" spans="1:17" x14ac:dyDescent="0.45">
      <c r="A156" t="s">
        <v>377</v>
      </c>
      <c r="B156">
        <v>45343</v>
      </c>
      <c r="C156" t="s">
        <v>49</v>
      </c>
      <c r="D156" t="s">
        <v>50</v>
      </c>
      <c r="E156">
        <v>5</v>
      </c>
      <c r="F156">
        <v>15</v>
      </c>
      <c r="G156">
        <v>5.09</v>
      </c>
      <c r="H156" t="s">
        <v>378</v>
      </c>
      <c r="I156" t="s">
        <v>379</v>
      </c>
      <c r="J156" t="s">
        <v>27</v>
      </c>
      <c r="K156" t="s">
        <v>56</v>
      </c>
      <c r="L156">
        <f t="shared" si="6"/>
        <v>75</v>
      </c>
      <c r="M156">
        <f t="shared" si="7"/>
        <v>25.45</v>
      </c>
      <c r="N156">
        <f t="shared" si="8"/>
        <v>49.55</v>
      </c>
      <c r="O156" cm="1">
        <f t="array" ref="O156">_xlfn.LET(_xlpm.cat, Greenleaf[[#This Row],[Product Category]], _xlpm.prices, _xlfn._xlws.FILTER(Greenleaf[Unit Price], (Greenleaf[Product Category]=_xlpm.cat)*(Greenleaf[Unit Price]&lt;&gt;"")), IFERROR(MEDIAN(_xlpm.prices), ""))</f>
        <v>15</v>
      </c>
      <c r="P156">
        <f>IF(Greenleaf[[#This Row],[Shipment Status]]="Returned",1,0)</f>
        <v>0</v>
      </c>
      <c r="Q156">
        <f>IF(Greenleaf[[#This Row],[Shipment Status]]="Delivered",1,0)</f>
        <v>1</v>
      </c>
    </row>
    <row r="157" spans="1:17" x14ac:dyDescent="0.45">
      <c r="A157" t="s">
        <v>380</v>
      </c>
      <c r="B157">
        <v>45344</v>
      </c>
      <c r="C157" t="s">
        <v>49</v>
      </c>
      <c r="D157" t="s">
        <v>50</v>
      </c>
      <c r="E157">
        <v>5</v>
      </c>
      <c r="F157">
        <v>15</v>
      </c>
      <c r="G157">
        <v>3.54</v>
      </c>
      <c r="H157" t="s">
        <v>256</v>
      </c>
      <c r="I157" t="s">
        <v>257</v>
      </c>
      <c r="J157" t="s">
        <v>27</v>
      </c>
      <c r="K157" t="s">
        <v>134</v>
      </c>
      <c r="L157">
        <f t="shared" si="6"/>
        <v>75</v>
      </c>
      <c r="M157">
        <f t="shared" si="7"/>
        <v>17.7</v>
      </c>
      <c r="N157">
        <f t="shared" si="8"/>
        <v>57.3</v>
      </c>
      <c r="O157" cm="1">
        <f t="array" ref="O157">_xlfn.LET(_xlpm.cat, Greenleaf[[#This Row],[Product Category]], _xlpm.prices, _xlfn._xlws.FILTER(Greenleaf[Unit Price], (Greenleaf[Product Category]=_xlpm.cat)*(Greenleaf[Unit Price]&lt;&gt;"")), IFERROR(MEDIAN(_xlpm.prices), ""))</f>
        <v>15</v>
      </c>
      <c r="P157">
        <f>IF(Greenleaf[[#This Row],[Shipment Status]]="Returned",1,0)</f>
        <v>0</v>
      </c>
      <c r="Q157">
        <f>IF(Greenleaf[[#This Row],[Shipment Status]]="Delivered",1,0)</f>
        <v>1</v>
      </c>
    </row>
    <row r="158" spans="1:17" x14ac:dyDescent="0.45">
      <c r="A158" t="s">
        <v>381</v>
      </c>
      <c r="B158">
        <v>45345</v>
      </c>
      <c r="C158" t="s">
        <v>30</v>
      </c>
      <c r="D158" t="s">
        <v>31</v>
      </c>
      <c r="E158">
        <v>3</v>
      </c>
      <c r="F158">
        <v>40</v>
      </c>
      <c r="G158">
        <v>13.26</v>
      </c>
      <c r="H158" t="s">
        <v>382</v>
      </c>
      <c r="I158" t="s">
        <v>383</v>
      </c>
      <c r="J158" t="s">
        <v>27</v>
      </c>
      <c r="K158" t="s">
        <v>21</v>
      </c>
      <c r="L158">
        <f t="shared" si="6"/>
        <v>120</v>
      </c>
      <c r="M158">
        <f t="shared" si="7"/>
        <v>39.78</v>
      </c>
      <c r="N158">
        <f t="shared" si="8"/>
        <v>80.22</v>
      </c>
      <c r="O158" cm="1">
        <f t="array" ref="O158">_xlfn.LET(_xlpm.cat, Greenleaf[[#This Row],[Product Category]], _xlpm.prices, _xlfn._xlws.FILTER(Greenleaf[Unit Price], (Greenleaf[Product Category]=_xlpm.cat)*(Greenleaf[Unit Price]&lt;&gt;"")), IFERROR(MEDIAN(_xlpm.prices), ""))</f>
        <v>40</v>
      </c>
      <c r="P158">
        <f>IF(Greenleaf[[#This Row],[Shipment Status]]="Returned",1,0)</f>
        <v>0</v>
      </c>
      <c r="Q158">
        <f>IF(Greenleaf[[#This Row],[Shipment Status]]="Delivered",1,0)</f>
        <v>1</v>
      </c>
    </row>
    <row r="159" spans="1:17" x14ac:dyDescent="0.45">
      <c r="A159" t="s">
        <v>384</v>
      </c>
      <c r="B159">
        <v>45345</v>
      </c>
      <c r="C159" t="s">
        <v>30</v>
      </c>
      <c r="D159" t="s">
        <v>31</v>
      </c>
      <c r="E159">
        <v>7</v>
      </c>
      <c r="F159">
        <v>40</v>
      </c>
      <c r="G159">
        <v>8.94</v>
      </c>
      <c r="H159" t="s">
        <v>32</v>
      </c>
      <c r="I159" t="s">
        <v>33</v>
      </c>
      <c r="J159" t="s">
        <v>27</v>
      </c>
      <c r="K159" t="s">
        <v>59</v>
      </c>
      <c r="L159">
        <f t="shared" si="6"/>
        <v>280</v>
      </c>
      <c r="M159">
        <f t="shared" si="7"/>
        <v>62.58</v>
      </c>
      <c r="N159">
        <f t="shared" si="8"/>
        <v>217.42000000000002</v>
      </c>
      <c r="O159" cm="1">
        <f t="array" ref="O159">_xlfn.LET(_xlpm.cat, Greenleaf[[#This Row],[Product Category]], _xlpm.prices, _xlfn._xlws.FILTER(Greenleaf[Unit Price], (Greenleaf[Product Category]=_xlpm.cat)*(Greenleaf[Unit Price]&lt;&gt;"")), IFERROR(MEDIAN(_xlpm.prices), ""))</f>
        <v>40</v>
      </c>
      <c r="P159">
        <f>IF(Greenleaf[[#This Row],[Shipment Status]]="Returned",1,0)</f>
        <v>0</v>
      </c>
      <c r="Q159">
        <f>IF(Greenleaf[[#This Row],[Shipment Status]]="Delivered",1,0)</f>
        <v>1</v>
      </c>
    </row>
    <row r="160" spans="1:17" x14ac:dyDescent="0.45">
      <c r="A160" t="s">
        <v>385</v>
      </c>
      <c r="B160">
        <v>45345</v>
      </c>
      <c r="C160" t="s">
        <v>66</v>
      </c>
      <c r="D160" t="s">
        <v>67</v>
      </c>
      <c r="E160">
        <v>2</v>
      </c>
      <c r="F160">
        <v>12</v>
      </c>
      <c r="G160">
        <v>2.78</v>
      </c>
      <c r="H160" t="s">
        <v>232</v>
      </c>
      <c r="I160" t="s">
        <v>93</v>
      </c>
      <c r="J160" t="s">
        <v>27</v>
      </c>
      <c r="K160" t="s">
        <v>21</v>
      </c>
      <c r="L160">
        <f t="shared" si="6"/>
        <v>24</v>
      </c>
      <c r="M160">
        <f t="shared" si="7"/>
        <v>5.56</v>
      </c>
      <c r="N160">
        <f t="shared" si="8"/>
        <v>18.440000000000001</v>
      </c>
      <c r="O160" cm="1">
        <f t="array" ref="O160">_xlfn.LET(_xlpm.cat, Greenleaf[[#This Row],[Product Category]], _xlpm.prices, _xlfn._xlws.FILTER(Greenleaf[Unit Price], (Greenleaf[Product Category]=_xlpm.cat)*(Greenleaf[Unit Price]&lt;&gt;"")), IFERROR(MEDIAN(_xlpm.prices), ""))</f>
        <v>12</v>
      </c>
      <c r="P160">
        <f>IF(Greenleaf[[#This Row],[Shipment Status]]="Returned",1,0)</f>
        <v>0</v>
      </c>
      <c r="Q160">
        <f>IF(Greenleaf[[#This Row],[Shipment Status]]="Delivered",1,0)</f>
        <v>1</v>
      </c>
    </row>
    <row r="161" spans="1:17" x14ac:dyDescent="0.45">
      <c r="A161" t="s">
        <v>386</v>
      </c>
      <c r="B161">
        <v>45345</v>
      </c>
      <c r="C161" t="s">
        <v>30</v>
      </c>
      <c r="D161" t="s">
        <v>31</v>
      </c>
      <c r="E161">
        <v>10</v>
      </c>
      <c r="F161">
        <v>40</v>
      </c>
      <c r="G161">
        <v>9.31</v>
      </c>
      <c r="H161" t="s">
        <v>387</v>
      </c>
      <c r="I161" t="s">
        <v>161</v>
      </c>
      <c r="J161" t="s">
        <v>27</v>
      </c>
      <c r="K161" t="s">
        <v>34</v>
      </c>
      <c r="L161">
        <f t="shared" si="6"/>
        <v>400</v>
      </c>
      <c r="M161">
        <f t="shared" si="7"/>
        <v>93.100000000000009</v>
      </c>
      <c r="N161">
        <f t="shared" si="8"/>
        <v>306.89999999999998</v>
      </c>
      <c r="O161" cm="1">
        <f t="array" ref="O161">_xlfn.LET(_xlpm.cat, Greenleaf[[#This Row],[Product Category]], _xlpm.prices, _xlfn._xlws.FILTER(Greenleaf[Unit Price], (Greenleaf[Product Category]=_xlpm.cat)*(Greenleaf[Unit Price]&lt;&gt;"")), IFERROR(MEDIAN(_xlpm.prices), ""))</f>
        <v>40</v>
      </c>
      <c r="P161">
        <f>IF(Greenleaf[[#This Row],[Shipment Status]]="Returned",1,0)</f>
        <v>0</v>
      </c>
      <c r="Q161">
        <f>IF(Greenleaf[[#This Row],[Shipment Status]]="Delivered",1,0)</f>
        <v>1</v>
      </c>
    </row>
    <row r="162" spans="1:17" x14ac:dyDescent="0.45">
      <c r="A162" t="s">
        <v>388</v>
      </c>
      <c r="B162">
        <v>45346</v>
      </c>
      <c r="C162" t="s">
        <v>49</v>
      </c>
      <c r="D162" t="s">
        <v>50</v>
      </c>
      <c r="E162">
        <v>1</v>
      </c>
      <c r="F162">
        <v>15</v>
      </c>
      <c r="G162">
        <v>4.33</v>
      </c>
      <c r="H162" t="s">
        <v>389</v>
      </c>
      <c r="I162" t="s">
        <v>390</v>
      </c>
      <c r="J162" t="s">
        <v>27</v>
      </c>
      <c r="K162" t="s">
        <v>43</v>
      </c>
      <c r="L162">
        <f t="shared" si="6"/>
        <v>15</v>
      </c>
      <c r="M162">
        <f t="shared" si="7"/>
        <v>4.33</v>
      </c>
      <c r="N162">
        <f t="shared" si="8"/>
        <v>10.67</v>
      </c>
      <c r="O162" cm="1">
        <f t="array" ref="O162">_xlfn.LET(_xlpm.cat, Greenleaf[[#This Row],[Product Category]], _xlpm.prices, _xlfn._xlws.FILTER(Greenleaf[Unit Price], (Greenleaf[Product Category]=_xlpm.cat)*(Greenleaf[Unit Price]&lt;&gt;"")), IFERROR(MEDIAN(_xlpm.prices), ""))</f>
        <v>15</v>
      </c>
      <c r="P162">
        <f>IF(Greenleaf[[#This Row],[Shipment Status]]="Returned",1,0)</f>
        <v>0</v>
      </c>
      <c r="Q162">
        <f>IF(Greenleaf[[#This Row],[Shipment Status]]="Delivered",1,0)</f>
        <v>1</v>
      </c>
    </row>
    <row r="163" spans="1:17" x14ac:dyDescent="0.45">
      <c r="A163" t="s">
        <v>391</v>
      </c>
      <c r="B163">
        <v>45346</v>
      </c>
      <c r="C163" t="s">
        <v>30</v>
      </c>
      <c r="D163" t="s">
        <v>31</v>
      </c>
      <c r="E163">
        <v>10</v>
      </c>
      <c r="F163">
        <v>40</v>
      </c>
      <c r="G163">
        <v>9.86</v>
      </c>
      <c r="H163" t="s">
        <v>232</v>
      </c>
      <c r="I163" t="s">
        <v>93</v>
      </c>
      <c r="J163" t="s">
        <v>20</v>
      </c>
      <c r="K163" t="s">
        <v>134</v>
      </c>
      <c r="L163">
        <f t="shared" si="6"/>
        <v>400</v>
      </c>
      <c r="M163">
        <f t="shared" si="7"/>
        <v>98.6</v>
      </c>
      <c r="N163">
        <f t="shared" si="8"/>
        <v>301.39999999999998</v>
      </c>
      <c r="O163" cm="1">
        <f t="array" ref="O163">_xlfn.LET(_xlpm.cat, Greenleaf[[#This Row],[Product Category]], _xlpm.prices, _xlfn._xlws.FILTER(Greenleaf[Unit Price], (Greenleaf[Product Category]=_xlpm.cat)*(Greenleaf[Unit Price]&lt;&gt;"")), IFERROR(MEDIAN(_xlpm.prices), ""))</f>
        <v>40</v>
      </c>
      <c r="P163">
        <f>IF(Greenleaf[[#This Row],[Shipment Status]]="Returned",1,0)</f>
        <v>0</v>
      </c>
      <c r="Q163">
        <f>IF(Greenleaf[[#This Row],[Shipment Status]]="Delivered",1,0)</f>
        <v>0</v>
      </c>
    </row>
    <row r="164" spans="1:17" x14ac:dyDescent="0.45">
      <c r="A164" t="s">
        <v>392</v>
      </c>
      <c r="B164">
        <v>45346</v>
      </c>
      <c r="C164" t="s">
        <v>66</v>
      </c>
      <c r="D164" t="s">
        <v>67</v>
      </c>
      <c r="E164">
        <v>8</v>
      </c>
      <c r="F164">
        <v>12</v>
      </c>
      <c r="G164">
        <v>4.18</v>
      </c>
      <c r="H164" t="s">
        <v>348</v>
      </c>
      <c r="I164" t="s">
        <v>349</v>
      </c>
      <c r="J164" t="s">
        <v>42</v>
      </c>
      <c r="K164" t="s">
        <v>59</v>
      </c>
      <c r="L164">
        <f t="shared" si="6"/>
        <v>96</v>
      </c>
      <c r="M164">
        <f t="shared" si="7"/>
        <v>33.44</v>
      </c>
      <c r="N164">
        <f t="shared" si="8"/>
        <v>62.56</v>
      </c>
      <c r="O164" cm="1">
        <f t="array" ref="O164">_xlfn.LET(_xlpm.cat, Greenleaf[[#This Row],[Product Category]], _xlpm.prices, _xlfn._xlws.FILTER(Greenleaf[Unit Price], (Greenleaf[Product Category]=_xlpm.cat)*(Greenleaf[Unit Price]&lt;&gt;"")), IFERROR(MEDIAN(_xlpm.prices), ""))</f>
        <v>12</v>
      </c>
      <c r="P164">
        <f>IF(Greenleaf[[#This Row],[Shipment Status]]="Returned",1,0)</f>
        <v>1</v>
      </c>
      <c r="Q164">
        <f>IF(Greenleaf[[#This Row],[Shipment Status]]="Delivered",1,0)</f>
        <v>0</v>
      </c>
    </row>
    <row r="165" spans="1:17" x14ac:dyDescent="0.45">
      <c r="A165" t="s">
        <v>393</v>
      </c>
      <c r="B165">
        <v>45347</v>
      </c>
      <c r="C165" t="s">
        <v>30</v>
      </c>
      <c r="D165" t="s">
        <v>31</v>
      </c>
      <c r="E165">
        <v>7</v>
      </c>
      <c r="F165">
        <v>40</v>
      </c>
      <c r="G165">
        <v>8.01</v>
      </c>
      <c r="H165" t="s">
        <v>114</v>
      </c>
      <c r="I165" t="s">
        <v>115</v>
      </c>
      <c r="J165" t="s">
        <v>20</v>
      </c>
      <c r="K165" t="s">
        <v>56</v>
      </c>
      <c r="L165">
        <f t="shared" si="6"/>
        <v>280</v>
      </c>
      <c r="M165">
        <f t="shared" si="7"/>
        <v>56.07</v>
      </c>
      <c r="N165">
        <f t="shared" si="8"/>
        <v>223.93</v>
      </c>
      <c r="O165" cm="1">
        <f t="array" ref="O165">_xlfn.LET(_xlpm.cat, Greenleaf[[#This Row],[Product Category]], _xlpm.prices, _xlfn._xlws.FILTER(Greenleaf[Unit Price], (Greenleaf[Product Category]=_xlpm.cat)*(Greenleaf[Unit Price]&lt;&gt;"")), IFERROR(MEDIAN(_xlpm.prices), ""))</f>
        <v>40</v>
      </c>
      <c r="P165">
        <f>IF(Greenleaf[[#This Row],[Shipment Status]]="Returned",1,0)</f>
        <v>0</v>
      </c>
      <c r="Q165">
        <f>IF(Greenleaf[[#This Row],[Shipment Status]]="Delivered",1,0)</f>
        <v>0</v>
      </c>
    </row>
    <row r="166" spans="1:17" x14ac:dyDescent="0.45">
      <c r="A166" t="s">
        <v>394</v>
      </c>
      <c r="B166">
        <v>45347</v>
      </c>
      <c r="C166" t="s">
        <v>16</v>
      </c>
      <c r="D166" t="s">
        <v>17</v>
      </c>
      <c r="E166">
        <v>8</v>
      </c>
      <c r="F166">
        <v>10</v>
      </c>
      <c r="G166">
        <v>2.31</v>
      </c>
      <c r="H166" t="s">
        <v>254</v>
      </c>
      <c r="I166" t="s">
        <v>177</v>
      </c>
      <c r="J166" t="s">
        <v>47</v>
      </c>
      <c r="K166" t="s">
        <v>34</v>
      </c>
      <c r="L166">
        <f t="shared" si="6"/>
        <v>80</v>
      </c>
      <c r="M166">
        <f t="shared" si="7"/>
        <v>18.48</v>
      </c>
      <c r="N166">
        <f t="shared" si="8"/>
        <v>61.519999999999996</v>
      </c>
      <c r="O166" cm="1">
        <f t="array" ref="O166">_xlfn.LET(_xlpm.cat, Greenleaf[[#This Row],[Product Category]], _xlpm.prices, _xlfn._xlws.FILTER(Greenleaf[Unit Price], (Greenleaf[Product Category]=_xlpm.cat)*(Greenleaf[Unit Price]&lt;&gt;"")), IFERROR(MEDIAN(_xlpm.prices), ""))</f>
        <v>10</v>
      </c>
      <c r="P166">
        <f>IF(Greenleaf[[#This Row],[Shipment Status]]="Returned",1,0)</f>
        <v>0</v>
      </c>
      <c r="Q166">
        <f>IF(Greenleaf[[#This Row],[Shipment Status]]="Delivered",1,0)</f>
        <v>0</v>
      </c>
    </row>
    <row r="167" spans="1:17" x14ac:dyDescent="0.45">
      <c r="A167" t="s">
        <v>395</v>
      </c>
      <c r="B167">
        <v>45347</v>
      </c>
      <c r="C167" t="s">
        <v>49</v>
      </c>
      <c r="D167" t="s">
        <v>50</v>
      </c>
      <c r="E167">
        <v>9</v>
      </c>
      <c r="F167">
        <v>15</v>
      </c>
      <c r="G167">
        <v>3.27</v>
      </c>
      <c r="H167" t="s">
        <v>72</v>
      </c>
      <c r="I167" t="s">
        <v>73</v>
      </c>
      <c r="J167" t="s">
        <v>20</v>
      </c>
      <c r="K167" t="s">
        <v>56</v>
      </c>
      <c r="L167">
        <f t="shared" si="6"/>
        <v>135</v>
      </c>
      <c r="M167">
        <f t="shared" si="7"/>
        <v>29.43</v>
      </c>
      <c r="N167">
        <f t="shared" si="8"/>
        <v>105.57</v>
      </c>
      <c r="O167" cm="1">
        <f t="array" ref="O167">_xlfn.LET(_xlpm.cat, Greenleaf[[#This Row],[Product Category]], _xlpm.prices, _xlfn._xlws.FILTER(Greenleaf[Unit Price], (Greenleaf[Product Category]=_xlpm.cat)*(Greenleaf[Unit Price]&lt;&gt;"")), IFERROR(MEDIAN(_xlpm.prices), ""))</f>
        <v>15</v>
      </c>
      <c r="P167">
        <f>IF(Greenleaf[[#This Row],[Shipment Status]]="Returned",1,0)</f>
        <v>0</v>
      </c>
      <c r="Q167">
        <f>IF(Greenleaf[[#This Row],[Shipment Status]]="Delivered",1,0)</f>
        <v>0</v>
      </c>
    </row>
    <row r="168" spans="1:17" x14ac:dyDescent="0.45">
      <c r="A168" t="s">
        <v>396</v>
      </c>
      <c r="B168">
        <v>45347</v>
      </c>
      <c r="C168" t="s">
        <v>30</v>
      </c>
      <c r="D168" t="s">
        <v>31</v>
      </c>
      <c r="E168">
        <v>8</v>
      </c>
      <c r="F168">
        <v>40</v>
      </c>
      <c r="G168">
        <v>15.81</v>
      </c>
      <c r="H168" t="s">
        <v>397</v>
      </c>
      <c r="I168" t="s">
        <v>128</v>
      </c>
      <c r="J168" t="s">
        <v>20</v>
      </c>
      <c r="K168" t="s">
        <v>38</v>
      </c>
      <c r="L168">
        <f t="shared" si="6"/>
        <v>320</v>
      </c>
      <c r="M168">
        <f t="shared" si="7"/>
        <v>126.48</v>
      </c>
      <c r="N168">
        <f t="shared" si="8"/>
        <v>193.51999999999998</v>
      </c>
      <c r="O168" cm="1">
        <f t="array" ref="O168">_xlfn.LET(_xlpm.cat, Greenleaf[[#This Row],[Product Category]], _xlpm.prices, _xlfn._xlws.FILTER(Greenleaf[Unit Price], (Greenleaf[Product Category]=_xlpm.cat)*(Greenleaf[Unit Price]&lt;&gt;"")), IFERROR(MEDIAN(_xlpm.prices), ""))</f>
        <v>40</v>
      </c>
      <c r="P168">
        <f>IF(Greenleaf[[#This Row],[Shipment Status]]="Returned",1,0)</f>
        <v>0</v>
      </c>
      <c r="Q168">
        <f>IF(Greenleaf[[#This Row],[Shipment Status]]="Delivered",1,0)</f>
        <v>0</v>
      </c>
    </row>
    <row r="169" spans="1:17" x14ac:dyDescent="0.45">
      <c r="A169" t="s">
        <v>398</v>
      </c>
      <c r="B169">
        <v>45348</v>
      </c>
      <c r="C169" t="s">
        <v>30</v>
      </c>
      <c r="D169" t="s">
        <v>31</v>
      </c>
      <c r="E169">
        <v>7</v>
      </c>
      <c r="F169">
        <v>40</v>
      </c>
      <c r="G169">
        <v>9.9700000000000006</v>
      </c>
      <c r="H169" t="s">
        <v>136</v>
      </c>
      <c r="I169" t="s">
        <v>137</v>
      </c>
      <c r="J169" t="s">
        <v>27</v>
      </c>
      <c r="K169" t="s">
        <v>38</v>
      </c>
      <c r="L169">
        <f t="shared" si="6"/>
        <v>280</v>
      </c>
      <c r="M169">
        <f t="shared" si="7"/>
        <v>69.790000000000006</v>
      </c>
      <c r="N169">
        <f t="shared" si="8"/>
        <v>210.20999999999998</v>
      </c>
      <c r="O169" cm="1">
        <f t="array" ref="O169">_xlfn.LET(_xlpm.cat, Greenleaf[[#This Row],[Product Category]], _xlpm.prices, _xlfn._xlws.FILTER(Greenleaf[Unit Price], (Greenleaf[Product Category]=_xlpm.cat)*(Greenleaf[Unit Price]&lt;&gt;"")), IFERROR(MEDIAN(_xlpm.prices), ""))</f>
        <v>40</v>
      </c>
      <c r="P169">
        <f>IF(Greenleaf[[#This Row],[Shipment Status]]="Returned",1,0)</f>
        <v>0</v>
      </c>
      <c r="Q169">
        <f>IF(Greenleaf[[#This Row],[Shipment Status]]="Delivered",1,0)</f>
        <v>1</v>
      </c>
    </row>
    <row r="170" spans="1:17" x14ac:dyDescent="0.45">
      <c r="A170" t="s">
        <v>399</v>
      </c>
      <c r="B170">
        <v>45348</v>
      </c>
      <c r="C170" t="s">
        <v>23</v>
      </c>
      <c r="D170" t="s">
        <v>24</v>
      </c>
      <c r="E170">
        <v>3</v>
      </c>
      <c r="F170">
        <v>25</v>
      </c>
      <c r="G170">
        <v>5.54</v>
      </c>
      <c r="H170" t="s">
        <v>368</v>
      </c>
      <c r="I170" t="s">
        <v>369</v>
      </c>
      <c r="J170" t="s">
        <v>20</v>
      </c>
      <c r="K170" t="s">
        <v>70</v>
      </c>
      <c r="L170">
        <f t="shared" si="6"/>
        <v>75</v>
      </c>
      <c r="M170">
        <f t="shared" si="7"/>
        <v>16.62</v>
      </c>
      <c r="N170">
        <f t="shared" si="8"/>
        <v>58.379999999999995</v>
      </c>
      <c r="O170" cm="1">
        <f t="array" ref="O170">_xlfn.LET(_xlpm.cat, Greenleaf[[#This Row],[Product Category]], _xlpm.prices, _xlfn._xlws.FILTER(Greenleaf[Unit Price], (Greenleaf[Product Category]=_xlpm.cat)*(Greenleaf[Unit Price]&lt;&gt;"")), IFERROR(MEDIAN(_xlpm.prices), ""))</f>
        <v>25</v>
      </c>
      <c r="P170">
        <f>IF(Greenleaf[[#This Row],[Shipment Status]]="Returned",1,0)</f>
        <v>0</v>
      </c>
      <c r="Q170">
        <f>IF(Greenleaf[[#This Row],[Shipment Status]]="Delivered",1,0)</f>
        <v>0</v>
      </c>
    </row>
    <row r="171" spans="1:17" x14ac:dyDescent="0.45">
      <c r="A171" t="s">
        <v>400</v>
      </c>
      <c r="B171">
        <v>45348</v>
      </c>
      <c r="C171" t="s">
        <v>49</v>
      </c>
      <c r="D171" t="s">
        <v>50</v>
      </c>
      <c r="E171">
        <v>6</v>
      </c>
      <c r="F171">
        <v>15</v>
      </c>
      <c r="G171">
        <v>3.31</v>
      </c>
      <c r="H171" t="s">
        <v>387</v>
      </c>
      <c r="I171" t="s">
        <v>161</v>
      </c>
      <c r="J171" t="s">
        <v>42</v>
      </c>
      <c r="K171" t="s">
        <v>70</v>
      </c>
      <c r="L171">
        <f t="shared" si="6"/>
        <v>90</v>
      </c>
      <c r="M171">
        <f t="shared" si="7"/>
        <v>19.86</v>
      </c>
      <c r="N171">
        <f t="shared" si="8"/>
        <v>70.14</v>
      </c>
      <c r="O171" cm="1">
        <f t="array" ref="O171">_xlfn.LET(_xlpm.cat, Greenleaf[[#This Row],[Product Category]], _xlpm.prices, _xlfn._xlws.FILTER(Greenleaf[Unit Price], (Greenleaf[Product Category]=_xlpm.cat)*(Greenleaf[Unit Price]&lt;&gt;"")), IFERROR(MEDIAN(_xlpm.prices), ""))</f>
        <v>15</v>
      </c>
      <c r="P171">
        <f>IF(Greenleaf[[#This Row],[Shipment Status]]="Returned",1,0)</f>
        <v>1</v>
      </c>
      <c r="Q171">
        <f>IF(Greenleaf[[#This Row],[Shipment Status]]="Delivered",1,0)</f>
        <v>0</v>
      </c>
    </row>
    <row r="172" spans="1:17" x14ac:dyDescent="0.45">
      <c r="A172" t="s">
        <v>401</v>
      </c>
      <c r="B172">
        <v>45348</v>
      </c>
      <c r="C172" t="s">
        <v>16</v>
      </c>
      <c r="D172" t="s">
        <v>17</v>
      </c>
      <c r="E172">
        <v>10</v>
      </c>
      <c r="F172">
        <v>10</v>
      </c>
      <c r="G172">
        <v>2.98</v>
      </c>
      <c r="H172" t="s">
        <v>402</v>
      </c>
      <c r="I172" t="s">
        <v>403</v>
      </c>
      <c r="J172" t="s">
        <v>27</v>
      </c>
      <c r="K172" t="s">
        <v>34</v>
      </c>
      <c r="L172">
        <f t="shared" si="6"/>
        <v>100</v>
      </c>
      <c r="M172">
        <f t="shared" si="7"/>
        <v>29.8</v>
      </c>
      <c r="N172">
        <f t="shared" si="8"/>
        <v>70.2</v>
      </c>
      <c r="O172" cm="1">
        <f t="array" ref="O172">_xlfn.LET(_xlpm.cat, Greenleaf[[#This Row],[Product Category]], _xlpm.prices, _xlfn._xlws.FILTER(Greenleaf[Unit Price], (Greenleaf[Product Category]=_xlpm.cat)*(Greenleaf[Unit Price]&lt;&gt;"")), IFERROR(MEDIAN(_xlpm.prices), ""))</f>
        <v>10</v>
      </c>
      <c r="P172">
        <f>IF(Greenleaf[[#This Row],[Shipment Status]]="Returned",1,0)</f>
        <v>0</v>
      </c>
      <c r="Q172">
        <f>IF(Greenleaf[[#This Row],[Shipment Status]]="Delivered",1,0)</f>
        <v>1</v>
      </c>
    </row>
    <row r="173" spans="1:17" x14ac:dyDescent="0.45">
      <c r="A173" t="s">
        <v>404</v>
      </c>
      <c r="B173">
        <v>45349</v>
      </c>
      <c r="C173" t="s">
        <v>23</v>
      </c>
      <c r="D173" t="s">
        <v>24</v>
      </c>
      <c r="E173">
        <v>10</v>
      </c>
      <c r="F173">
        <v>25</v>
      </c>
      <c r="G173">
        <v>6.26</v>
      </c>
      <c r="H173" t="s">
        <v>405</v>
      </c>
      <c r="I173" t="s">
        <v>214</v>
      </c>
      <c r="J173" t="s">
        <v>27</v>
      </c>
      <c r="K173" t="s">
        <v>134</v>
      </c>
      <c r="L173">
        <f t="shared" si="6"/>
        <v>250</v>
      </c>
      <c r="M173">
        <f t="shared" si="7"/>
        <v>62.599999999999994</v>
      </c>
      <c r="N173">
        <f t="shared" si="8"/>
        <v>187.4</v>
      </c>
      <c r="O173" cm="1">
        <f t="array" ref="O173">_xlfn.LET(_xlpm.cat, Greenleaf[[#This Row],[Product Category]], _xlpm.prices, _xlfn._xlws.FILTER(Greenleaf[Unit Price], (Greenleaf[Product Category]=_xlpm.cat)*(Greenleaf[Unit Price]&lt;&gt;"")), IFERROR(MEDIAN(_xlpm.prices), ""))</f>
        <v>25</v>
      </c>
      <c r="P173">
        <f>IF(Greenleaf[[#This Row],[Shipment Status]]="Returned",1,0)</f>
        <v>0</v>
      </c>
      <c r="Q173">
        <f>IF(Greenleaf[[#This Row],[Shipment Status]]="Delivered",1,0)</f>
        <v>1</v>
      </c>
    </row>
    <row r="174" spans="1:17" x14ac:dyDescent="0.45">
      <c r="A174" t="s">
        <v>406</v>
      </c>
      <c r="B174">
        <v>45349</v>
      </c>
      <c r="C174" t="s">
        <v>30</v>
      </c>
      <c r="D174" t="s">
        <v>31</v>
      </c>
      <c r="E174">
        <v>5</v>
      </c>
      <c r="F174">
        <v>40</v>
      </c>
      <c r="G174">
        <v>15.18</v>
      </c>
      <c r="H174" t="s">
        <v>82</v>
      </c>
      <c r="I174" t="s">
        <v>83</v>
      </c>
      <c r="J174" t="s">
        <v>20</v>
      </c>
      <c r="K174" t="s">
        <v>38</v>
      </c>
      <c r="L174">
        <f t="shared" si="6"/>
        <v>200</v>
      </c>
      <c r="M174">
        <f t="shared" si="7"/>
        <v>75.900000000000006</v>
      </c>
      <c r="N174">
        <f t="shared" si="8"/>
        <v>124.1</v>
      </c>
      <c r="O174" cm="1">
        <f t="array" ref="O174">_xlfn.LET(_xlpm.cat, Greenleaf[[#This Row],[Product Category]], _xlpm.prices, _xlfn._xlws.FILTER(Greenleaf[Unit Price], (Greenleaf[Product Category]=_xlpm.cat)*(Greenleaf[Unit Price]&lt;&gt;"")), IFERROR(MEDIAN(_xlpm.prices), ""))</f>
        <v>40</v>
      </c>
      <c r="P174">
        <f>IF(Greenleaf[[#This Row],[Shipment Status]]="Returned",1,0)</f>
        <v>0</v>
      </c>
      <c r="Q174">
        <f>IF(Greenleaf[[#This Row],[Shipment Status]]="Delivered",1,0)</f>
        <v>0</v>
      </c>
    </row>
    <row r="175" spans="1:17" x14ac:dyDescent="0.45">
      <c r="A175" t="s">
        <v>407</v>
      </c>
      <c r="B175">
        <v>45349</v>
      </c>
      <c r="C175" t="s">
        <v>30</v>
      </c>
      <c r="D175" t="s">
        <v>31</v>
      </c>
      <c r="E175">
        <v>1</v>
      </c>
      <c r="F175">
        <v>40</v>
      </c>
      <c r="G175">
        <v>9.3699999999999992</v>
      </c>
      <c r="H175" t="s">
        <v>235</v>
      </c>
      <c r="I175" t="s">
        <v>236</v>
      </c>
      <c r="J175" t="s">
        <v>20</v>
      </c>
      <c r="K175" t="s">
        <v>56</v>
      </c>
      <c r="L175">
        <f t="shared" si="6"/>
        <v>40</v>
      </c>
      <c r="M175">
        <f t="shared" si="7"/>
        <v>9.3699999999999992</v>
      </c>
      <c r="N175">
        <f t="shared" si="8"/>
        <v>30.630000000000003</v>
      </c>
      <c r="O175" cm="1">
        <f t="array" ref="O175">_xlfn.LET(_xlpm.cat, Greenleaf[[#This Row],[Product Category]], _xlpm.prices, _xlfn._xlws.FILTER(Greenleaf[Unit Price], (Greenleaf[Product Category]=_xlpm.cat)*(Greenleaf[Unit Price]&lt;&gt;"")), IFERROR(MEDIAN(_xlpm.prices), ""))</f>
        <v>40</v>
      </c>
      <c r="P175">
        <f>IF(Greenleaf[[#This Row],[Shipment Status]]="Returned",1,0)</f>
        <v>0</v>
      </c>
      <c r="Q175">
        <f>IF(Greenleaf[[#This Row],[Shipment Status]]="Delivered",1,0)</f>
        <v>0</v>
      </c>
    </row>
    <row r="176" spans="1:17" x14ac:dyDescent="0.45">
      <c r="A176" t="s">
        <v>408</v>
      </c>
      <c r="B176">
        <v>45349</v>
      </c>
      <c r="C176" t="s">
        <v>23</v>
      </c>
      <c r="D176" t="s">
        <v>24</v>
      </c>
      <c r="E176">
        <v>5</v>
      </c>
      <c r="F176">
        <v>25</v>
      </c>
      <c r="G176">
        <v>6.89</v>
      </c>
      <c r="H176" t="s">
        <v>409</v>
      </c>
      <c r="I176" t="s">
        <v>19</v>
      </c>
      <c r="J176" t="s">
        <v>20</v>
      </c>
      <c r="K176" t="s">
        <v>70</v>
      </c>
      <c r="L176">
        <f t="shared" si="6"/>
        <v>125</v>
      </c>
      <c r="M176">
        <f t="shared" si="7"/>
        <v>34.449999999999996</v>
      </c>
      <c r="N176">
        <f t="shared" si="8"/>
        <v>90.550000000000011</v>
      </c>
      <c r="O176" cm="1">
        <f t="array" ref="O176">_xlfn.LET(_xlpm.cat, Greenleaf[[#This Row],[Product Category]], _xlpm.prices, _xlfn._xlws.FILTER(Greenleaf[Unit Price], (Greenleaf[Product Category]=_xlpm.cat)*(Greenleaf[Unit Price]&lt;&gt;"")), IFERROR(MEDIAN(_xlpm.prices), ""))</f>
        <v>25</v>
      </c>
      <c r="P176">
        <f>IF(Greenleaf[[#This Row],[Shipment Status]]="Returned",1,0)</f>
        <v>0</v>
      </c>
      <c r="Q176">
        <f>IF(Greenleaf[[#This Row],[Shipment Status]]="Delivered",1,0)</f>
        <v>0</v>
      </c>
    </row>
    <row r="177" spans="1:17" x14ac:dyDescent="0.45">
      <c r="A177" t="s">
        <v>410</v>
      </c>
      <c r="B177">
        <v>45349</v>
      </c>
      <c r="C177" t="s">
        <v>30</v>
      </c>
      <c r="D177" t="s">
        <v>31</v>
      </c>
      <c r="E177">
        <v>10</v>
      </c>
      <c r="F177">
        <v>40</v>
      </c>
      <c r="G177">
        <v>11.7</v>
      </c>
      <c r="H177" t="s">
        <v>411</v>
      </c>
      <c r="I177" t="s">
        <v>201</v>
      </c>
      <c r="J177" t="s">
        <v>42</v>
      </c>
      <c r="K177" t="s">
        <v>74</v>
      </c>
      <c r="L177">
        <f t="shared" si="6"/>
        <v>400</v>
      </c>
      <c r="M177">
        <f t="shared" si="7"/>
        <v>117</v>
      </c>
      <c r="N177">
        <f t="shared" si="8"/>
        <v>283</v>
      </c>
      <c r="O177" cm="1">
        <f t="array" ref="O177">_xlfn.LET(_xlpm.cat, Greenleaf[[#This Row],[Product Category]], _xlpm.prices, _xlfn._xlws.FILTER(Greenleaf[Unit Price], (Greenleaf[Product Category]=_xlpm.cat)*(Greenleaf[Unit Price]&lt;&gt;"")), IFERROR(MEDIAN(_xlpm.prices), ""))</f>
        <v>40</v>
      </c>
      <c r="P177">
        <f>IF(Greenleaf[[#This Row],[Shipment Status]]="Returned",1,0)</f>
        <v>1</v>
      </c>
      <c r="Q177">
        <f>IF(Greenleaf[[#This Row],[Shipment Status]]="Delivered",1,0)</f>
        <v>0</v>
      </c>
    </row>
    <row r="178" spans="1:17" x14ac:dyDescent="0.45">
      <c r="A178" t="s">
        <v>412</v>
      </c>
      <c r="B178">
        <v>45351</v>
      </c>
      <c r="C178" t="s">
        <v>23</v>
      </c>
      <c r="D178" t="s">
        <v>24</v>
      </c>
      <c r="E178">
        <v>2</v>
      </c>
      <c r="F178">
        <v>25</v>
      </c>
      <c r="G178">
        <v>7.19</v>
      </c>
      <c r="H178" t="s">
        <v>361</v>
      </c>
      <c r="I178" t="s">
        <v>357</v>
      </c>
      <c r="J178" t="s">
        <v>27</v>
      </c>
      <c r="K178" t="s">
        <v>56</v>
      </c>
      <c r="L178">
        <f t="shared" si="6"/>
        <v>50</v>
      </c>
      <c r="M178">
        <f t="shared" si="7"/>
        <v>14.38</v>
      </c>
      <c r="N178">
        <f t="shared" si="8"/>
        <v>35.619999999999997</v>
      </c>
      <c r="O178" cm="1">
        <f t="array" ref="O178">_xlfn.LET(_xlpm.cat, Greenleaf[[#This Row],[Product Category]], _xlpm.prices, _xlfn._xlws.FILTER(Greenleaf[Unit Price], (Greenleaf[Product Category]=_xlpm.cat)*(Greenleaf[Unit Price]&lt;&gt;"")), IFERROR(MEDIAN(_xlpm.prices), ""))</f>
        <v>25</v>
      </c>
      <c r="P178">
        <f>IF(Greenleaf[[#This Row],[Shipment Status]]="Returned",1,0)</f>
        <v>0</v>
      </c>
      <c r="Q178">
        <f>IF(Greenleaf[[#This Row],[Shipment Status]]="Delivered",1,0)</f>
        <v>1</v>
      </c>
    </row>
    <row r="179" spans="1:17" x14ac:dyDescent="0.45">
      <c r="A179" t="s">
        <v>413</v>
      </c>
      <c r="B179">
        <v>45352</v>
      </c>
      <c r="C179" t="s">
        <v>16</v>
      </c>
      <c r="D179" t="s">
        <v>17</v>
      </c>
      <c r="E179">
        <v>8</v>
      </c>
      <c r="F179">
        <v>10</v>
      </c>
      <c r="G179">
        <v>3.89</v>
      </c>
      <c r="H179" t="s">
        <v>414</v>
      </c>
      <c r="I179" t="s">
        <v>357</v>
      </c>
      <c r="J179" t="s">
        <v>20</v>
      </c>
      <c r="K179" t="s">
        <v>38</v>
      </c>
      <c r="L179">
        <f t="shared" si="6"/>
        <v>80</v>
      </c>
      <c r="M179">
        <f t="shared" si="7"/>
        <v>31.12</v>
      </c>
      <c r="N179">
        <f t="shared" si="8"/>
        <v>48.879999999999995</v>
      </c>
      <c r="O179" cm="1">
        <f t="array" ref="O179">_xlfn.LET(_xlpm.cat, Greenleaf[[#This Row],[Product Category]], _xlpm.prices, _xlfn._xlws.FILTER(Greenleaf[Unit Price], (Greenleaf[Product Category]=_xlpm.cat)*(Greenleaf[Unit Price]&lt;&gt;"")), IFERROR(MEDIAN(_xlpm.prices), ""))</f>
        <v>10</v>
      </c>
      <c r="P179">
        <f>IF(Greenleaf[[#This Row],[Shipment Status]]="Returned",1,0)</f>
        <v>0</v>
      </c>
      <c r="Q179">
        <f>IF(Greenleaf[[#This Row],[Shipment Status]]="Delivered",1,0)</f>
        <v>0</v>
      </c>
    </row>
    <row r="180" spans="1:17" x14ac:dyDescent="0.45">
      <c r="A180" t="s">
        <v>415</v>
      </c>
      <c r="B180">
        <v>45352</v>
      </c>
      <c r="C180" t="s">
        <v>23</v>
      </c>
      <c r="D180" t="s">
        <v>24</v>
      </c>
      <c r="E180">
        <v>2</v>
      </c>
      <c r="F180">
        <v>25</v>
      </c>
      <c r="G180">
        <v>5.81</v>
      </c>
      <c r="H180" t="s">
        <v>416</v>
      </c>
      <c r="I180" t="s">
        <v>403</v>
      </c>
      <c r="J180" t="s">
        <v>27</v>
      </c>
      <c r="K180" t="s">
        <v>59</v>
      </c>
      <c r="L180">
        <f t="shared" si="6"/>
        <v>50</v>
      </c>
      <c r="M180">
        <f t="shared" si="7"/>
        <v>11.62</v>
      </c>
      <c r="N180">
        <f t="shared" si="8"/>
        <v>38.380000000000003</v>
      </c>
      <c r="O180" cm="1">
        <f t="array" ref="O180">_xlfn.LET(_xlpm.cat, Greenleaf[[#This Row],[Product Category]], _xlpm.prices, _xlfn._xlws.FILTER(Greenleaf[Unit Price], (Greenleaf[Product Category]=_xlpm.cat)*(Greenleaf[Unit Price]&lt;&gt;"")), IFERROR(MEDIAN(_xlpm.prices), ""))</f>
        <v>25</v>
      </c>
      <c r="P180">
        <f>IF(Greenleaf[[#This Row],[Shipment Status]]="Returned",1,0)</f>
        <v>0</v>
      </c>
      <c r="Q180">
        <f>IF(Greenleaf[[#This Row],[Shipment Status]]="Delivered",1,0)</f>
        <v>1</v>
      </c>
    </row>
    <row r="181" spans="1:17" x14ac:dyDescent="0.45">
      <c r="A181" t="s">
        <v>417</v>
      </c>
      <c r="B181">
        <v>45353</v>
      </c>
      <c r="C181" t="s">
        <v>49</v>
      </c>
      <c r="D181" t="s">
        <v>50</v>
      </c>
      <c r="E181">
        <v>5</v>
      </c>
      <c r="F181">
        <v>15</v>
      </c>
      <c r="G181">
        <v>4.7</v>
      </c>
      <c r="H181" t="s">
        <v>418</v>
      </c>
      <c r="I181" t="s">
        <v>105</v>
      </c>
      <c r="J181" t="s">
        <v>20</v>
      </c>
      <c r="K181" t="s">
        <v>43</v>
      </c>
      <c r="L181">
        <f t="shared" si="6"/>
        <v>75</v>
      </c>
      <c r="M181">
        <f t="shared" si="7"/>
        <v>23.5</v>
      </c>
      <c r="N181">
        <f t="shared" si="8"/>
        <v>51.5</v>
      </c>
      <c r="O181" cm="1">
        <f t="array" ref="O181">_xlfn.LET(_xlpm.cat, Greenleaf[[#This Row],[Product Category]], _xlpm.prices, _xlfn._xlws.FILTER(Greenleaf[Unit Price], (Greenleaf[Product Category]=_xlpm.cat)*(Greenleaf[Unit Price]&lt;&gt;"")), IFERROR(MEDIAN(_xlpm.prices), ""))</f>
        <v>15</v>
      </c>
      <c r="P181">
        <f>IF(Greenleaf[[#This Row],[Shipment Status]]="Returned",1,0)</f>
        <v>0</v>
      </c>
      <c r="Q181">
        <f>IF(Greenleaf[[#This Row],[Shipment Status]]="Delivered",1,0)</f>
        <v>0</v>
      </c>
    </row>
    <row r="182" spans="1:17" x14ac:dyDescent="0.45">
      <c r="A182" t="s">
        <v>419</v>
      </c>
      <c r="B182">
        <v>45353</v>
      </c>
      <c r="C182" t="s">
        <v>30</v>
      </c>
      <c r="D182" t="s">
        <v>31</v>
      </c>
      <c r="E182">
        <v>9</v>
      </c>
      <c r="F182">
        <v>40</v>
      </c>
      <c r="G182">
        <v>9.41</v>
      </c>
      <c r="H182" t="s">
        <v>420</v>
      </c>
      <c r="I182" t="s">
        <v>242</v>
      </c>
      <c r="J182" t="s">
        <v>47</v>
      </c>
      <c r="K182" t="s">
        <v>56</v>
      </c>
      <c r="L182">
        <f t="shared" si="6"/>
        <v>360</v>
      </c>
      <c r="M182">
        <f t="shared" si="7"/>
        <v>84.69</v>
      </c>
      <c r="N182">
        <f t="shared" si="8"/>
        <v>275.31</v>
      </c>
      <c r="O182" cm="1">
        <f t="array" ref="O182">_xlfn.LET(_xlpm.cat, Greenleaf[[#This Row],[Product Category]], _xlpm.prices, _xlfn._xlws.FILTER(Greenleaf[Unit Price], (Greenleaf[Product Category]=_xlpm.cat)*(Greenleaf[Unit Price]&lt;&gt;"")), IFERROR(MEDIAN(_xlpm.prices), ""))</f>
        <v>40</v>
      </c>
      <c r="P182">
        <f>IF(Greenleaf[[#This Row],[Shipment Status]]="Returned",1,0)</f>
        <v>0</v>
      </c>
      <c r="Q182">
        <f>IF(Greenleaf[[#This Row],[Shipment Status]]="Delivered",1,0)</f>
        <v>0</v>
      </c>
    </row>
    <row r="183" spans="1:17" x14ac:dyDescent="0.45">
      <c r="A183" t="s">
        <v>421</v>
      </c>
      <c r="B183">
        <v>45353</v>
      </c>
      <c r="C183" t="s">
        <v>49</v>
      </c>
      <c r="D183" t="s">
        <v>50</v>
      </c>
      <c r="E183">
        <v>4</v>
      </c>
      <c r="F183">
        <v>15</v>
      </c>
      <c r="G183">
        <v>4.91</v>
      </c>
      <c r="H183" t="s">
        <v>89</v>
      </c>
      <c r="I183" t="s">
        <v>90</v>
      </c>
      <c r="J183" t="s">
        <v>42</v>
      </c>
      <c r="K183" t="s">
        <v>56</v>
      </c>
      <c r="L183">
        <f t="shared" si="6"/>
        <v>60</v>
      </c>
      <c r="M183">
        <f t="shared" si="7"/>
        <v>19.64</v>
      </c>
      <c r="N183">
        <f t="shared" si="8"/>
        <v>40.36</v>
      </c>
      <c r="O183" cm="1">
        <f t="array" ref="O183">_xlfn.LET(_xlpm.cat, Greenleaf[[#This Row],[Product Category]], _xlpm.prices, _xlfn._xlws.FILTER(Greenleaf[Unit Price], (Greenleaf[Product Category]=_xlpm.cat)*(Greenleaf[Unit Price]&lt;&gt;"")), IFERROR(MEDIAN(_xlpm.prices), ""))</f>
        <v>15</v>
      </c>
      <c r="P183">
        <f>IF(Greenleaf[[#This Row],[Shipment Status]]="Returned",1,0)</f>
        <v>1</v>
      </c>
      <c r="Q183">
        <f>IF(Greenleaf[[#This Row],[Shipment Status]]="Delivered",1,0)</f>
        <v>0</v>
      </c>
    </row>
    <row r="184" spans="1:17" x14ac:dyDescent="0.45">
      <c r="A184" t="s">
        <v>422</v>
      </c>
      <c r="B184">
        <v>45353</v>
      </c>
      <c r="C184" t="s">
        <v>49</v>
      </c>
      <c r="D184" t="s">
        <v>50</v>
      </c>
      <c r="E184">
        <v>8</v>
      </c>
      <c r="F184">
        <v>15</v>
      </c>
      <c r="G184">
        <v>3.02</v>
      </c>
      <c r="H184" t="s">
        <v>99</v>
      </c>
      <c r="I184" t="s">
        <v>100</v>
      </c>
      <c r="J184" t="s">
        <v>27</v>
      </c>
      <c r="K184" t="s">
        <v>74</v>
      </c>
      <c r="L184">
        <f t="shared" si="6"/>
        <v>120</v>
      </c>
      <c r="M184">
        <f t="shared" si="7"/>
        <v>24.16</v>
      </c>
      <c r="N184">
        <f t="shared" si="8"/>
        <v>95.84</v>
      </c>
      <c r="O184" cm="1">
        <f t="array" ref="O184">_xlfn.LET(_xlpm.cat, Greenleaf[[#This Row],[Product Category]], _xlpm.prices, _xlfn._xlws.FILTER(Greenleaf[Unit Price], (Greenleaf[Product Category]=_xlpm.cat)*(Greenleaf[Unit Price]&lt;&gt;"")), IFERROR(MEDIAN(_xlpm.prices), ""))</f>
        <v>15</v>
      </c>
      <c r="P184">
        <f>IF(Greenleaf[[#This Row],[Shipment Status]]="Returned",1,0)</f>
        <v>0</v>
      </c>
      <c r="Q184">
        <f>IF(Greenleaf[[#This Row],[Shipment Status]]="Delivered",1,0)</f>
        <v>1</v>
      </c>
    </row>
    <row r="185" spans="1:17" x14ac:dyDescent="0.45">
      <c r="A185" t="s">
        <v>423</v>
      </c>
      <c r="B185">
        <v>45353</v>
      </c>
      <c r="C185" t="s">
        <v>23</v>
      </c>
      <c r="D185" t="s">
        <v>24</v>
      </c>
      <c r="E185">
        <v>1</v>
      </c>
      <c r="F185">
        <v>25</v>
      </c>
      <c r="G185">
        <v>5.23</v>
      </c>
      <c r="H185" t="s">
        <v>424</v>
      </c>
      <c r="I185" t="s">
        <v>192</v>
      </c>
      <c r="J185" t="s">
        <v>27</v>
      </c>
      <c r="K185" t="s">
        <v>43</v>
      </c>
      <c r="L185">
        <f t="shared" si="6"/>
        <v>25</v>
      </c>
      <c r="M185">
        <f t="shared" si="7"/>
        <v>5.23</v>
      </c>
      <c r="N185">
        <f t="shared" si="8"/>
        <v>19.77</v>
      </c>
      <c r="O185" cm="1">
        <f t="array" ref="O185">_xlfn.LET(_xlpm.cat, Greenleaf[[#This Row],[Product Category]], _xlpm.prices, _xlfn._xlws.FILTER(Greenleaf[Unit Price], (Greenleaf[Product Category]=_xlpm.cat)*(Greenleaf[Unit Price]&lt;&gt;"")), IFERROR(MEDIAN(_xlpm.prices), ""))</f>
        <v>25</v>
      </c>
      <c r="P185">
        <f>IF(Greenleaf[[#This Row],[Shipment Status]]="Returned",1,0)</f>
        <v>0</v>
      </c>
      <c r="Q185">
        <f>IF(Greenleaf[[#This Row],[Shipment Status]]="Delivered",1,0)</f>
        <v>1</v>
      </c>
    </row>
    <row r="186" spans="1:17" x14ac:dyDescent="0.45">
      <c r="A186" t="s">
        <v>425</v>
      </c>
      <c r="B186">
        <v>45354</v>
      </c>
      <c r="C186" t="s">
        <v>23</v>
      </c>
      <c r="D186" t="s">
        <v>24</v>
      </c>
      <c r="E186">
        <v>8</v>
      </c>
      <c r="F186">
        <v>25</v>
      </c>
      <c r="G186">
        <v>6.86</v>
      </c>
      <c r="H186" t="s">
        <v>411</v>
      </c>
      <c r="I186" t="s">
        <v>201</v>
      </c>
      <c r="J186" t="s">
        <v>47</v>
      </c>
      <c r="K186" t="s">
        <v>134</v>
      </c>
      <c r="L186">
        <f t="shared" si="6"/>
        <v>200</v>
      </c>
      <c r="M186">
        <f t="shared" si="7"/>
        <v>54.88</v>
      </c>
      <c r="N186">
        <f t="shared" si="8"/>
        <v>145.12</v>
      </c>
      <c r="O186" cm="1">
        <f t="array" ref="O186">_xlfn.LET(_xlpm.cat, Greenleaf[[#This Row],[Product Category]], _xlpm.prices, _xlfn._xlws.FILTER(Greenleaf[Unit Price], (Greenleaf[Product Category]=_xlpm.cat)*(Greenleaf[Unit Price]&lt;&gt;"")), IFERROR(MEDIAN(_xlpm.prices), ""))</f>
        <v>25</v>
      </c>
      <c r="P186">
        <f>IF(Greenleaf[[#This Row],[Shipment Status]]="Returned",1,0)</f>
        <v>0</v>
      </c>
      <c r="Q186">
        <f>IF(Greenleaf[[#This Row],[Shipment Status]]="Delivered",1,0)</f>
        <v>0</v>
      </c>
    </row>
    <row r="187" spans="1:17" x14ac:dyDescent="0.45">
      <c r="A187" t="s">
        <v>426</v>
      </c>
      <c r="B187">
        <v>45354</v>
      </c>
      <c r="C187" t="s">
        <v>49</v>
      </c>
      <c r="D187" t="s">
        <v>50</v>
      </c>
      <c r="E187">
        <v>1</v>
      </c>
      <c r="F187">
        <v>15</v>
      </c>
      <c r="G187">
        <v>3.91</v>
      </c>
      <c r="H187" t="s">
        <v>185</v>
      </c>
      <c r="I187" t="s">
        <v>186</v>
      </c>
      <c r="J187" t="s">
        <v>20</v>
      </c>
      <c r="K187" t="s">
        <v>43</v>
      </c>
      <c r="L187">
        <f t="shared" si="6"/>
        <v>15</v>
      </c>
      <c r="M187">
        <f t="shared" si="7"/>
        <v>3.91</v>
      </c>
      <c r="N187">
        <f t="shared" si="8"/>
        <v>11.09</v>
      </c>
      <c r="O187" cm="1">
        <f t="array" ref="O187">_xlfn.LET(_xlpm.cat, Greenleaf[[#This Row],[Product Category]], _xlpm.prices, _xlfn._xlws.FILTER(Greenleaf[Unit Price], (Greenleaf[Product Category]=_xlpm.cat)*(Greenleaf[Unit Price]&lt;&gt;"")), IFERROR(MEDIAN(_xlpm.prices), ""))</f>
        <v>15</v>
      </c>
      <c r="P187">
        <f>IF(Greenleaf[[#This Row],[Shipment Status]]="Returned",1,0)</f>
        <v>0</v>
      </c>
      <c r="Q187">
        <f>IF(Greenleaf[[#This Row],[Shipment Status]]="Delivered",1,0)</f>
        <v>0</v>
      </c>
    </row>
    <row r="188" spans="1:17" x14ac:dyDescent="0.45">
      <c r="A188" t="s">
        <v>427</v>
      </c>
      <c r="B188">
        <v>45354</v>
      </c>
      <c r="C188" t="s">
        <v>30</v>
      </c>
      <c r="D188" t="s">
        <v>31</v>
      </c>
      <c r="E188">
        <v>8</v>
      </c>
      <c r="F188">
        <v>40</v>
      </c>
      <c r="G188">
        <v>14.99</v>
      </c>
      <c r="H188" t="s">
        <v>428</v>
      </c>
      <c r="I188" t="s">
        <v>429</v>
      </c>
      <c r="J188" t="s">
        <v>27</v>
      </c>
      <c r="K188" t="s">
        <v>59</v>
      </c>
      <c r="L188">
        <f t="shared" si="6"/>
        <v>320</v>
      </c>
      <c r="M188">
        <f t="shared" si="7"/>
        <v>119.92</v>
      </c>
      <c r="N188">
        <f t="shared" si="8"/>
        <v>200.07999999999998</v>
      </c>
      <c r="O188" cm="1">
        <f t="array" ref="O188">_xlfn.LET(_xlpm.cat, Greenleaf[[#This Row],[Product Category]], _xlpm.prices, _xlfn._xlws.FILTER(Greenleaf[Unit Price], (Greenleaf[Product Category]=_xlpm.cat)*(Greenleaf[Unit Price]&lt;&gt;"")), IFERROR(MEDIAN(_xlpm.prices), ""))</f>
        <v>40</v>
      </c>
      <c r="P188">
        <f>IF(Greenleaf[[#This Row],[Shipment Status]]="Returned",1,0)</f>
        <v>0</v>
      </c>
      <c r="Q188">
        <f>IF(Greenleaf[[#This Row],[Shipment Status]]="Delivered",1,0)</f>
        <v>1</v>
      </c>
    </row>
    <row r="189" spans="1:17" x14ac:dyDescent="0.45">
      <c r="A189" t="s">
        <v>430</v>
      </c>
      <c r="B189">
        <v>45355</v>
      </c>
      <c r="C189" t="s">
        <v>49</v>
      </c>
      <c r="D189" t="s">
        <v>50</v>
      </c>
      <c r="E189">
        <v>3</v>
      </c>
      <c r="F189">
        <v>15</v>
      </c>
      <c r="G189">
        <v>3.87</v>
      </c>
      <c r="H189" t="s">
        <v>238</v>
      </c>
      <c r="I189" t="s">
        <v>239</v>
      </c>
      <c r="J189" t="s">
        <v>27</v>
      </c>
      <c r="K189" t="s">
        <v>28</v>
      </c>
      <c r="L189">
        <f t="shared" si="6"/>
        <v>45</v>
      </c>
      <c r="M189">
        <f t="shared" si="7"/>
        <v>11.61</v>
      </c>
      <c r="N189">
        <f t="shared" si="8"/>
        <v>33.39</v>
      </c>
      <c r="O189" cm="1">
        <f t="array" ref="O189">_xlfn.LET(_xlpm.cat, Greenleaf[[#This Row],[Product Category]], _xlpm.prices, _xlfn._xlws.FILTER(Greenleaf[Unit Price], (Greenleaf[Product Category]=_xlpm.cat)*(Greenleaf[Unit Price]&lt;&gt;"")), IFERROR(MEDIAN(_xlpm.prices), ""))</f>
        <v>15</v>
      </c>
      <c r="P189">
        <f>IF(Greenleaf[[#This Row],[Shipment Status]]="Returned",1,0)</f>
        <v>0</v>
      </c>
      <c r="Q189">
        <f>IF(Greenleaf[[#This Row],[Shipment Status]]="Delivered",1,0)</f>
        <v>1</v>
      </c>
    </row>
    <row r="190" spans="1:17" x14ac:dyDescent="0.45">
      <c r="A190" t="s">
        <v>431</v>
      </c>
      <c r="B190">
        <v>45355</v>
      </c>
      <c r="C190" t="s">
        <v>66</v>
      </c>
      <c r="D190" t="s">
        <v>67</v>
      </c>
      <c r="E190">
        <v>5</v>
      </c>
      <c r="F190">
        <v>12</v>
      </c>
      <c r="G190">
        <v>2.98</v>
      </c>
      <c r="H190" t="s">
        <v>89</v>
      </c>
      <c r="I190" t="s">
        <v>90</v>
      </c>
      <c r="J190" t="s">
        <v>27</v>
      </c>
      <c r="K190" t="s">
        <v>56</v>
      </c>
      <c r="L190">
        <f t="shared" si="6"/>
        <v>60</v>
      </c>
      <c r="M190">
        <f t="shared" si="7"/>
        <v>14.9</v>
      </c>
      <c r="N190">
        <f t="shared" si="8"/>
        <v>45.1</v>
      </c>
      <c r="O190" cm="1">
        <f t="array" ref="O190">_xlfn.LET(_xlpm.cat, Greenleaf[[#This Row],[Product Category]], _xlpm.prices, _xlfn._xlws.FILTER(Greenleaf[Unit Price], (Greenleaf[Product Category]=_xlpm.cat)*(Greenleaf[Unit Price]&lt;&gt;"")), IFERROR(MEDIAN(_xlpm.prices), ""))</f>
        <v>12</v>
      </c>
      <c r="P190">
        <f>IF(Greenleaf[[#This Row],[Shipment Status]]="Returned",1,0)</f>
        <v>0</v>
      </c>
      <c r="Q190">
        <f>IF(Greenleaf[[#This Row],[Shipment Status]]="Delivered",1,0)</f>
        <v>1</v>
      </c>
    </row>
    <row r="191" spans="1:17" x14ac:dyDescent="0.45">
      <c r="A191" t="s">
        <v>432</v>
      </c>
      <c r="B191">
        <v>45355</v>
      </c>
      <c r="C191" t="s">
        <v>66</v>
      </c>
      <c r="D191" t="s">
        <v>67</v>
      </c>
      <c r="E191">
        <v>1</v>
      </c>
      <c r="F191">
        <v>12</v>
      </c>
      <c r="G191">
        <v>3.44</v>
      </c>
      <c r="H191" t="s">
        <v>213</v>
      </c>
      <c r="I191" t="s">
        <v>214</v>
      </c>
      <c r="J191" t="s">
        <v>20</v>
      </c>
      <c r="K191" t="s">
        <v>56</v>
      </c>
      <c r="L191">
        <f t="shared" si="6"/>
        <v>12</v>
      </c>
      <c r="M191">
        <f t="shared" si="7"/>
        <v>3.44</v>
      </c>
      <c r="N191">
        <f t="shared" si="8"/>
        <v>8.56</v>
      </c>
      <c r="O191" cm="1">
        <f t="array" ref="O191">_xlfn.LET(_xlpm.cat, Greenleaf[[#This Row],[Product Category]], _xlpm.prices, _xlfn._xlws.FILTER(Greenleaf[Unit Price], (Greenleaf[Product Category]=_xlpm.cat)*(Greenleaf[Unit Price]&lt;&gt;"")), IFERROR(MEDIAN(_xlpm.prices), ""))</f>
        <v>12</v>
      </c>
      <c r="P191">
        <f>IF(Greenleaf[[#This Row],[Shipment Status]]="Returned",1,0)</f>
        <v>0</v>
      </c>
      <c r="Q191">
        <f>IF(Greenleaf[[#This Row],[Shipment Status]]="Delivered",1,0)</f>
        <v>0</v>
      </c>
    </row>
    <row r="192" spans="1:17" x14ac:dyDescent="0.45">
      <c r="A192" t="s">
        <v>433</v>
      </c>
      <c r="B192">
        <v>45356</v>
      </c>
      <c r="C192" t="s">
        <v>49</v>
      </c>
      <c r="D192" t="s">
        <v>50</v>
      </c>
      <c r="E192">
        <v>7</v>
      </c>
      <c r="F192">
        <v>15</v>
      </c>
      <c r="G192">
        <v>5.35</v>
      </c>
      <c r="H192" t="s">
        <v>434</v>
      </c>
      <c r="I192" t="s">
        <v>257</v>
      </c>
      <c r="J192" t="s">
        <v>27</v>
      </c>
      <c r="K192" t="s">
        <v>21</v>
      </c>
      <c r="L192">
        <f t="shared" si="6"/>
        <v>105</v>
      </c>
      <c r="M192">
        <f t="shared" si="7"/>
        <v>37.449999999999996</v>
      </c>
      <c r="N192">
        <f t="shared" si="8"/>
        <v>67.550000000000011</v>
      </c>
      <c r="O192" cm="1">
        <f t="array" ref="O192">_xlfn.LET(_xlpm.cat, Greenleaf[[#This Row],[Product Category]], _xlpm.prices, _xlfn._xlws.FILTER(Greenleaf[Unit Price], (Greenleaf[Product Category]=_xlpm.cat)*(Greenleaf[Unit Price]&lt;&gt;"")), IFERROR(MEDIAN(_xlpm.prices), ""))</f>
        <v>15</v>
      </c>
      <c r="P192">
        <f>IF(Greenleaf[[#This Row],[Shipment Status]]="Returned",1,0)</f>
        <v>0</v>
      </c>
      <c r="Q192">
        <f>IF(Greenleaf[[#This Row],[Shipment Status]]="Delivered",1,0)</f>
        <v>1</v>
      </c>
    </row>
    <row r="193" spans="1:17" x14ac:dyDescent="0.45">
      <c r="A193" t="s">
        <v>435</v>
      </c>
      <c r="B193">
        <v>45357</v>
      </c>
      <c r="C193" t="s">
        <v>49</v>
      </c>
      <c r="D193" t="s">
        <v>50</v>
      </c>
      <c r="E193">
        <v>7</v>
      </c>
      <c r="F193">
        <v>15</v>
      </c>
      <c r="G193">
        <v>5.0999999999999996</v>
      </c>
      <c r="H193" t="s">
        <v>436</v>
      </c>
      <c r="I193" t="s">
        <v>437</v>
      </c>
      <c r="J193" t="s">
        <v>27</v>
      </c>
      <c r="K193" t="s">
        <v>43</v>
      </c>
      <c r="L193">
        <f t="shared" si="6"/>
        <v>105</v>
      </c>
      <c r="M193">
        <f t="shared" si="7"/>
        <v>35.699999999999996</v>
      </c>
      <c r="N193">
        <f t="shared" si="8"/>
        <v>69.300000000000011</v>
      </c>
      <c r="O193" cm="1">
        <f t="array" ref="O193">_xlfn.LET(_xlpm.cat, Greenleaf[[#This Row],[Product Category]], _xlpm.prices, _xlfn._xlws.FILTER(Greenleaf[Unit Price], (Greenleaf[Product Category]=_xlpm.cat)*(Greenleaf[Unit Price]&lt;&gt;"")), IFERROR(MEDIAN(_xlpm.prices), ""))</f>
        <v>15</v>
      </c>
      <c r="P193">
        <f>IF(Greenleaf[[#This Row],[Shipment Status]]="Returned",1,0)</f>
        <v>0</v>
      </c>
      <c r="Q193">
        <f>IF(Greenleaf[[#This Row],[Shipment Status]]="Delivered",1,0)</f>
        <v>1</v>
      </c>
    </row>
    <row r="194" spans="1:17" x14ac:dyDescent="0.45">
      <c r="A194" t="s">
        <v>438</v>
      </c>
      <c r="B194">
        <v>45357</v>
      </c>
      <c r="C194" t="s">
        <v>66</v>
      </c>
      <c r="D194" t="s">
        <v>67</v>
      </c>
      <c r="E194">
        <v>2</v>
      </c>
      <c r="F194">
        <v>12</v>
      </c>
      <c r="G194">
        <v>4.1100000000000003</v>
      </c>
      <c r="H194" t="s">
        <v>439</v>
      </c>
      <c r="I194" t="s">
        <v>440</v>
      </c>
      <c r="J194" t="s">
        <v>20</v>
      </c>
      <c r="K194" t="s">
        <v>28</v>
      </c>
      <c r="L194">
        <f t="shared" ref="L194:L257" si="9">E194*F194</f>
        <v>24</v>
      </c>
      <c r="M194">
        <f t="shared" ref="M194:M257" si="10">E194*G194</f>
        <v>8.2200000000000006</v>
      </c>
      <c r="N194">
        <f t="shared" ref="N194:N257" si="11">L194-M194</f>
        <v>15.78</v>
      </c>
      <c r="O194" cm="1">
        <f t="array" ref="O194">_xlfn.LET(_xlpm.cat, Greenleaf[[#This Row],[Product Category]], _xlpm.prices, _xlfn._xlws.FILTER(Greenleaf[Unit Price], (Greenleaf[Product Category]=_xlpm.cat)*(Greenleaf[Unit Price]&lt;&gt;"")), IFERROR(MEDIAN(_xlpm.prices), ""))</f>
        <v>12</v>
      </c>
      <c r="P194">
        <f>IF(Greenleaf[[#This Row],[Shipment Status]]="Returned",1,0)</f>
        <v>0</v>
      </c>
      <c r="Q194">
        <f>IF(Greenleaf[[#This Row],[Shipment Status]]="Delivered",1,0)</f>
        <v>0</v>
      </c>
    </row>
    <row r="195" spans="1:17" x14ac:dyDescent="0.45">
      <c r="A195" t="s">
        <v>441</v>
      </c>
      <c r="B195">
        <v>45357</v>
      </c>
      <c r="C195" t="s">
        <v>16</v>
      </c>
      <c r="D195" t="s">
        <v>17</v>
      </c>
      <c r="E195">
        <v>3</v>
      </c>
      <c r="F195">
        <v>10</v>
      </c>
      <c r="G195">
        <v>3.11</v>
      </c>
      <c r="H195" t="s">
        <v>235</v>
      </c>
      <c r="I195" t="s">
        <v>236</v>
      </c>
      <c r="J195" t="s">
        <v>27</v>
      </c>
      <c r="K195" t="s">
        <v>28</v>
      </c>
      <c r="L195">
        <f t="shared" si="9"/>
        <v>30</v>
      </c>
      <c r="M195">
        <f t="shared" si="10"/>
        <v>9.33</v>
      </c>
      <c r="N195">
        <f t="shared" si="11"/>
        <v>20.67</v>
      </c>
      <c r="O195" cm="1">
        <f t="array" ref="O195">_xlfn.LET(_xlpm.cat, Greenleaf[[#This Row],[Product Category]], _xlpm.prices, _xlfn._xlws.FILTER(Greenleaf[Unit Price], (Greenleaf[Product Category]=_xlpm.cat)*(Greenleaf[Unit Price]&lt;&gt;"")), IFERROR(MEDIAN(_xlpm.prices), ""))</f>
        <v>10</v>
      </c>
      <c r="P195">
        <f>IF(Greenleaf[[#This Row],[Shipment Status]]="Returned",1,0)</f>
        <v>0</v>
      </c>
      <c r="Q195">
        <f>IF(Greenleaf[[#This Row],[Shipment Status]]="Delivered",1,0)</f>
        <v>1</v>
      </c>
    </row>
    <row r="196" spans="1:17" x14ac:dyDescent="0.45">
      <c r="A196" t="s">
        <v>442</v>
      </c>
      <c r="B196">
        <v>45357</v>
      </c>
      <c r="C196" t="s">
        <v>16</v>
      </c>
      <c r="D196" t="s">
        <v>17</v>
      </c>
      <c r="E196">
        <v>5</v>
      </c>
      <c r="F196">
        <v>10</v>
      </c>
      <c r="G196">
        <v>2.19</v>
      </c>
      <c r="H196" t="s">
        <v>443</v>
      </c>
      <c r="I196" t="s">
        <v>444</v>
      </c>
      <c r="J196" t="s">
        <v>47</v>
      </c>
      <c r="K196" t="s">
        <v>43</v>
      </c>
      <c r="L196">
        <f t="shared" si="9"/>
        <v>50</v>
      </c>
      <c r="M196">
        <f t="shared" si="10"/>
        <v>10.95</v>
      </c>
      <c r="N196">
        <f t="shared" si="11"/>
        <v>39.049999999999997</v>
      </c>
      <c r="O196" cm="1">
        <f t="array" ref="O196">_xlfn.LET(_xlpm.cat, Greenleaf[[#This Row],[Product Category]], _xlpm.prices, _xlfn._xlws.FILTER(Greenleaf[Unit Price], (Greenleaf[Product Category]=_xlpm.cat)*(Greenleaf[Unit Price]&lt;&gt;"")), IFERROR(MEDIAN(_xlpm.prices), ""))</f>
        <v>10</v>
      </c>
      <c r="P196">
        <f>IF(Greenleaf[[#This Row],[Shipment Status]]="Returned",1,0)</f>
        <v>0</v>
      </c>
      <c r="Q196">
        <f>IF(Greenleaf[[#This Row],[Shipment Status]]="Delivered",1,0)</f>
        <v>0</v>
      </c>
    </row>
    <row r="197" spans="1:17" x14ac:dyDescent="0.45">
      <c r="A197" t="s">
        <v>445</v>
      </c>
      <c r="B197">
        <v>45357</v>
      </c>
      <c r="C197" t="s">
        <v>66</v>
      </c>
      <c r="D197" t="s">
        <v>67</v>
      </c>
      <c r="E197">
        <v>7</v>
      </c>
      <c r="F197">
        <v>12</v>
      </c>
      <c r="G197">
        <v>3.6</v>
      </c>
      <c r="H197" t="s">
        <v>263</v>
      </c>
      <c r="I197" t="s">
        <v>128</v>
      </c>
      <c r="J197" t="s">
        <v>20</v>
      </c>
      <c r="K197" t="s">
        <v>28</v>
      </c>
      <c r="L197">
        <f t="shared" si="9"/>
        <v>84</v>
      </c>
      <c r="M197">
        <f t="shared" si="10"/>
        <v>25.2</v>
      </c>
      <c r="N197">
        <f t="shared" si="11"/>
        <v>58.8</v>
      </c>
      <c r="O197" cm="1">
        <f t="array" ref="O197">_xlfn.LET(_xlpm.cat, Greenleaf[[#This Row],[Product Category]], _xlpm.prices, _xlfn._xlws.FILTER(Greenleaf[Unit Price], (Greenleaf[Product Category]=_xlpm.cat)*(Greenleaf[Unit Price]&lt;&gt;"")), IFERROR(MEDIAN(_xlpm.prices), ""))</f>
        <v>12</v>
      </c>
      <c r="P197">
        <f>IF(Greenleaf[[#This Row],[Shipment Status]]="Returned",1,0)</f>
        <v>0</v>
      </c>
      <c r="Q197">
        <f>IF(Greenleaf[[#This Row],[Shipment Status]]="Delivered",1,0)</f>
        <v>0</v>
      </c>
    </row>
    <row r="198" spans="1:17" x14ac:dyDescent="0.45">
      <c r="A198" t="s">
        <v>446</v>
      </c>
      <c r="B198">
        <v>45357</v>
      </c>
      <c r="C198" t="s">
        <v>16</v>
      </c>
      <c r="D198" t="s">
        <v>17</v>
      </c>
      <c r="E198">
        <v>2</v>
      </c>
      <c r="F198">
        <v>10</v>
      </c>
      <c r="G198">
        <v>3.92</v>
      </c>
      <c r="H198" t="s">
        <v>139</v>
      </c>
      <c r="I198" t="s">
        <v>140</v>
      </c>
      <c r="J198" t="s">
        <v>27</v>
      </c>
      <c r="K198" t="s">
        <v>134</v>
      </c>
      <c r="L198">
        <f t="shared" si="9"/>
        <v>20</v>
      </c>
      <c r="M198">
        <f t="shared" si="10"/>
        <v>7.84</v>
      </c>
      <c r="N198">
        <f t="shared" si="11"/>
        <v>12.16</v>
      </c>
      <c r="O198" cm="1">
        <f t="array" ref="O198">_xlfn.LET(_xlpm.cat, Greenleaf[[#This Row],[Product Category]], _xlpm.prices, _xlfn._xlws.FILTER(Greenleaf[Unit Price], (Greenleaf[Product Category]=_xlpm.cat)*(Greenleaf[Unit Price]&lt;&gt;"")), IFERROR(MEDIAN(_xlpm.prices), ""))</f>
        <v>10</v>
      </c>
      <c r="P198">
        <f>IF(Greenleaf[[#This Row],[Shipment Status]]="Returned",1,0)</f>
        <v>0</v>
      </c>
      <c r="Q198">
        <f>IF(Greenleaf[[#This Row],[Shipment Status]]="Delivered",1,0)</f>
        <v>1</v>
      </c>
    </row>
    <row r="199" spans="1:17" x14ac:dyDescent="0.45">
      <c r="A199" t="s">
        <v>447</v>
      </c>
      <c r="B199">
        <v>45357</v>
      </c>
      <c r="C199" t="s">
        <v>23</v>
      </c>
      <c r="D199" t="s">
        <v>24</v>
      </c>
      <c r="E199">
        <v>10</v>
      </c>
      <c r="F199">
        <v>25</v>
      </c>
      <c r="G199">
        <v>6.02</v>
      </c>
      <c r="H199" t="s">
        <v>324</v>
      </c>
      <c r="I199" t="s">
        <v>62</v>
      </c>
      <c r="J199" t="s">
        <v>42</v>
      </c>
      <c r="K199" t="s">
        <v>56</v>
      </c>
      <c r="L199">
        <f t="shared" si="9"/>
        <v>250</v>
      </c>
      <c r="M199">
        <f t="shared" si="10"/>
        <v>60.199999999999996</v>
      </c>
      <c r="N199">
        <f t="shared" si="11"/>
        <v>189.8</v>
      </c>
      <c r="O199" cm="1">
        <f t="array" ref="O199">_xlfn.LET(_xlpm.cat, Greenleaf[[#This Row],[Product Category]], _xlpm.prices, _xlfn._xlws.FILTER(Greenleaf[Unit Price], (Greenleaf[Product Category]=_xlpm.cat)*(Greenleaf[Unit Price]&lt;&gt;"")), IFERROR(MEDIAN(_xlpm.prices), ""))</f>
        <v>25</v>
      </c>
      <c r="P199">
        <f>IF(Greenleaf[[#This Row],[Shipment Status]]="Returned",1,0)</f>
        <v>1</v>
      </c>
      <c r="Q199">
        <f>IF(Greenleaf[[#This Row],[Shipment Status]]="Delivered",1,0)</f>
        <v>0</v>
      </c>
    </row>
    <row r="200" spans="1:17" x14ac:dyDescent="0.45">
      <c r="A200" t="s">
        <v>448</v>
      </c>
      <c r="B200">
        <v>45358</v>
      </c>
      <c r="C200" t="s">
        <v>23</v>
      </c>
      <c r="D200" t="s">
        <v>24</v>
      </c>
      <c r="E200">
        <v>2</v>
      </c>
      <c r="F200">
        <v>25</v>
      </c>
      <c r="G200">
        <v>5.62</v>
      </c>
      <c r="H200" t="s">
        <v>449</v>
      </c>
      <c r="I200" t="s">
        <v>450</v>
      </c>
      <c r="J200" t="s">
        <v>20</v>
      </c>
      <c r="K200" t="s">
        <v>21</v>
      </c>
      <c r="L200">
        <f t="shared" si="9"/>
        <v>50</v>
      </c>
      <c r="M200">
        <f t="shared" si="10"/>
        <v>11.24</v>
      </c>
      <c r="N200">
        <f t="shared" si="11"/>
        <v>38.76</v>
      </c>
      <c r="O200" cm="1">
        <f t="array" ref="O200">_xlfn.LET(_xlpm.cat, Greenleaf[[#This Row],[Product Category]], _xlpm.prices, _xlfn._xlws.FILTER(Greenleaf[Unit Price], (Greenleaf[Product Category]=_xlpm.cat)*(Greenleaf[Unit Price]&lt;&gt;"")), IFERROR(MEDIAN(_xlpm.prices), ""))</f>
        <v>25</v>
      </c>
      <c r="P200">
        <f>IF(Greenleaf[[#This Row],[Shipment Status]]="Returned",1,0)</f>
        <v>0</v>
      </c>
      <c r="Q200">
        <f>IF(Greenleaf[[#This Row],[Shipment Status]]="Delivered",1,0)</f>
        <v>0</v>
      </c>
    </row>
    <row r="201" spans="1:17" x14ac:dyDescent="0.45">
      <c r="A201" t="s">
        <v>451</v>
      </c>
      <c r="B201">
        <v>45358</v>
      </c>
      <c r="C201" t="s">
        <v>66</v>
      </c>
      <c r="D201" t="s">
        <v>67</v>
      </c>
      <c r="E201">
        <v>7</v>
      </c>
      <c r="F201">
        <v>12</v>
      </c>
      <c r="G201">
        <v>4.74</v>
      </c>
      <c r="H201" t="s">
        <v>251</v>
      </c>
      <c r="I201" t="s">
        <v>252</v>
      </c>
      <c r="J201" t="s">
        <v>20</v>
      </c>
      <c r="K201" t="s">
        <v>134</v>
      </c>
      <c r="L201">
        <f t="shared" si="9"/>
        <v>84</v>
      </c>
      <c r="M201">
        <f t="shared" si="10"/>
        <v>33.18</v>
      </c>
      <c r="N201">
        <f t="shared" si="11"/>
        <v>50.82</v>
      </c>
      <c r="O201" cm="1">
        <f t="array" ref="O201">_xlfn.LET(_xlpm.cat, Greenleaf[[#This Row],[Product Category]], _xlpm.prices, _xlfn._xlws.FILTER(Greenleaf[Unit Price], (Greenleaf[Product Category]=_xlpm.cat)*(Greenleaf[Unit Price]&lt;&gt;"")), IFERROR(MEDIAN(_xlpm.prices), ""))</f>
        <v>12</v>
      </c>
      <c r="P201">
        <f>IF(Greenleaf[[#This Row],[Shipment Status]]="Returned",1,0)</f>
        <v>0</v>
      </c>
      <c r="Q201">
        <f>IF(Greenleaf[[#This Row],[Shipment Status]]="Delivered",1,0)</f>
        <v>0</v>
      </c>
    </row>
    <row r="202" spans="1:17" x14ac:dyDescent="0.45">
      <c r="A202" t="s">
        <v>452</v>
      </c>
      <c r="B202">
        <v>45359</v>
      </c>
      <c r="C202" t="s">
        <v>23</v>
      </c>
      <c r="D202" t="s">
        <v>24</v>
      </c>
      <c r="E202">
        <v>3</v>
      </c>
      <c r="F202">
        <v>25</v>
      </c>
      <c r="G202">
        <v>8.43</v>
      </c>
      <c r="H202" t="s">
        <v>453</v>
      </c>
      <c r="I202" t="s">
        <v>454</v>
      </c>
      <c r="J202" t="s">
        <v>20</v>
      </c>
      <c r="K202" t="s">
        <v>34</v>
      </c>
      <c r="L202">
        <f t="shared" si="9"/>
        <v>75</v>
      </c>
      <c r="M202">
        <f t="shared" si="10"/>
        <v>25.29</v>
      </c>
      <c r="N202">
        <f t="shared" si="11"/>
        <v>49.71</v>
      </c>
      <c r="O202" cm="1">
        <f t="array" ref="O202">_xlfn.LET(_xlpm.cat, Greenleaf[[#This Row],[Product Category]], _xlpm.prices, _xlfn._xlws.FILTER(Greenleaf[Unit Price], (Greenleaf[Product Category]=_xlpm.cat)*(Greenleaf[Unit Price]&lt;&gt;"")), IFERROR(MEDIAN(_xlpm.prices), ""))</f>
        <v>25</v>
      </c>
      <c r="P202">
        <f>IF(Greenleaf[[#This Row],[Shipment Status]]="Returned",1,0)</f>
        <v>0</v>
      </c>
      <c r="Q202">
        <f>IF(Greenleaf[[#This Row],[Shipment Status]]="Delivered",1,0)</f>
        <v>0</v>
      </c>
    </row>
    <row r="203" spans="1:17" x14ac:dyDescent="0.45">
      <c r="A203" t="s">
        <v>455</v>
      </c>
      <c r="B203">
        <v>45359</v>
      </c>
      <c r="C203" t="s">
        <v>30</v>
      </c>
      <c r="D203" t="s">
        <v>31</v>
      </c>
      <c r="E203">
        <v>10</v>
      </c>
      <c r="F203">
        <v>40</v>
      </c>
      <c r="G203">
        <v>14.31</v>
      </c>
      <c r="H203" t="s">
        <v>382</v>
      </c>
      <c r="I203" t="s">
        <v>383</v>
      </c>
      <c r="J203" t="s">
        <v>27</v>
      </c>
      <c r="K203" t="s">
        <v>38</v>
      </c>
      <c r="L203">
        <f t="shared" si="9"/>
        <v>400</v>
      </c>
      <c r="M203">
        <f t="shared" si="10"/>
        <v>143.1</v>
      </c>
      <c r="N203">
        <f t="shared" si="11"/>
        <v>256.89999999999998</v>
      </c>
      <c r="O203" cm="1">
        <f t="array" ref="O203">_xlfn.LET(_xlpm.cat, Greenleaf[[#This Row],[Product Category]], _xlpm.prices, _xlfn._xlws.FILTER(Greenleaf[Unit Price], (Greenleaf[Product Category]=_xlpm.cat)*(Greenleaf[Unit Price]&lt;&gt;"")), IFERROR(MEDIAN(_xlpm.prices), ""))</f>
        <v>40</v>
      </c>
      <c r="P203">
        <f>IF(Greenleaf[[#This Row],[Shipment Status]]="Returned",1,0)</f>
        <v>0</v>
      </c>
      <c r="Q203">
        <f>IF(Greenleaf[[#This Row],[Shipment Status]]="Delivered",1,0)</f>
        <v>1</v>
      </c>
    </row>
    <row r="204" spans="1:17" x14ac:dyDescent="0.45">
      <c r="A204" t="s">
        <v>456</v>
      </c>
      <c r="B204">
        <v>45359</v>
      </c>
      <c r="C204" t="s">
        <v>16</v>
      </c>
      <c r="D204" t="s">
        <v>17</v>
      </c>
      <c r="E204">
        <v>9</v>
      </c>
      <c r="F204">
        <v>10</v>
      </c>
      <c r="G204">
        <v>2.67</v>
      </c>
      <c r="H204" t="s">
        <v>457</v>
      </c>
      <c r="I204" t="s">
        <v>458</v>
      </c>
      <c r="J204" t="s">
        <v>20</v>
      </c>
      <c r="K204" t="s">
        <v>74</v>
      </c>
      <c r="L204">
        <f t="shared" si="9"/>
        <v>90</v>
      </c>
      <c r="M204">
        <f t="shared" si="10"/>
        <v>24.03</v>
      </c>
      <c r="N204">
        <f t="shared" si="11"/>
        <v>65.97</v>
      </c>
      <c r="O204" cm="1">
        <f t="array" ref="O204">_xlfn.LET(_xlpm.cat, Greenleaf[[#This Row],[Product Category]], _xlpm.prices, _xlfn._xlws.FILTER(Greenleaf[Unit Price], (Greenleaf[Product Category]=_xlpm.cat)*(Greenleaf[Unit Price]&lt;&gt;"")), IFERROR(MEDIAN(_xlpm.prices), ""))</f>
        <v>10</v>
      </c>
      <c r="P204">
        <f>IF(Greenleaf[[#This Row],[Shipment Status]]="Returned",1,0)</f>
        <v>0</v>
      </c>
      <c r="Q204">
        <f>IF(Greenleaf[[#This Row],[Shipment Status]]="Delivered",1,0)</f>
        <v>0</v>
      </c>
    </row>
    <row r="205" spans="1:17" x14ac:dyDescent="0.45">
      <c r="A205" t="s">
        <v>459</v>
      </c>
      <c r="B205">
        <v>45359</v>
      </c>
      <c r="C205" t="s">
        <v>66</v>
      </c>
      <c r="D205" t="s">
        <v>67</v>
      </c>
      <c r="E205">
        <v>4</v>
      </c>
      <c r="F205">
        <v>12</v>
      </c>
      <c r="G205">
        <v>2.87</v>
      </c>
      <c r="H205" t="s">
        <v>108</v>
      </c>
      <c r="I205" t="s">
        <v>109</v>
      </c>
      <c r="J205" t="s">
        <v>27</v>
      </c>
      <c r="K205" t="s">
        <v>21</v>
      </c>
      <c r="L205">
        <f t="shared" si="9"/>
        <v>48</v>
      </c>
      <c r="M205">
        <f t="shared" si="10"/>
        <v>11.48</v>
      </c>
      <c r="N205">
        <f t="shared" si="11"/>
        <v>36.519999999999996</v>
      </c>
      <c r="O205" cm="1">
        <f t="array" ref="O205">_xlfn.LET(_xlpm.cat, Greenleaf[[#This Row],[Product Category]], _xlpm.prices, _xlfn._xlws.FILTER(Greenleaf[Unit Price], (Greenleaf[Product Category]=_xlpm.cat)*(Greenleaf[Unit Price]&lt;&gt;"")), IFERROR(MEDIAN(_xlpm.prices), ""))</f>
        <v>12</v>
      </c>
      <c r="P205">
        <f>IF(Greenleaf[[#This Row],[Shipment Status]]="Returned",1,0)</f>
        <v>0</v>
      </c>
      <c r="Q205">
        <f>IF(Greenleaf[[#This Row],[Shipment Status]]="Delivered",1,0)</f>
        <v>1</v>
      </c>
    </row>
    <row r="206" spans="1:17" x14ac:dyDescent="0.45">
      <c r="A206" t="s">
        <v>460</v>
      </c>
      <c r="B206">
        <v>45359</v>
      </c>
      <c r="C206" t="s">
        <v>23</v>
      </c>
      <c r="D206" t="s">
        <v>24</v>
      </c>
      <c r="E206">
        <v>10</v>
      </c>
      <c r="F206">
        <v>25</v>
      </c>
      <c r="G206">
        <v>8.3699999999999992</v>
      </c>
      <c r="H206" t="s">
        <v>89</v>
      </c>
      <c r="I206" t="s">
        <v>90</v>
      </c>
      <c r="J206" t="s">
        <v>27</v>
      </c>
      <c r="K206" t="s">
        <v>70</v>
      </c>
      <c r="L206">
        <f t="shared" si="9"/>
        <v>250</v>
      </c>
      <c r="M206">
        <f t="shared" si="10"/>
        <v>83.699999999999989</v>
      </c>
      <c r="N206">
        <f t="shared" si="11"/>
        <v>166.3</v>
      </c>
      <c r="O206" cm="1">
        <f t="array" ref="O206">_xlfn.LET(_xlpm.cat, Greenleaf[[#This Row],[Product Category]], _xlpm.prices, _xlfn._xlws.FILTER(Greenleaf[Unit Price], (Greenleaf[Product Category]=_xlpm.cat)*(Greenleaf[Unit Price]&lt;&gt;"")), IFERROR(MEDIAN(_xlpm.prices), ""))</f>
        <v>25</v>
      </c>
      <c r="P206">
        <f>IF(Greenleaf[[#This Row],[Shipment Status]]="Returned",1,0)</f>
        <v>0</v>
      </c>
      <c r="Q206">
        <f>IF(Greenleaf[[#This Row],[Shipment Status]]="Delivered",1,0)</f>
        <v>1</v>
      </c>
    </row>
    <row r="207" spans="1:17" x14ac:dyDescent="0.45">
      <c r="A207" t="s">
        <v>461</v>
      </c>
      <c r="B207">
        <v>45359</v>
      </c>
      <c r="C207" t="s">
        <v>30</v>
      </c>
      <c r="D207" t="s">
        <v>31</v>
      </c>
      <c r="E207">
        <v>4</v>
      </c>
      <c r="F207">
        <v>40</v>
      </c>
      <c r="G207">
        <v>12.92</v>
      </c>
      <c r="H207" t="s">
        <v>361</v>
      </c>
      <c r="I207" t="s">
        <v>357</v>
      </c>
      <c r="J207" t="s">
        <v>27</v>
      </c>
      <c r="K207" t="s">
        <v>34</v>
      </c>
      <c r="L207">
        <f t="shared" si="9"/>
        <v>160</v>
      </c>
      <c r="M207">
        <f t="shared" si="10"/>
        <v>51.68</v>
      </c>
      <c r="N207">
        <f t="shared" si="11"/>
        <v>108.32</v>
      </c>
      <c r="O207" cm="1">
        <f t="array" ref="O207">_xlfn.LET(_xlpm.cat, Greenleaf[[#This Row],[Product Category]], _xlpm.prices, _xlfn._xlws.FILTER(Greenleaf[Unit Price], (Greenleaf[Product Category]=_xlpm.cat)*(Greenleaf[Unit Price]&lt;&gt;"")), IFERROR(MEDIAN(_xlpm.prices), ""))</f>
        <v>40</v>
      </c>
      <c r="P207">
        <f>IF(Greenleaf[[#This Row],[Shipment Status]]="Returned",1,0)</f>
        <v>0</v>
      </c>
      <c r="Q207">
        <f>IF(Greenleaf[[#This Row],[Shipment Status]]="Delivered",1,0)</f>
        <v>1</v>
      </c>
    </row>
    <row r="208" spans="1:17" x14ac:dyDescent="0.45">
      <c r="A208" t="s">
        <v>462</v>
      </c>
      <c r="B208">
        <v>45360</v>
      </c>
      <c r="C208" t="s">
        <v>16</v>
      </c>
      <c r="D208" t="s">
        <v>17</v>
      </c>
      <c r="E208">
        <v>6</v>
      </c>
      <c r="F208">
        <v>10</v>
      </c>
      <c r="G208">
        <v>3.16</v>
      </c>
      <c r="H208" t="s">
        <v>313</v>
      </c>
      <c r="I208" t="s">
        <v>314</v>
      </c>
      <c r="J208" t="s">
        <v>27</v>
      </c>
      <c r="K208" t="s">
        <v>74</v>
      </c>
      <c r="L208">
        <f t="shared" si="9"/>
        <v>60</v>
      </c>
      <c r="M208">
        <f t="shared" si="10"/>
        <v>18.96</v>
      </c>
      <c r="N208">
        <f t="shared" si="11"/>
        <v>41.04</v>
      </c>
      <c r="O208" cm="1">
        <f t="array" ref="O208">_xlfn.LET(_xlpm.cat, Greenleaf[[#This Row],[Product Category]], _xlpm.prices, _xlfn._xlws.FILTER(Greenleaf[Unit Price], (Greenleaf[Product Category]=_xlpm.cat)*(Greenleaf[Unit Price]&lt;&gt;"")), IFERROR(MEDIAN(_xlpm.prices), ""))</f>
        <v>10</v>
      </c>
      <c r="P208">
        <f>IF(Greenleaf[[#This Row],[Shipment Status]]="Returned",1,0)</f>
        <v>0</v>
      </c>
      <c r="Q208">
        <f>IF(Greenleaf[[#This Row],[Shipment Status]]="Delivered",1,0)</f>
        <v>1</v>
      </c>
    </row>
    <row r="209" spans="1:17" x14ac:dyDescent="0.45">
      <c r="A209" t="s">
        <v>463</v>
      </c>
      <c r="B209">
        <v>45360</v>
      </c>
      <c r="C209" t="s">
        <v>16</v>
      </c>
      <c r="D209" t="s">
        <v>17</v>
      </c>
      <c r="E209">
        <v>9</v>
      </c>
      <c r="F209">
        <v>10</v>
      </c>
      <c r="G209">
        <v>2.2999999999999998</v>
      </c>
      <c r="H209" t="s">
        <v>389</v>
      </c>
      <c r="I209" t="s">
        <v>390</v>
      </c>
      <c r="J209" t="s">
        <v>27</v>
      </c>
      <c r="K209" t="s">
        <v>21</v>
      </c>
      <c r="L209">
        <f t="shared" si="9"/>
        <v>90</v>
      </c>
      <c r="M209">
        <f t="shared" si="10"/>
        <v>20.7</v>
      </c>
      <c r="N209">
        <f t="shared" si="11"/>
        <v>69.3</v>
      </c>
      <c r="O209" cm="1">
        <f t="array" ref="O209">_xlfn.LET(_xlpm.cat, Greenleaf[[#This Row],[Product Category]], _xlpm.prices, _xlfn._xlws.FILTER(Greenleaf[Unit Price], (Greenleaf[Product Category]=_xlpm.cat)*(Greenleaf[Unit Price]&lt;&gt;"")), IFERROR(MEDIAN(_xlpm.prices), ""))</f>
        <v>10</v>
      </c>
      <c r="P209">
        <f>IF(Greenleaf[[#This Row],[Shipment Status]]="Returned",1,0)</f>
        <v>0</v>
      </c>
      <c r="Q209">
        <f>IF(Greenleaf[[#This Row],[Shipment Status]]="Delivered",1,0)</f>
        <v>1</v>
      </c>
    </row>
    <row r="210" spans="1:17" x14ac:dyDescent="0.45">
      <c r="A210" t="s">
        <v>464</v>
      </c>
      <c r="B210">
        <v>45360</v>
      </c>
      <c r="C210" t="s">
        <v>23</v>
      </c>
      <c r="D210" t="s">
        <v>24</v>
      </c>
      <c r="E210">
        <v>1</v>
      </c>
      <c r="F210">
        <v>25</v>
      </c>
      <c r="G210">
        <v>8.83</v>
      </c>
      <c r="H210" t="s">
        <v>111</v>
      </c>
      <c r="I210" t="s">
        <v>112</v>
      </c>
      <c r="J210" t="s">
        <v>27</v>
      </c>
      <c r="K210" t="s">
        <v>34</v>
      </c>
      <c r="L210">
        <f t="shared" si="9"/>
        <v>25</v>
      </c>
      <c r="M210">
        <f t="shared" si="10"/>
        <v>8.83</v>
      </c>
      <c r="N210">
        <f t="shared" si="11"/>
        <v>16.170000000000002</v>
      </c>
      <c r="O210" cm="1">
        <f t="array" ref="O210">_xlfn.LET(_xlpm.cat, Greenleaf[[#This Row],[Product Category]], _xlpm.prices, _xlfn._xlws.FILTER(Greenleaf[Unit Price], (Greenleaf[Product Category]=_xlpm.cat)*(Greenleaf[Unit Price]&lt;&gt;"")), IFERROR(MEDIAN(_xlpm.prices), ""))</f>
        <v>25</v>
      </c>
      <c r="P210">
        <f>IF(Greenleaf[[#This Row],[Shipment Status]]="Returned",1,0)</f>
        <v>0</v>
      </c>
      <c r="Q210">
        <f>IF(Greenleaf[[#This Row],[Shipment Status]]="Delivered",1,0)</f>
        <v>1</v>
      </c>
    </row>
    <row r="211" spans="1:17" x14ac:dyDescent="0.45">
      <c r="A211" t="s">
        <v>465</v>
      </c>
      <c r="B211">
        <v>45361</v>
      </c>
      <c r="C211" t="s">
        <v>49</v>
      </c>
      <c r="D211" t="s">
        <v>50</v>
      </c>
      <c r="E211">
        <v>9</v>
      </c>
      <c r="F211">
        <v>15</v>
      </c>
      <c r="G211">
        <v>5.95</v>
      </c>
      <c r="H211" t="s">
        <v>409</v>
      </c>
      <c r="I211" t="s">
        <v>19</v>
      </c>
      <c r="J211" t="s">
        <v>20</v>
      </c>
      <c r="K211" t="s">
        <v>21</v>
      </c>
      <c r="L211">
        <f t="shared" si="9"/>
        <v>135</v>
      </c>
      <c r="M211">
        <f t="shared" si="10"/>
        <v>53.550000000000004</v>
      </c>
      <c r="N211">
        <f t="shared" si="11"/>
        <v>81.449999999999989</v>
      </c>
      <c r="O211" cm="1">
        <f t="array" ref="O211">_xlfn.LET(_xlpm.cat, Greenleaf[[#This Row],[Product Category]], _xlpm.prices, _xlfn._xlws.FILTER(Greenleaf[Unit Price], (Greenleaf[Product Category]=_xlpm.cat)*(Greenleaf[Unit Price]&lt;&gt;"")), IFERROR(MEDIAN(_xlpm.prices), ""))</f>
        <v>15</v>
      </c>
      <c r="P211">
        <f>IF(Greenleaf[[#This Row],[Shipment Status]]="Returned",1,0)</f>
        <v>0</v>
      </c>
      <c r="Q211">
        <f>IF(Greenleaf[[#This Row],[Shipment Status]]="Delivered",1,0)</f>
        <v>0</v>
      </c>
    </row>
    <row r="212" spans="1:17" x14ac:dyDescent="0.45">
      <c r="A212" t="s">
        <v>466</v>
      </c>
      <c r="B212">
        <v>45361</v>
      </c>
      <c r="C212" t="s">
        <v>30</v>
      </c>
      <c r="D212" t="s">
        <v>31</v>
      </c>
      <c r="E212">
        <v>2</v>
      </c>
      <c r="F212">
        <v>40</v>
      </c>
      <c r="G212">
        <v>12.52</v>
      </c>
      <c r="H212" t="s">
        <v>414</v>
      </c>
      <c r="I212" t="s">
        <v>357</v>
      </c>
      <c r="J212" t="s">
        <v>27</v>
      </c>
      <c r="K212" t="s">
        <v>59</v>
      </c>
      <c r="L212">
        <f t="shared" si="9"/>
        <v>80</v>
      </c>
      <c r="M212">
        <f t="shared" si="10"/>
        <v>25.04</v>
      </c>
      <c r="N212">
        <f t="shared" si="11"/>
        <v>54.96</v>
      </c>
      <c r="O212" cm="1">
        <f t="array" ref="O212">_xlfn.LET(_xlpm.cat, Greenleaf[[#This Row],[Product Category]], _xlpm.prices, _xlfn._xlws.FILTER(Greenleaf[Unit Price], (Greenleaf[Product Category]=_xlpm.cat)*(Greenleaf[Unit Price]&lt;&gt;"")), IFERROR(MEDIAN(_xlpm.prices), ""))</f>
        <v>40</v>
      </c>
      <c r="P212">
        <f>IF(Greenleaf[[#This Row],[Shipment Status]]="Returned",1,0)</f>
        <v>0</v>
      </c>
      <c r="Q212">
        <f>IF(Greenleaf[[#This Row],[Shipment Status]]="Delivered",1,0)</f>
        <v>1</v>
      </c>
    </row>
    <row r="213" spans="1:17" x14ac:dyDescent="0.45">
      <c r="A213" t="s">
        <v>467</v>
      </c>
      <c r="B213">
        <v>45361</v>
      </c>
      <c r="C213" t="s">
        <v>30</v>
      </c>
      <c r="D213" t="s">
        <v>31</v>
      </c>
      <c r="E213">
        <v>8</v>
      </c>
      <c r="F213">
        <v>40</v>
      </c>
      <c r="G213">
        <v>12.66</v>
      </c>
      <c r="H213" t="s">
        <v>145</v>
      </c>
      <c r="I213" t="s">
        <v>146</v>
      </c>
      <c r="J213" t="s">
        <v>27</v>
      </c>
      <c r="K213" t="s">
        <v>28</v>
      </c>
      <c r="L213">
        <f t="shared" si="9"/>
        <v>320</v>
      </c>
      <c r="M213">
        <f t="shared" si="10"/>
        <v>101.28</v>
      </c>
      <c r="N213">
        <f t="shared" si="11"/>
        <v>218.72</v>
      </c>
      <c r="O213" cm="1">
        <f t="array" ref="O213">_xlfn.LET(_xlpm.cat, Greenleaf[[#This Row],[Product Category]], _xlpm.prices, _xlfn._xlws.FILTER(Greenleaf[Unit Price], (Greenleaf[Product Category]=_xlpm.cat)*(Greenleaf[Unit Price]&lt;&gt;"")), IFERROR(MEDIAN(_xlpm.prices), ""))</f>
        <v>40</v>
      </c>
      <c r="P213">
        <f>IF(Greenleaf[[#This Row],[Shipment Status]]="Returned",1,0)</f>
        <v>0</v>
      </c>
      <c r="Q213">
        <f>IF(Greenleaf[[#This Row],[Shipment Status]]="Delivered",1,0)</f>
        <v>1</v>
      </c>
    </row>
    <row r="214" spans="1:17" x14ac:dyDescent="0.45">
      <c r="A214" t="s">
        <v>468</v>
      </c>
      <c r="B214">
        <v>45361</v>
      </c>
      <c r="C214" t="s">
        <v>23</v>
      </c>
      <c r="D214" t="s">
        <v>24</v>
      </c>
      <c r="E214">
        <v>7</v>
      </c>
      <c r="F214">
        <v>25</v>
      </c>
      <c r="G214">
        <v>7.98</v>
      </c>
      <c r="H214" t="s">
        <v>469</v>
      </c>
      <c r="I214" t="s">
        <v>470</v>
      </c>
      <c r="J214" t="s">
        <v>42</v>
      </c>
      <c r="K214" t="s">
        <v>34</v>
      </c>
      <c r="L214">
        <f t="shared" si="9"/>
        <v>175</v>
      </c>
      <c r="M214">
        <f t="shared" si="10"/>
        <v>55.86</v>
      </c>
      <c r="N214">
        <f t="shared" si="11"/>
        <v>119.14</v>
      </c>
      <c r="O214" cm="1">
        <f t="array" ref="O214">_xlfn.LET(_xlpm.cat, Greenleaf[[#This Row],[Product Category]], _xlpm.prices, _xlfn._xlws.FILTER(Greenleaf[Unit Price], (Greenleaf[Product Category]=_xlpm.cat)*(Greenleaf[Unit Price]&lt;&gt;"")), IFERROR(MEDIAN(_xlpm.prices), ""))</f>
        <v>25</v>
      </c>
      <c r="P214">
        <f>IF(Greenleaf[[#This Row],[Shipment Status]]="Returned",1,0)</f>
        <v>1</v>
      </c>
      <c r="Q214">
        <f>IF(Greenleaf[[#This Row],[Shipment Status]]="Delivered",1,0)</f>
        <v>0</v>
      </c>
    </row>
    <row r="215" spans="1:17" x14ac:dyDescent="0.45">
      <c r="A215" t="s">
        <v>471</v>
      </c>
      <c r="B215">
        <v>45361</v>
      </c>
      <c r="C215" t="s">
        <v>30</v>
      </c>
      <c r="D215" t="s">
        <v>31</v>
      </c>
      <c r="E215">
        <v>7</v>
      </c>
      <c r="F215">
        <v>40</v>
      </c>
      <c r="G215">
        <v>8.81</v>
      </c>
      <c r="H215" t="s">
        <v>313</v>
      </c>
      <c r="I215" t="s">
        <v>314</v>
      </c>
      <c r="J215" t="s">
        <v>27</v>
      </c>
      <c r="K215" t="s">
        <v>21</v>
      </c>
      <c r="L215">
        <f t="shared" si="9"/>
        <v>280</v>
      </c>
      <c r="M215">
        <f t="shared" si="10"/>
        <v>61.67</v>
      </c>
      <c r="N215">
        <f t="shared" si="11"/>
        <v>218.32999999999998</v>
      </c>
      <c r="O215" cm="1">
        <f t="array" ref="O215">_xlfn.LET(_xlpm.cat, Greenleaf[[#This Row],[Product Category]], _xlpm.prices, _xlfn._xlws.FILTER(Greenleaf[Unit Price], (Greenleaf[Product Category]=_xlpm.cat)*(Greenleaf[Unit Price]&lt;&gt;"")), IFERROR(MEDIAN(_xlpm.prices), ""))</f>
        <v>40</v>
      </c>
      <c r="P215">
        <f>IF(Greenleaf[[#This Row],[Shipment Status]]="Returned",1,0)</f>
        <v>0</v>
      </c>
      <c r="Q215">
        <f>IF(Greenleaf[[#This Row],[Shipment Status]]="Delivered",1,0)</f>
        <v>1</v>
      </c>
    </row>
    <row r="216" spans="1:17" x14ac:dyDescent="0.45">
      <c r="A216" t="s">
        <v>472</v>
      </c>
      <c r="B216">
        <v>45361</v>
      </c>
      <c r="C216" t="s">
        <v>49</v>
      </c>
      <c r="D216" t="s">
        <v>50</v>
      </c>
      <c r="E216">
        <v>5</v>
      </c>
      <c r="F216">
        <v>15</v>
      </c>
      <c r="G216">
        <v>5.82</v>
      </c>
      <c r="H216" t="s">
        <v>473</v>
      </c>
      <c r="I216" t="s">
        <v>474</v>
      </c>
      <c r="J216" t="s">
        <v>27</v>
      </c>
      <c r="K216" t="s">
        <v>59</v>
      </c>
      <c r="L216">
        <f t="shared" si="9"/>
        <v>75</v>
      </c>
      <c r="M216">
        <f t="shared" si="10"/>
        <v>29.1</v>
      </c>
      <c r="N216">
        <f t="shared" si="11"/>
        <v>45.9</v>
      </c>
      <c r="O216" cm="1">
        <f t="array" ref="O216">_xlfn.LET(_xlpm.cat, Greenleaf[[#This Row],[Product Category]], _xlpm.prices, _xlfn._xlws.FILTER(Greenleaf[Unit Price], (Greenleaf[Product Category]=_xlpm.cat)*(Greenleaf[Unit Price]&lt;&gt;"")), IFERROR(MEDIAN(_xlpm.prices), ""))</f>
        <v>15</v>
      </c>
      <c r="P216">
        <f>IF(Greenleaf[[#This Row],[Shipment Status]]="Returned",1,0)</f>
        <v>0</v>
      </c>
      <c r="Q216">
        <f>IF(Greenleaf[[#This Row],[Shipment Status]]="Delivered",1,0)</f>
        <v>1</v>
      </c>
    </row>
    <row r="217" spans="1:17" x14ac:dyDescent="0.45">
      <c r="A217" t="s">
        <v>475</v>
      </c>
      <c r="B217">
        <v>45362</v>
      </c>
      <c r="C217" t="s">
        <v>16</v>
      </c>
      <c r="D217" t="s">
        <v>17</v>
      </c>
      <c r="E217">
        <v>8</v>
      </c>
      <c r="F217">
        <v>10</v>
      </c>
      <c r="G217">
        <v>2.13</v>
      </c>
      <c r="H217" t="s">
        <v>476</v>
      </c>
      <c r="I217" t="s">
        <v>477</v>
      </c>
      <c r="J217" t="s">
        <v>47</v>
      </c>
      <c r="K217" t="s">
        <v>38</v>
      </c>
      <c r="L217">
        <f t="shared" si="9"/>
        <v>80</v>
      </c>
      <c r="M217">
        <f t="shared" si="10"/>
        <v>17.04</v>
      </c>
      <c r="N217">
        <f t="shared" si="11"/>
        <v>62.96</v>
      </c>
      <c r="O217" cm="1">
        <f t="array" ref="O217">_xlfn.LET(_xlpm.cat, Greenleaf[[#This Row],[Product Category]], _xlpm.prices, _xlfn._xlws.FILTER(Greenleaf[Unit Price], (Greenleaf[Product Category]=_xlpm.cat)*(Greenleaf[Unit Price]&lt;&gt;"")), IFERROR(MEDIAN(_xlpm.prices), ""))</f>
        <v>10</v>
      </c>
      <c r="P217">
        <f>IF(Greenleaf[[#This Row],[Shipment Status]]="Returned",1,0)</f>
        <v>0</v>
      </c>
      <c r="Q217">
        <f>IF(Greenleaf[[#This Row],[Shipment Status]]="Delivered",1,0)</f>
        <v>0</v>
      </c>
    </row>
    <row r="218" spans="1:17" x14ac:dyDescent="0.45">
      <c r="A218" t="s">
        <v>478</v>
      </c>
      <c r="B218">
        <v>45362</v>
      </c>
      <c r="C218" t="s">
        <v>66</v>
      </c>
      <c r="D218" t="s">
        <v>67</v>
      </c>
      <c r="E218">
        <v>2</v>
      </c>
      <c r="F218">
        <v>12</v>
      </c>
      <c r="G218">
        <v>3.59</v>
      </c>
      <c r="H218" t="s">
        <v>479</v>
      </c>
      <c r="I218" t="s">
        <v>480</v>
      </c>
      <c r="J218" t="s">
        <v>47</v>
      </c>
      <c r="K218" t="s">
        <v>38</v>
      </c>
      <c r="L218">
        <f t="shared" si="9"/>
        <v>24</v>
      </c>
      <c r="M218">
        <f t="shared" si="10"/>
        <v>7.18</v>
      </c>
      <c r="N218">
        <f t="shared" si="11"/>
        <v>16.82</v>
      </c>
      <c r="O218" cm="1">
        <f t="array" ref="O218">_xlfn.LET(_xlpm.cat, Greenleaf[[#This Row],[Product Category]], _xlpm.prices, _xlfn._xlws.FILTER(Greenleaf[Unit Price], (Greenleaf[Product Category]=_xlpm.cat)*(Greenleaf[Unit Price]&lt;&gt;"")), IFERROR(MEDIAN(_xlpm.prices), ""))</f>
        <v>12</v>
      </c>
      <c r="P218">
        <f>IF(Greenleaf[[#This Row],[Shipment Status]]="Returned",1,0)</f>
        <v>0</v>
      </c>
      <c r="Q218">
        <f>IF(Greenleaf[[#This Row],[Shipment Status]]="Delivered",1,0)</f>
        <v>0</v>
      </c>
    </row>
    <row r="219" spans="1:17" x14ac:dyDescent="0.45">
      <c r="A219" t="s">
        <v>481</v>
      </c>
      <c r="B219">
        <v>45362</v>
      </c>
      <c r="C219" t="s">
        <v>16</v>
      </c>
      <c r="D219" t="s">
        <v>17</v>
      </c>
      <c r="E219">
        <v>5</v>
      </c>
      <c r="F219">
        <v>10</v>
      </c>
      <c r="G219">
        <v>2.5099999999999998</v>
      </c>
      <c r="H219" t="s">
        <v>482</v>
      </c>
      <c r="I219" t="s">
        <v>143</v>
      </c>
      <c r="J219" t="s">
        <v>20</v>
      </c>
      <c r="K219" t="s">
        <v>70</v>
      </c>
      <c r="L219">
        <f t="shared" si="9"/>
        <v>50</v>
      </c>
      <c r="M219">
        <f t="shared" si="10"/>
        <v>12.549999999999999</v>
      </c>
      <c r="N219">
        <f t="shared" si="11"/>
        <v>37.450000000000003</v>
      </c>
      <c r="O219" cm="1">
        <f t="array" ref="O219">_xlfn.LET(_xlpm.cat, Greenleaf[[#This Row],[Product Category]], _xlpm.prices, _xlfn._xlws.FILTER(Greenleaf[Unit Price], (Greenleaf[Product Category]=_xlpm.cat)*(Greenleaf[Unit Price]&lt;&gt;"")), IFERROR(MEDIAN(_xlpm.prices), ""))</f>
        <v>10</v>
      </c>
      <c r="P219">
        <f>IF(Greenleaf[[#This Row],[Shipment Status]]="Returned",1,0)</f>
        <v>0</v>
      </c>
      <c r="Q219">
        <f>IF(Greenleaf[[#This Row],[Shipment Status]]="Delivered",1,0)</f>
        <v>0</v>
      </c>
    </row>
    <row r="220" spans="1:17" x14ac:dyDescent="0.45">
      <c r="A220" t="s">
        <v>483</v>
      </c>
      <c r="B220">
        <v>45363</v>
      </c>
      <c r="C220" t="s">
        <v>23</v>
      </c>
      <c r="D220" t="s">
        <v>24</v>
      </c>
      <c r="E220">
        <v>4</v>
      </c>
      <c r="F220">
        <v>25</v>
      </c>
      <c r="G220">
        <v>8.09</v>
      </c>
      <c r="H220" t="s">
        <v>332</v>
      </c>
      <c r="I220" t="s">
        <v>333</v>
      </c>
      <c r="J220" t="s">
        <v>42</v>
      </c>
      <c r="K220" t="s">
        <v>34</v>
      </c>
      <c r="L220">
        <f t="shared" si="9"/>
        <v>100</v>
      </c>
      <c r="M220">
        <f t="shared" si="10"/>
        <v>32.36</v>
      </c>
      <c r="N220">
        <f t="shared" si="11"/>
        <v>67.64</v>
      </c>
      <c r="O220" cm="1">
        <f t="array" ref="O220">_xlfn.LET(_xlpm.cat, Greenleaf[[#This Row],[Product Category]], _xlpm.prices, _xlfn._xlws.FILTER(Greenleaf[Unit Price], (Greenleaf[Product Category]=_xlpm.cat)*(Greenleaf[Unit Price]&lt;&gt;"")), IFERROR(MEDIAN(_xlpm.prices), ""))</f>
        <v>25</v>
      </c>
      <c r="P220">
        <f>IF(Greenleaf[[#This Row],[Shipment Status]]="Returned",1,0)</f>
        <v>1</v>
      </c>
      <c r="Q220">
        <f>IF(Greenleaf[[#This Row],[Shipment Status]]="Delivered",1,0)</f>
        <v>0</v>
      </c>
    </row>
    <row r="221" spans="1:17" x14ac:dyDescent="0.45">
      <c r="A221" t="s">
        <v>484</v>
      </c>
      <c r="B221">
        <v>45364</v>
      </c>
      <c r="C221" t="s">
        <v>66</v>
      </c>
      <c r="D221" t="s">
        <v>67</v>
      </c>
      <c r="E221">
        <v>10</v>
      </c>
      <c r="F221">
        <v>12</v>
      </c>
      <c r="G221">
        <v>2.69</v>
      </c>
      <c r="H221" t="s">
        <v>402</v>
      </c>
      <c r="I221" t="s">
        <v>403</v>
      </c>
      <c r="J221" t="s">
        <v>47</v>
      </c>
      <c r="K221" t="s">
        <v>56</v>
      </c>
      <c r="L221">
        <f t="shared" si="9"/>
        <v>120</v>
      </c>
      <c r="M221">
        <f t="shared" si="10"/>
        <v>26.9</v>
      </c>
      <c r="N221">
        <f t="shared" si="11"/>
        <v>93.1</v>
      </c>
      <c r="O221" cm="1">
        <f t="array" ref="O221">_xlfn.LET(_xlpm.cat, Greenleaf[[#This Row],[Product Category]], _xlpm.prices, _xlfn._xlws.FILTER(Greenleaf[Unit Price], (Greenleaf[Product Category]=_xlpm.cat)*(Greenleaf[Unit Price]&lt;&gt;"")), IFERROR(MEDIAN(_xlpm.prices), ""))</f>
        <v>12</v>
      </c>
      <c r="P221">
        <f>IF(Greenleaf[[#This Row],[Shipment Status]]="Returned",1,0)</f>
        <v>0</v>
      </c>
      <c r="Q221">
        <f>IF(Greenleaf[[#This Row],[Shipment Status]]="Delivered",1,0)</f>
        <v>0</v>
      </c>
    </row>
    <row r="222" spans="1:17" x14ac:dyDescent="0.45">
      <c r="A222" t="s">
        <v>485</v>
      </c>
      <c r="B222">
        <v>45365</v>
      </c>
      <c r="C222" t="s">
        <v>66</v>
      </c>
      <c r="D222" t="s">
        <v>67</v>
      </c>
      <c r="E222">
        <v>1</v>
      </c>
      <c r="F222">
        <v>12</v>
      </c>
      <c r="G222">
        <v>4.71</v>
      </c>
      <c r="H222" t="s">
        <v>326</v>
      </c>
      <c r="I222" t="s">
        <v>327</v>
      </c>
      <c r="J222" t="s">
        <v>20</v>
      </c>
      <c r="K222" t="s">
        <v>74</v>
      </c>
      <c r="L222">
        <f t="shared" si="9"/>
        <v>12</v>
      </c>
      <c r="M222">
        <f t="shared" si="10"/>
        <v>4.71</v>
      </c>
      <c r="N222">
        <f t="shared" si="11"/>
        <v>7.29</v>
      </c>
      <c r="O222" cm="1">
        <f t="array" ref="O222">_xlfn.LET(_xlpm.cat, Greenleaf[[#This Row],[Product Category]], _xlpm.prices, _xlfn._xlws.FILTER(Greenleaf[Unit Price], (Greenleaf[Product Category]=_xlpm.cat)*(Greenleaf[Unit Price]&lt;&gt;"")), IFERROR(MEDIAN(_xlpm.prices), ""))</f>
        <v>12</v>
      </c>
      <c r="P222">
        <f>IF(Greenleaf[[#This Row],[Shipment Status]]="Returned",1,0)</f>
        <v>0</v>
      </c>
      <c r="Q222">
        <f>IF(Greenleaf[[#This Row],[Shipment Status]]="Delivered",1,0)</f>
        <v>0</v>
      </c>
    </row>
    <row r="223" spans="1:17" x14ac:dyDescent="0.45">
      <c r="A223" t="s">
        <v>486</v>
      </c>
      <c r="B223">
        <v>45366</v>
      </c>
      <c r="C223" t="s">
        <v>16</v>
      </c>
      <c r="D223" t="s">
        <v>17</v>
      </c>
      <c r="E223">
        <v>5</v>
      </c>
      <c r="F223">
        <v>10</v>
      </c>
      <c r="G223">
        <v>3.65</v>
      </c>
      <c r="H223" t="s">
        <v>476</v>
      </c>
      <c r="I223" t="s">
        <v>477</v>
      </c>
      <c r="J223" t="s">
        <v>27</v>
      </c>
      <c r="K223" t="s">
        <v>43</v>
      </c>
      <c r="L223">
        <f t="shared" si="9"/>
        <v>50</v>
      </c>
      <c r="M223">
        <f t="shared" si="10"/>
        <v>18.25</v>
      </c>
      <c r="N223">
        <f t="shared" si="11"/>
        <v>31.75</v>
      </c>
      <c r="O223" cm="1">
        <f t="array" ref="O223">_xlfn.LET(_xlpm.cat, Greenleaf[[#This Row],[Product Category]], _xlpm.prices, _xlfn._xlws.FILTER(Greenleaf[Unit Price], (Greenleaf[Product Category]=_xlpm.cat)*(Greenleaf[Unit Price]&lt;&gt;"")), IFERROR(MEDIAN(_xlpm.prices), ""))</f>
        <v>10</v>
      </c>
      <c r="P223">
        <f>IF(Greenleaf[[#This Row],[Shipment Status]]="Returned",1,0)</f>
        <v>0</v>
      </c>
      <c r="Q223">
        <f>IF(Greenleaf[[#This Row],[Shipment Status]]="Delivered",1,0)</f>
        <v>1</v>
      </c>
    </row>
    <row r="224" spans="1:17" x14ac:dyDescent="0.45">
      <c r="A224" t="s">
        <v>487</v>
      </c>
      <c r="B224">
        <v>45366</v>
      </c>
      <c r="C224" t="s">
        <v>16</v>
      </c>
      <c r="D224" t="s">
        <v>17</v>
      </c>
      <c r="E224">
        <v>9</v>
      </c>
      <c r="F224">
        <v>10</v>
      </c>
      <c r="G224">
        <v>2.21</v>
      </c>
      <c r="H224" t="s">
        <v>361</v>
      </c>
      <c r="I224" t="s">
        <v>357</v>
      </c>
      <c r="J224" t="s">
        <v>27</v>
      </c>
      <c r="K224" t="s">
        <v>28</v>
      </c>
      <c r="L224">
        <f t="shared" si="9"/>
        <v>90</v>
      </c>
      <c r="M224">
        <f t="shared" si="10"/>
        <v>19.89</v>
      </c>
      <c r="N224">
        <f t="shared" si="11"/>
        <v>70.11</v>
      </c>
      <c r="O224" cm="1">
        <f t="array" ref="O224">_xlfn.LET(_xlpm.cat, Greenleaf[[#This Row],[Product Category]], _xlpm.prices, _xlfn._xlws.FILTER(Greenleaf[Unit Price], (Greenleaf[Product Category]=_xlpm.cat)*(Greenleaf[Unit Price]&lt;&gt;"")), IFERROR(MEDIAN(_xlpm.prices), ""))</f>
        <v>10</v>
      </c>
      <c r="P224">
        <f>IF(Greenleaf[[#This Row],[Shipment Status]]="Returned",1,0)</f>
        <v>0</v>
      </c>
      <c r="Q224">
        <f>IF(Greenleaf[[#This Row],[Shipment Status]]="Delivered",1,0)</f>
        <v>1</v>
      </c>
    </row>
    <row r="225" spans="1:17" x14ac:dyDescent="0.45">
      <c r="A225" t="s">
        <v>488</v>
      </c>
      <c r="B225">
        <v>45366</v>
      </c>
      <c r="C225" t="s">
        <v>16</v>
      </c>
      <c r="D225" t="s">
        <v>17</v>
      </c>
      <c r="E225">
        <v>3</v>
      </c>
      <c r="F225">
        <v>10</v>
      </c>
      <c r="G225">
        <v>2.73</v>
      </c>
      <c r="H225" t="s">
        <v>489</v>
      </c>
      <c r="I225" t="s">
        <v>490</v>
      </c>
      <c r="J225" t="s">
        <v>27</v>
      </c>
      <c r="K225" t="s">
        <v>134</v>
      </c>
      <c r="L225">
        <f t="shared" si="9"/>
        <v>30</v>
      </c>
      <c r="M225">
        <f t="shared" si="10"/>
        <v>8.19</v>
      </c>
      <c r="N225">
        <f t="shared" si="11"/>
        <v>21.810000000000002</v>
      </c>
      <c r="O225" cm="1">
        <f t="array" ref="O225">_xlfn.LET(_xlpm.cat, Greenleaf[[#This Row],[Product Category]], _xlpm.prices, _xlfn._xlws.FILTER(Greenleaf[Unit Price], (Greenleaf[Product Category]=_xlpm.cat)*(Greenleaf[Unit Price]&lt;&gt;"")), IFERROR(MEDIAN(_xlpm.prices), ""))</f>
        <v>10</v>
      </c>
      <c r="P225">
        <f>IF(Greenleaf[[#This Row],[Shipment Status]]="Returned",1,0)</f>
        <v>0</v>
      </c>
      <c r="Q225">
        <f>IF(Greenleaf[[#This Row],[Shipment Status]]="Delivered",1,0)</f>
        <v>1</v>
      </c>
    </row>
    <row r="226" spans="1:17" x14ac:dyDescent="0.45">
      <c r="A226" t="s">
        <v>491</v>
      </c>
      <c r="B226">
        <v>45367</v>
      </c>
      <c r="C226" t="s">
        <v>49</v>
      </c>
      <c r="D226" t="s">
        <v>50</v>
      </c>
      <c r="E226">
        <v>8</v>
      </c>
      <c r="F226">
        <v>15</v>
      </c>
      <c r="G226">
        <v>5.9</v>
      </c>
      <c r="H226" t="s">
        <v>251</v>
      </c>
      <c r="I226" t="s">
        <v>252</v>
      </c>
      <c r="J226" t="s">
        <v>27</v>
      </c>
      <c r="K226" t="s">
        <v>74</v>
      </c>
      <c r="L226">
        <f t="shared" si="9"/>
        <v>120</v>
      </c>
      <c r="M226">
        <f t="shared" si="10"/>
        <v>47.2</v>
      </c>
      <c r="N226">
        <f t="shared" si="11"/>
        <v>72.8</v>
      </c>
      <c r="O226" cm="1">
        <f t="array" ref="O226">_xlfn.LET(_xlpm.cat, Greenleaf[[#This Row],[Product Category]], _xlpm.prices, _xlfn._xlws.FILTER(Greenleaf[Unit Price], (Greenleaf[Product Category]=_xlpm.cat)*(Greenleaf[Unit Price]&lt;&gt;"")), IFERROR(MEDIAN(_xlpm.prices), ""))</f>
        <v>15</v>
      </c>
      <c r="P226">
        <f>IF(Greenleaf[[#This Row],[Shipment Status]]="Returned",1,0)</f>
        <v>0</v>
      </c>
      <c r="Q226">
        <f>IF(Greenleaf[[#This Row],[Shipment Status]]="Delivered",1,0)</f>
        <v>1</v>
      </c>
    </row>
    <row r="227" spans="1:17" x14ac:dyDescent="0.45">
      <c r="A227" t="s">
        <v>492</v>
      </c>
      <c r="B227">
        <v>45367</v>
      </c>
      <c r="C227" t="s">
        <v>66</v>
      </c>
      <c r="D227" t="s">
        <v>67</v>
      </c>
      <c r="E227">
        <v>2</v>
      </c>
      <c r="F227">
        <v>12</v>
      </c>
      <c r="G227">
        <v>3.27</v>
      </c>
      <c r="H227" t="s">
        <v>182</v>
      </c>
      <c r="I227" t="s">
        <v>183</v>
      </c>
      <c r="J227" t="s">
        <v>20</v>
      </c>
      <c r="K227" t="s">
        <v>70</v>
      </c>
      <c r="L227">
        <f t="shared" si="9"/>
        <v>24</v>
      </c>
      <c r="M227">
        <f t="shared" si="10"/>
        <v>6.54</v>
      </c>
      <c r="N227">
        <f t="shared" si="11"/>
        <v>17.46</v>
      </c>
      <c r="O227" cm="1">
        <f t="array" ref="O227">_xlfn.LET(_xlpm.cat, Greenleaf[[#This Row],[Product Category]], _xlpm.prices, _xlfn._xlws.FILTER(Greenleaf[Unit Price], (Greenleaf[Product Category]=_xlpm.cat)*(Greenleaf[Unit Price]&lt;&gt;"")), IFERROR(MEDIAN(_xlpm.prices), ""))</f>
        <v>12</v>
      </c>
      <c r="P227">
        <f>IF(Greenleaf[[#This Row],[Shipment Status]]="Returned",1,0)</f>
        <v>0</v>
      </c>
      <c r="Q227">
        <f>IF(Greenleaf[[#This Row],[Shipment Status]]="Delivered",1,0)</f>
        <v>0</v>
      </c>
    </row>
    <row r="228" spans="1:17" x14ac:dyDescent="0.45">
      <c r="A228" t="s">
        <v>493</v>
      </c>
      <c r="B228">
        <v>45367</v>
      </c>
      <c r="C228" t="s">
        <v>49</v>
      </c>
      <c r="D228" t="s">
        <v>50</v>
      </c>
      <c r="E228">
        <v>2</v>
      </c>
      <c r="F228">
        <v>15</v>
      </c>
      <c r="G228">
        <v>4.99</v>
      </c>
      <c r="H228" t="s">
        <v>494</v>
      </c>
      <c r="I228" t="s">
        <v>495</v>
      </c>
      <c r="J228" t="s">
        <v>42</v>
      </c>
      <c r="K228" t="s">
        <v>59</v>
      </c>
      <c r="L228">
        <f t="shared" si="9"/>
        <v>30</v>
      </c>
      <c r="M228">
        <f t="shared" si="10"/>
        <v>9.98</v>
      </c>
      <c r="N228">
        <f t="shared" si="11"/>
        <v>20.02</v>
      </c>
      <c r="O228" cm="1">
        <f t="array" ref="O228">_xlfn.LET(_xlpm.cat, Greenleaf[[#This Row],[Product Category]], _xlpm.prices, _xlfn._xlws.FILTER(Greenleaf[Unit Price], (Greenleaf[Product Category]=_xlpm.cat)*(Greenleaf[Unit Price]&lt;&gt;"")), IFERROR(MEDIAN(_xlpm.prices), ""))</f>
        <v>15</v>
      </c>
      <c r="P228">
        <f>IF(Greenleaf[[#This Row],[Shipment Status]]="Returned",1,0)</f>
        <v>1</v>
      </c>
      <c r="Q228">
        <f>IF(Greenleaf[[#This Row],[Shipment Status]]="Delivered",1,0)</f>
        <v>0</v>
      </c>
    </row>
    <row r="229" spans="1:17" x14ac:dyDescent="0.45">
      <c r="A229" t="s">
        <v>496</v>
      </c>
      <c r="B229">
        <v>45367</v>
      </c>
      <c r="C229" t="s">
        <v>16</v>
      </c>
      <c r="D229" t="s">
        <v>17</v>
      </c>
      <c r="E229">
        <v>6</v>
      </c>
      <c r="F229">
        <v>10</v>
      </c>
      <c r="G229">
        <v>2.0299999999999998</v>
      </c>
      <c r="H229" t="s">
        <v>132</v>
      </c>
      <c r="I229" t="s">
        <v>133</v>
      </c>
      <c r="J229" t="s">
        <v>42</v>
      </c>
      <c r="K229" t="s">
        <v>28</v>
      </c>
      <c r="L229">
        <f t="shared" si="9"/>
        <v>60</v>
      </c>
      <c r="M229">
        <f t="shared" si="10"/>
        <v>12.18</v>
      </c>
      <c r="N229">
        <f t="shared" si="11"/>
        <v>47.82</v>
      </c>
      <c r="O229" cm="1">
        <f t="array" ref="O229">_xlfn.LET(_xlpm.cat, Greenleaf[[#This Row],[Product Category]], _xlpm.prices, _xlfn._xlws.FILTER(Greenleaf[Unit Price], (Greenleaf[Product Category]=_xlpm.cat)*(Greenleaf[Unit Price]&lt;&gt;"")), IFERROR(MEDIAN(_xlpm.prices), ""))</f>
        <v>10</v>
      </c>
      <c r="P229">
        <f>IF(Greenleaf[[#This Row],[Shipment Status]]="Returned",1,0)</f>
        <v>1</v>
      </c>
      <c r="Q229">
        <f>IF(Greenleaf[[#This Row],[Shipment Status]]="Delivered",1,0)</f>
        <v>0</v>
      </c>
    </row>
    <row r="230" spans="1:17" x14ac:dyDescent="0.45">
      <c r="A230" t="s">
        <v>497</v>
      </c>
      <c r="B230">
        <v>45368</v>
      </c>
      <c r="C230" t="s">
        <v>49</v>
      </c>
      <c r="D230" t="s">
        <v>50</v>
      </c>
      <c r="E230">
        <v>6</v>
      </c>
      <c r="F230">
        <v>15</v>
      </c>
      <c r="G230">
        <v>3.55</v>
      </c>
      <c r="H230" t="s">
        <v>36</v>
      </c>
      <c r="I230" t="s">
        <v>37</v>
      </c>
      <c r="J230" t="s">
        <v>27</v>
      </c>
      <c r="K230" t="s">
        <v>74</v>
      </c>
      <c r="L230">
        <f t="shared" si="9"/>
        <v>90</v>
      </c>
      <c r="M230">
        <f t="shared" si="10"/>
        <v>21.299999999999997</v>
      </c>
      <c r="N230">
        <f t="shared" si="11"/>
        <v>68.7</v>
      </c>
      <c r="O230" cm="1">
        <f t="array" ref="O230">_xlfn.LET(_xlpm.cat, Greenleaf[[#This Row],[Product Category]], _xlpm.prices, _xlfn._xlws.FILTER(Greenleaf[Unit Price], (Greenleaf[Product Category]=_xlpm.cat)*(Greenleaf[Unit Price]&lt;&gt;"")), IFERROR(MEDIAN(_xlpm.prices), ""))</f>
        <v>15</v>
      </c>
      <c r="P230">
        <f>IF(Greenleaf[[#This Row],[Shipment Status]]="Returned",1,0)</f>
        <v>0</v>
      </c>
      <c r="Q230">
        <f>IF(Greenleaf[[#This Row],[Shipment Status]]="Delivered",1,0)</f>
        <v>1</v>
      </c>
    </row>
    <row r="231" spans="1:17" x14ac:dyDescent="0.45">
      <c r="A231" t="s">
        <v>498</v>
      </c>
      <c r="B231">
        <v>45368</v>
      </c>
      <c r="C231" t="s">
        <v>23</v>
      </c>
      <c r="D231" t="s">
        <v>24</v>
      </c>
      <c r="E231">
        <v>9</v>
      </c>
      <c r="F231">
        <v>25</v>
      </c>
      <c r="G231">
        <v>6.29</v>
      </c>
      <c r="H231" t="s">
        <v>482</v>
      </c>
      <c r="I231" t="s">
        <v>143</v>
      </c>
      <c r="J231" t="s">
        <v>27</v>
      </c>
      <c r="K231" t="s">
        <v>38</v>
      </c>
      <c r="L231">
        <f t="shared" si="9"/>
        <v>225</v>
      </c>
      <c r="M231">
        <f t="shared" si="10"/>
        <v>56.61</v>
      </c>
      <c r="N231">
        <f t="shared" si="11"/>
        <v>168.39</v>
      </c>
      <c r="O231" cm="1">
        <f t="array" ref="O231">_xlfn.LET(_xlpm.cat, Greenleaf[[#This Row],[Product Category]], _xlpm.prices, _xlfn._xlws.FILTER(Greenleaf[Unit Price], (Greenleaf[Product Category]=_xlpm.cat)*(Greenleaf[Unit Price]&lt;&gt;"")), IFERROR(MEDIAN(_xlpm.prices), ""))</f>
        <v>25</v>
      </c>
      <c r="P231">
        <f>IF(Greenleaf[[#This Row],[Shipment Status]]="Returned",1,0)</f>
        <v>0</v>
      </c>
      <c r="Q231">
        <f>IF(Greenleaf[[#This Row],[Shipment Status]]="Delivered",1,0)</f>
        <v>1</v>
      </c>
    </row>
    <row r="232" spans="1:17" x14ac:dyDescent="0.45">
      <c r="A232" t="s">
        <v>499</v>
      </c>
      <c r="B232">
        <v>45368</v>
      </c>
      <c r="C232" t="s">
        <v>16</v>
      </c>
      <c r="D232" t="s">
        <v>17</v>
      </c>
      <c r="E232">
        <v>4</v>
      </c>
      <c r="F232">
        <v>10</v>
      </c>
      <c r="G232">
        <v>3.87</v>
      </c>
      <c r="H232" t="s">
        <v>40</v>
      </c>
      <c r="I232" t="s">
        <v>41</v>
      </c>
      <c r="J232" t="s">
        <v>27</v>
      </c>
      <c r="K232" t="s">
        <v>59</v>
      </c>
      <c r="L232">
        <f t="shared" si="9"/>
        <v>40</v>
      </c>
      <c r="M232">
        <f t="shared" si="10"/>
        <v>15.48</v>
      </c>
      <c r="N232">
        <f t="shared" si="11"/>
        <v>24.52</v>
      </c>
      <c r="O232" cm="1">
        <f t="array" ref="O232">_xlfn.LET(_xlpm.cat, Greenleaf[[#This Row],[Product Category]], _xlpm.prices, _xlfn._xlws.FILTER(Greenleaf[Unit Price], (Greenleaf[Product Category]=_xlpm.cat)*(Greenleaf[Unit Price]&lt;&gt;"")), IFERROR(MEDIAN(_xlpm.prices), ""))</f>
        <v>10</v>
      </c>
      <c r="P232">
        <f>IF(Greenleaf[[#This Row],[Shipment Status]]="Returned",1,0)</f>
        <v>0</v>
      </c>
      <c r="Q232">
        <f>IF(Greenleaf[[#This Row],[Shipment Status]]="Delivered",1,0)</f>
        <v>1</v>
      </c>
    </row>
    <row r="233" spans="1:17" x14ac:dyDescent="0.45">
      <c r="A233" t="s">
        <v>500</v>
      </c>
      <c r="B233">
        <v>45368</v>
      </c>
      <c r="C233" t="s">
        <v>30</v>
      </c>
      <c r="D233" t="s">
        <v>31</v>
      </c>
      <c r="E233">
        <v>1</v>
      </c>
      <c r="F233">
        <v>40</v>
      </c>
      <c r="G233">
        <v>9.98</v>
      </c>
      <c r="H233" t="s">
        <v>158</v>
      </c>
      <c r="I233" t="s">
        <v>37</v>
      </c>
      <c r="J233" t="s">
        <v>27</v>
      </c>
      <c r="K233" t="s">
        <v>28</v>
      </c>
      <c r="L233">
        <f t="shared" si="9"/>
        <v>40</v>
      </c>
      <c r="M233">
        <f t="shared" si="10"/>
        <v>9.98</v>
      </c>
      <c r="N233">
        <f t="shared" si="11"/>
        <v>30.02</v>
      </c>
      <c r="O233" cm="1">
        <f t="array" ref="O233">_xlfn.LET(_xlpm.cat, Greenleaf[[#This Row],[Product Category]], _xlpm.prices, _xlfn._xlws.FILTER(Greenleaf[Unit Price], (Greenleaf[Product Category]=_xlpm.cat)*(Greenleaf[Unit Price]&lt;&gt;"")), IFERROR(MEDIAN(_xlpm.prices), ""))</f>
        <v>40</v>
      </c>
      <c r="P233">
        <f>IF(Greenleaf[[#This Row],[Shipment Status]]="Returned",1,0)</f>
        <v>0</v>
      </c>
      <c r="Q233">
        <f>IF(Greenleaf[[#This Row],[Shipment Status]]="Delivered",1,0)</f>
        <v>1</v>
      </c>
    </row>
    <row r="234" spans="1:17" x14ac:dyDescent="0.45">
      <c r="A234" t="s">
        <v>501</v>
      </c>
      <c r="B234">
        <v>45369</v>
      </c>
      <c r="C234" t="s">
        <v>23</v>
      </c>
      <c r="D234" t="s">
        <v>24</v>
      </c>
      <c r="E234">
        <v>3</v>
      </c>
      <c r="F234">
        <v>25</v>
      </c>
      <c r="G234">
        <v>8.7100000000000009</v>
      </c>
      <c r="H234" t="s">
        <v>502</v>
      </c>
      <c r="I234" t="s">
        <v>280</v>
      </c>
      <c r="J234" t="s">
        <v>27</v>
      </c>
      <c r="K234" t="s">
        <v>59</v>
      </c>
      <c r="L234">
        <f t="shared" si="9"/>
        <v>75</v>
      </c>
      <c r="M234">
        <f t="shared" si="10"/>
        <v>26.130000000000003</v>
      </c>
      <c r="N234">
        <f t="shared" si="11"/>
        <v>48.87</v>
      </c>
      <c r="O234" cm="1">
        <f t="array" ref="O234">_xlfn.LET(_xlpm.cat, Greenleaf[[#This Row],[Product Category]], _xlpm.prices, _xlfn._xlws.FILTER(Greenleaf[Unit Price], (Greenleaf[Product Category]=_xlpm.cat)*(Greenleaf[Unit Price]&lt;&gt;"")), IFERROR(MEDIAN(_xlpm.prices), ""))</f>
        <v>25</v>
      </c>
      <c r="P234">
        <f>IF(Greenleaf[[#This Row],[Shipment Status]]="Returned",1,0)</f>
        <v>0</v>
      </c>
      <c r="Q234">
        <f>IF(Greenleaf[[#This Row],[Shipment Status]]="Delivered",1,0)</f>
        <v>1</v>
      </c>
    </row>
    <row r="235" spans="1:17" x14ac:dyDescent="0.45">
      <c r="A235" t="s">
        <v>503</v>
      </c>
      <c r="B235">
        <v>45370</v>
      </c>
      <c r="C235" t="s">
        <v>23</v>
      </c>
      <c r="D235" t="s">
        <v>24</v>
      </c>
      <c r="E235">
        <v>8</v>
      </c>
      <c r="F235">
        <v>25</v>
      </c>
      <c r="G235">
        <v>9.14</v>
      </c>
      <c r="H235" t="s">
        <v>329</v>
      </c>
      <c r="I235" t="s">
        <v>195</v>
      </c>
      <c r="J235" t="s">
        <v>27</v>
      </c>
      <c r="K235" t="s">
        <v>70</v>
      </c>
      <c r="L235">
        <f t="shared" si="9"/>
        <v>200</v>
      </c>
      <c r="M235">
        <f t="shared" si="10"/>
        <v>73.12</v>
      </c>
      <c r="N235">
        <f t="shared" si="11"/>
        <v>126.88</v>
      </c>
      <c r="O235" cm="1">
        <f t="array" ref="O235">_xlfn.LET(_xlpm.cat, Greenleaf[[#This Row],[Product Category]], _xlpm.prices, _xlfn._xlws.FILTER(Greenleaf[Unit Price], (Greenleaf[Product Category]=_xlpm.cat)*(Greenleaf[Unit Price]&lt;&gt;"")), IFERROR(MEDIAN(_xlpm.prices), ""))</f>
        <v>25</v>
      </c>
      <c r="P235">
        <f>IF(Greenleaf[[#This Row],[Shipment Status]]="Returned",1,0)</f>
        <v>0</v>
      </c>
      <c r="Q235">
        <f>IF(Greenleaf[[#This Row],[Shipment Status]]="Delivered",1,0)</f>
        <v>1</v>
      </c>
    </row>
    <row r="236" spans="1:17" x14ac:dyDescent="0.45">
      <c r="A236" t="s">
        <v>504</v>
      </c>
      <c r="B236">
        <v>45370</v>
      </c>
      <c r="C236" t="s">
        <v>16</v>
      </c>
      <c r="D236" t="s">
        <v>17</v>
      </c>
      <c r="E236">
        <v>1</v>
      </c>
      <c r="F236">
        <v>10</v>
      </c>
      <c r="G236">
        <v>3.91</v>
      </c>
      <c r="H236" t="s">
        <v>158</v>
      </c>
      <c r="I236" t="s">
        <v>37</v>
      </c>
      <c r="J236" t="s">
        <v>27</v>
      </c>
      <c r="K236" t="s">
        <v>134</v>
      </c>
      <c r="L236">
        <f t="shared" si="9"/>
        <v>10</v>
      </c>
      <c r="M236">
        <f t="shared" si="10"/>
        <v>3.91</v>
      </c>
      <c r="N236">
        <f t="shared" si="11"/>
        <v>6.09</v>
      </c>
      <c r="O236" cm="1">
        <f t="array" ref="O236">_xlfn.LET(_xlpm.cat, Greenleaf[[#This Row],[Product Category]], _xlpm.prices, _xlfn._xlws.FILTER(Greenleaf[Unit Price], (Greenleaf[Product Category]=_xlpm.cat)*(Greenleaf[Unit Price]&lt;&gt;"")), IFERROR(MEDIAN(_xlpm.prices), ""))</f>
        <v>10</v>
      </c>
      <c r="P236">
        <f>IF(Greenleaf[[#This Row],[Shipment Status]]="Returned",1,0)</f>
        <v>0</v>
      </c>
      <c r="Q236">
        <f>IF(Greenleaf[[#This Row],[Shipment Status]]="Delivered",1,0)</f>
        <v>1</v>
      </c>
    </row>
    <row r="237" spans="1:17" x14ac:dyDescent="0.45">
      <c r="A237" t="s">
        <v>505</v>
      </c>
      <c r="B237">
        <v>45371</v>
      </c>
      <c r="C237" t="s">
        <v>23</v>
      </c>
      <c r="D237" t="s">
        <v>24</v>
      </c>
      <c r="E237">
        <v>3</v>
      </c>
      <c r="F237">
        <v>25</v>
      </c>
      <c r="G237">
        <v>5.7</v>
      </c>
      <c r="H237" t="s">
        <v>506</v>
      </c>
      <c r="I237" t="s">
        <v>225</v>
      </c>
      <c r="J237" t="s">
        <v>20</v>
      </c>
      <c r="K237" t="s">
        <v>43</v>
      </c>
      <c r="L237">
        <f t="shared" si="9"/>
        <v>75</v>
      </c>
      <c r="M237">
        <f t="shared" si="10"/>
        <v>17.100000000000001</v>
      </c>
      <c r="N237">
        <f t="shared" si="11"/>
        <v>57.9</v>
      </c>
      <c r="O237" cm="1">
        <f t="array" ref="O237">_xlfn.LET(_xlpm.cat, Greenleaf[[#This Row],[Product Category]], _xlpm.prices, _xlfn._xlws.FILTER(Greenleaf[Unit Price], (Greenleaf[Product Category]=_xlpm.cat)*(Greenleaf[Unit Price]&lt;&gt;"")), IFERROR(MEDIAN(_xlpm.prices), ""))</f>
        <v>25</v>
      </c>
      <c r="P237">
        <f>IF(Greenleaf[[#This Row],[Shipment Status]]="Returned",1,0)</f>
        <v>0</v>
      </c>
      <c r="Q237">
        <f>IF(Greenleaf[[#This Row],[Shipment Status]]="Delivered",1,0)</f>
        <v>0</v>
      </c>
    </row>
    <row r="238" spans="1:17" x14ac:dyDescent="0.45">
      <c r="A238" t="s">
        <v>507</v>
      </c>
      <c r="B238">
        <v>45372</v>
      </c>
      <c r="C238" t="s">
        <v>66</v>
      </c>
      <c r="D238" t="s">
        <v>67</v>
      </c>
      <c r="E238">
        <v>8</v>
      </c>
      <c r="F238">
        <v>12</v>
      </c>
      <c r="G238">
        <v>2.88</v>
      </c>
      <c r="H238" t="s">
        <v>282</v>
      </c>
      <c r="I238" t="s">
        <v>283</v>
      </c>
      <c r="J238" t="s">
        <v>42</v>
      </c>
      <c r="K238" t="s">
        <v>38</v>
      </c>
      <c r="L238">
        <f t="shared" si="9"/>
        <v>96</v>
      </c>
      <c r="M238">
        <f t="shared" si="10"/>
        <v>23.04</v>
      </c>
      <c r="N238">
        <f t="shared" si="11"/>
        <v>72.960000000000008</v>
      </c>
      <c r="O238" cm="1">
        <f t="array" ref="O238">_xlfn.LET(_xlpm.cat, Greenleaf[[#This Row],[Product Category]], _xlpm.prices, _xlfn._xlws.FILTER(Greenleaf[Unit Price], (Greenleaf[Product Category]=_xlpm.cat)*(Greenleaf[Unit Price]&lt;&gt;"")), IFERROR(MEDIAN(_xlpm.prices), ""))</f>
        <v>12</v>
      </c>
      <c r="P238">
        <f>IF(Greenleaf[[#This Row],[Shipment Status]]="Returned",1,0)</f>
        <v>1</v>
      </c>
      <c r="Q238">
        <f>IF(Greenleaf[[#This Row],[Shipment Status]]="Delivered",1,0)</f>
        <v>0</v>
      </c>
    </row>
    <row r="239" spans="1:17" x14ac:dyDescent="0.45">
      <c r="A239" t="s">
        <v>508</v>
      </c>
      <c r="B239">
        <v>45372</v>
      </c>
      <c r="C239" t="s">
        <v>66</v>
      </c>
      <c r="D239" t="s">
        <v>67</v>
      </c>
      <c r="E239">
        <v>1</v>
      </c>
      <c r="F239">
        <v>12</v>
      </c>
      <c r="G239">
        <v>3.25</v>
      </c>
      <c r="H239" t="s">
        <v>494</v>
      </c>
      <c r="I239" t="s">
        <v>495</v>
      </c>
      <c r="J239" t="s">
        <v>42</v>
      </c>
      <c r="K239" t="s">
        <v>59</v>
      </c>
      <c r="L239">
        <f t="shared" si="9"/>
        <v>12</v>
      </c>
      <c r="M239">
        <f t="shared" si="10"/>
        <v>3.25</v>
      </c>
      <c r="N239">
        <f t="shared" si="11"/>
        <v>8.75</v>
      </c>
      <c r="O239" cm="1">
        <f t="array" ref="O239">_xlfn.LET(_xlpm.cat, Greenleaf[[#This Row],[Product Category]], _xlpm.prices, _xlfn._xlws.FILTER(Greenleaf[Unit Price], (Greenleaf[Product Category]=_xlpm.cat)*(Greenleaf[Unit Price]&lt;&gt;"")), IFERROR(MEDIAN(_xlpm.prices), ""))</f>
        <v>12</v>
      </c>
      <c r="P239">
        <f>IF(Greenleaf[[#This Row],[Shipment Status]]="Returned",1,0)</f>
        <v>1</v>
      </c>
      <c r="Q239">
        <f>IF(Greenleaf[[#This Row],[Shipment Status]]="Delivered",1,0)</f>
        <v>0</v>
      </c>
    </row>
    <row r="240" spans="1:17" x14ac:dyDescent="0.45">
      <c r="A240" t="s">
        <v>509</v>
      </c>
      <c r="B240">
        <v>45372</v>
      </c>
      <c r="C240" t="s">
        <v>49</v>
      </c>
      <c r="D240" t="s">
        <v>50</v>
      </c>
      <c r="E240">
        <v>7</v>
      </c>
      <c r="F240">
        <v>15</v>
      </c>
      <c r="G240">
        <v>3.63</v>
      </c>
      <c r="H240" t="s">
        <v>510</v>
      </c>
      <c r="I240" t="s">
        <v>511</v>
      </c>
      <c r="J240" t="s">
        <v>27</v>
      </c>
      <c r="K240" t="s">
        <v>74</v>
      </c>
      <c r="L240">
        <f t="shared" si="9"/>
        <v>105</v>
      </c>
      <c r="M240">
        <f t="shared" si="10"/>
        <v>25.41</v>
      </c>
      <c r="N240">
        <f t="shared" si="11"/>
        <v>79.59</v>
      </c>
      <c r="O240" cm="1">
        <f t="array" ref="O240">_xlfn.LET(_xlpm.cat, Greenleaf[[#This Row],[Product Category]], _xlpm.prices, _xlfn._xlws.FILTER(Greenleaf[Unit Price], (Greenleaf[Product Category]=_xlpm.cat)*(Greenleaf[Unit Price]&lt;&gt;"")), IFERROR(MEDIAN(_xlpm.prices), ""))</f>
        <v>15</v>
      </c>
      <c r="P240">
        <f>IF(Greenleaf[[#This Row],[Shipment Status]]="Returned",1,0)</f>
        <v>0</v>
      </c>
      <c r="Q240">
        <f>IF(Greenleaf[[#This Row],[Shipment Status]]="Delivered",1,0)</f>
        <v>1</v>
      </c>
    </row>
    <row r="241" spans="1:17" x14ac:dyDescent="0.45">
      <c r="A241" t="s">
        <v>512</v>
      </c>
      <c r="B241">
        <v>45372</v>
      </c>
      <c r="C241" t="s">
        <v>16</v>
      </c>
      <c r="D241" t="s">
        <v>17</v>
      </c>
      <c r="E241">
        <v>5</v>
      </c>
      <c r="F241">
        <v>10</v>
      </c>
      <c r="G241">
        <v>3.98</v>
      </c>
      <c r="H241" t="s">
        <v>68</v>
      </c>
      <c r="I241" t="s">
        <v>69</v>
      </c>
      <c r="J241" t="s">
        <v>27</v>
      </c>
      <c r="K241" t="s">
        <v>134</v>
      </c>
      <c r="L241">
        <f t="shared" si="9"/>
        <v>50</v>
      </c>
      <c r="M241">
        <f t="shared" si="10"/>
        <v>19.899999999999999</v>
      </c>
      <c r="N241">
        <f t="shared" si="11"/>
        <v>30.1</v>
      </c>
      <c r="O241" cm="1">
        <f t="array" ref="O241">_xlfn.LET(_xlpm.cat, Greenleaf[[#This Row],[Product Category]], _xlpm.prices, _xlfn._xlws.FILTER(Greenleaf[Unit Price], (Greenleaf[Product Category]=_xlpm.cat)*(Greenleaf[Unit Price]&lt;&gt;"")), IFERROR(MEDIAN(_xlpm.prices), ""))</f>
        <v>10</v>
      </c>
      <c r="P241">
        <f>IF(Greenleaf[[#This Row],[Shipment Status]]="Returned",1,0)</f>
        <v>0</v>
      </c>
      <c r="Q241">
        <f>IF(Greenleaf[[#This Row],[Shipment Status]]="Delivered",1,0)</f>
        <v>1</v>
      </c>
    </row>
    <row r="242" spans="1:17" x14ac:dyDescent="0.45">
      <c r="A242" t="s">
        <v>513</v>
      </c>
      <c r="B242">
        <v>45373</v>
      </c>
      <c r="C242" t="s">
        <v>49</v>
      </c>
      <c r="D242" t="s">
        <v>50</v>
      </c>
      <c r="E242">
        <v>4</v>
      </c>
      <c r="F242">
        <v>15</v>
      </c>
      <c r="G242">
        <v>3.4</v>
      </c>
      <c r="H242" t="s">
        <v>409</v>
      </c>
      <c r="I242" t="s">
        <v>19</v>
      </c>
      <c r="J242" t="s">
        <v>20</v>
      </c>
      <c r="K242" t="s">
        <v>74</v>
      </c>
      <c r="L242">
        <f t="shared" si="9"/>
        <v>60</v>
      </c>
      <c r="M242">
        <f t="shared" si="10"/>
        <v>13.6</v>
      </c>
      <c r="N242">
        <f t="shared" si="11"/>
        <v>46.4</v>
      </c>
      <c r="O242" cm="1">
        <f t="array" ref="O242">_xlfn.LET(_xlpm.cat, Greenleaf[[#This Row],[Product Category]], _xlpm.prices, _xlfn._xlws.FILTER(Greenleaf[Unit Price], (Greenleaf[Product Category]=_xlpm.cat)*(Greenleaf[Unit Price]&lt;&gt;"")), IFERROR(MEDIAN(_xlpm.prices), ""))</f>
        <v>15</v>
      </c>
      <c r="P242">
        <f>IF(Greenleaf[[#This Row],[Shipment Status]]="Returned",1,0)</f>
        <v>0</v>
      </c>
      <c r="Q242">
        <f>IF(Greenleaf[[#This Row],[Shipment Status]]="Delivered",1,0)</f>
        <v>0</v>
      </c>
    </row>
    <row r="243" spans="1:17" x14ac:dyDescent="0.45">
      <c r="A243" t="s">
        <v>514</v>
      </c>
      <c r="B243">
        <v>45373</v>
      </c>
      <c r="C243" t="s">
        <v>30</v>
      </c>
      <c r="D243" t="s">
        <v>31</v>
      </c>
      <c r="E243">
        <v>9</v>
      </c>
      <c r="F243">
        <v>40</v>
      </c>
      <c r="G243">
        <v>10.92</v>
      </c>
      <c r="H243" t="s">
        <v>213</v>
      </c>
      <c r="I243" t="s">
        <v>214</v>
      </c>
      <c r="J243" t="s">
        <v>42</v>
      </c>
      <c r="K243" t="s">
        <v>28</v>
      </c>
      <c r="L243">
        <f t="shared" si="9"/>
        <v>360</v>
      </c>
      <c r="M243">
        <f t="shared" si="10"/>
        <v>98.28</v>
      </c>
      <c r="N243">
        <f t="shared" si="11"/>
        <v>261.72000000000003</v>
      </c>
      <c r="O243" cm="1">
        <f t="array" ref="O243">_xlfn.LET(_xlpm.cat, Greenleaf[[#This Row],[Product Category]], _xlpm.prices, _xlfn._xlws.FILTER(Greenleaf[Unit Price], (Greenleaf[Product Category]=_xlpm.cat)*(Greenleaf[Unit Price]&lt;&gt;"")), IFERROR(MEDIAN(_xlpm.prices), ""))</f>
        <v>40</v>
      </c>
      <c r="P243">
        <f>IF(Greenleaf[[#This Row],[Shipment Status]]="Returned",1,0)</f>
        <v>1</v>
      </c>
      <c r="Q243">
        <f>IF(Greenleaf[[#This Row],[Shipment Status]]="Delivered",1,0)</f>
        <v>0</v>
      </c>
    </row>
    <row r="244" spans="1:17" x14ac:dyDescent="0.45">
      <c r="A244" t="s">
        <v>515</v>
      </c>
      <c r="B244">
        <v>45373</v>
      </c>
      <c r="C244" t="s">
        <v>16</v>
      </c>
      <c r="D244" t="s">
        <v>17</v>
      </c>
      <c r="E244">
        <v>3</v>
      </c>
      <c r="F244">
        <v>10</v>
      </c>
      <c r="G244">
        <v>2.91</v>
      </c>
      <c r="H244" t="s">
        <v>127</v>
      </c>
      <c r="I244" t="s">
        <v>128</v>
      </c>
      <c r="J244" t="s">
        <v>20</v>
      </c>
      <c r="K244" t="s">
        <v>56</v>
      </c>
      <c r="L244">
        <f t="shared" si="9"/>
        <v>30</v>
      </c>
      <c r="M244">
        <f t="shared" si="10"/>
        <v>8.73</v>
      </c>
      <c r="N244">
        <f t="shared" si="11"/>
        <v>21.27</v>
      </c>
      <c r="O244" cm="1">
        <f t="array" ref="O244">_xlfn.LET(_xlpm.cat, Greenleaf[[#This Row],[Product Category]], _xlpm.prices, _xlfn._xlws.FILTER(Greenleaf[Unit Price], (Greenleaf[Product Category]=_xlpm.cat)*(Greenleaf[Unit Price]&lt;&gt;"")), IFERROR(MEDIAN(_xlpm.prices), ""))</f>
        <v>10</v>
      </c>
      <c r="P244">
        <f>IF(Greenleaf[[#This Row],[Shipment Status]]="Returned",1,0)</f>
        <v>0</v>
      </c>
      <c r="Q244">
        <f>IF(Greenleaf[[#This Row],[Shipment Status]]="Delivered",1,0)</f>
        <v>0</v>
      </c>
    </row>
    <row r="245" spans="1:17" x14ac:dyDescent="0.45">
      <c r="A245" t="s">
        <v>516</v>
      </c>
      <c r="B245">
        <v>45373</v>
      </c>
      <c r="C245" t="s">
        <v>30</v>
      </c>
      <c r="D245" t="s">
        <v>31</v>
      </c>
      <c r="E245">
        <v>2</v>
      </c>
      <c r="F245">
        <v>40</v>
      </c>
      <c r="G245">
        <v>11.01</v>
      </c>
      <c r="H245" t="s">
        <v>517</v>
      </c>
      <c r="I245" t="s">
        <v>518</v>
      </c>
      <c r="J245" t="s">
        <v>20</v>
      </c>
      <c r="K245" t="s">
        <v>70</v>
      </c>
      <c r="L245">
        <f t="shared" si="9"/>
        <v>80</v>
      </c>
      <c r="M245">
        <f t="shared" si="10"/>
        <v>22.02</v>
      </c>
      <c r="N245">
        <f t="shared" si="11"/>
        <v>57.980000000000004</v>
      </c>
      <c r="O245" cm="1">
        <f t="array" ref="O245">_xlfn.LET(_xlpm.cat, Greenleaf[[#This Row],[Product Category]], _xlpm.prices, _xlfn._xlws.FILTER(Greenleaf[Unit Price], (Greenleaf[Product Category]=_xlpm.cat)*(Greenleaf[Unit Price]&lt;&gt;"")), IFERROR(MEDIAN(_xlpm.prices), ""))</f>
        <v>40</v>
      </c>
      <c r="P245">
        <f>IF(Greenleaf[[#This Row],[Shipment Status]]="Returned",1,0)</f>
        <v>0</v>
      </c>
      <c r="Q245">
        <f>IF(Greenleaf[[#This Row],[Shipment Status]]="Delivered",1,0)</f>
        <v>0</v>
      </c>
    </row>
    <row r="246" spans="1:17" x14ac:dyDescent="0.45">
      <c r="A246" t="s">
        <v>519</v>
      </c>
      <c r="B246">
        <v>45374</v>
      </c>
      <c r="C246" t="s">
        <v>49</v>
      </c>
      <c r="D246" t="s">
        <v>50</v>
      </c>
      <c r="E246">
        <v>2</v>
      </c>
      <c r="F246">
        <v>15</v>
      </c>
      <c r="G246">
        <v>4.99</v>
      </c>
      <c r="H246" t="s">
        <v>428</v>
      </c>
      <c r="I246" t="s">
        <v>429</v>
      </c>
      <c r="J246" t="s">
        <v>27</v>
      </c>
      <c r="K246" t="s">
        <v>34</v>
      </c>
      <c r="L246">
        <f t="shared" si="9"/>
        <v>30</v>
      </c>
      <c r="M246">
        <f t="shared" si="10"/>
        <v>9.98</v>
      </c>
      <c r="N246">
        <f t="shared" si="11"/>
        <v>20.02</v>
      </c>
      <c r="O246" cm="1">
        <f t="array" ref="O246">_xlfn.LET(_xlpm.cat, Greenleaf[[#This Row],[Product Category]], _xlpm.prices, _xlfn._xlws.FILTER(Greenleaf[Unit Price], (Greenleaf[Product Category]=_xlpm.cat)*(Greenleaf[Unit Price]&lt;&gt;"")), IFERROR(MEDIAN(_xlpm.prices), ""))</f>
        <v>15</v>
      </c>
      <c r="P246">
        <f>IF(Greenleaf[[#This Row],[Shipment Status]]="Returned",1,0)</f>
        <v>0</v>
      </c>
      <c r="Q246">
        <f>IF(Greenleaf[[#This Row],[Shipment Status]]="Delivered",1,0)</f>
        <v>1</v>
      </c>
    </row>
    <row r="247" spans="1:17" x14ac:dyDescent="0.45">
      <c r="A247" t="s">
        <v>520</v>
      </c>
      <c r="B247">
        <v>45374</v>
      </c>
      <c r="C247" t="s">
        <v>30</v>
      </c>
      <c r="D247" t="s">
        <v>31</v>
      </c>
      <c r="E247">
        <v>2</v>
      </c>
      <c r="F247">
        <v>40</v>
      </c>
      <c r="G247">
        <v>10.69</v>
      </c>
      <c r="H247" t="s">
        <v>378</v>
      </c>
      <c r="I247" t="s">
        <v>379</v>
      </c>
      <c r="J247" t="s">
        <v>27</v>
      </c>
      <c r="K247" t="s">
        <v>70</v>
      </c>
      <c r="L247">
        <f t="shared" si="9"/>
        <v>80</v>
      </c>
      <c r="M247">
        <f t="shared" si="10"/>
        <v>21.38</v>
      </c>
      <c r="N247">
        <f t="shared" si="11"/>
        <v>58.620000000000005</v>
      </c>
      <c r="O247" cm="1">
        <f t="array" ref="O247">_xlfn.LET(_xlpm.cat, Greenleaf[[#This Row],[Product Category]], _xlpm.prices, _xlfn._xlws.FILTER(Greenleaf[Unit Price], (Greenleaf[Product Category]=_xlpm.cat)*(Greenleaf[Unit Price]&lt;&gt;"")), IFERROR(MEDIAN(_xlpm.prices), ""))</f>
        <v>40</v>
      </c>
      <c r="P247">
        <f>IF(Greenleaf[[#This Row],[Shipment Status]]="Returned",1,0)</f>
        <v>0</v>
      </c>
      <c r="Q247">
        <f>IF(Greenleaf[[#This Row],[Shipment Status]]="Delivered",1,0)</f>
        <v>1</v>
      </c>
    </row>
    <row r="248" spans="1:17" x14ac:dyDescent="0.45">
      <c r="A248" t="s">
        <v>521</v>
      </c>
      <c r="B248">
        <v>45375</v>
      </c>
      <c r="C248" t="s">
        <v>30</v>
      </c>
      <c r="D248" t="s">
        <v>31</v>
      </c>
      <c r="E248">
        <v>10</v>
      </c>
      <c r="F248">
        <v>40</v>
      </c>
      <c r="G248">
        <v>9.1</v>
      </c>
      <c r="H248" t="s">
        <v>457</v>
      </c>
      <c r="I248" t="s">
        <v>458</v>
      </c>
      <c r="J248" t="s">
        <v>27</v>
      </c>
      <c r="K248" t="s">
        <v>59</v>
      </c>
      <c r="L248">
        <f t="shared" si="9"/>
        <v>400</v>
      </c>
      <c r="M248">
        <f t="shared" si="10"/>
        <v>91</v>
      </c>
      <c r="N248">
        <f t="shared" si="11"/>
        <v>309</v>
      </c>
      <c r="O248" cm="1">
        <f t="array" ref="O248">_xlfn.LET(_xlpm.cat, Greenleaf[[#This Row],[Product Category]], _xlpm.prices, _xlfn._xlws.FILTER(Greenleaf[Unit Price], (Greenleaf[Product Category]=_xlpm.cat)*(Greenleaf[Unit Price]&lt;&gt;"")), IFERROR(MEDIAN(_xlpm.prices), ""))</f>
        <v>40</v>
      </c>
      <c r="P248">
        <f>IF(Greenleaf[[#This Row],[Shipment Status]]="Returned",1,0)</f>
        <v>0</v>
      </c>
      <c r="Q248">
        <f>IF(Greenleaf[[#This Row],[Shipment Status]]="Delivered",1,0)</f>
        <v>1</v>
      </c>
    </row>
    <row r="249" spans="1:17" x14ac:dyDescent="0.45">
      <c r="A249" t="s">
        <v>522</v>
      </c>
      <c r="B249">
        <v>45375</v>
      </c>
      <c r="C249" t="s">
        <v>30</v>
      </c>
      <c r="D249" t="s">
        <v>31</v>
      </c>
      <c r="E249">
        <v>5</v>
      </c>
      <c r="F249">
        <v>40</v>
      </c>
      <c r="G249">
        <v>11.38</v>
      </c>
      <c r="H249" t="s">
        <v>272</v>
      </c>
      <c r="I249" t="s">
        <v>273</v>
      </c>
      <c r="J249" t="s">
        <v>27</v>
      </c>
      <c r="K249" t="s">
        <v>70</v>
      </c>
      <c r="L249">
        <f t="shared" si="9"/>
        <v>200</v>
      </c>
      <c r="M249">
        <f t="shared" si="10"/>
        <v>56.900000000000006</v>
      </c>
      <c r="N249">
        <f t="shared" si="11"/>
        <v>143.1</v>
      </c>
      <c r="O249" cm="1">
        <f t="array" ref="O249">_xlfn.LET(_xlpm.cat, Greenleaf[[#This Row],[Product Category]], _xlpm.prices, _xlfn._xlws.FILTER(Greenleaf[Unit Price], (Greenleaf[Product Category]=_xlpm.cat)*(Greenleaf[Unit Price]&lt;&gt;"")), IFERROR(MEDIAN(_xlpm.prices), ""))</f>
        <v>40</v>
      </c>
      <c r="P249">
        <f>IF(Greenleaf[[#This Row],[Shipment Status]]="Returned",1,0)</f>
        <v>0</v>
      </c>
      <c r="Q249">
        <f>IF(Greenleaf[[#This Row],[Shipment Status]]="Delivered",1,0)</f>
        <v>1</v>
      </c>
    </row>
    <row r="250" spans="1:17" x14ac:dyDescent="0.45">
      <c r="A250" t="s">
        <v>523</v>
      </c>
      <c r="B250">
        <v>45375</v>
      </c>
      <c r="C250" t="s">
        <v>30</v>
      </c>
      <c r="D250" t="s">
        <v>31</v>
      </c>
      <c r="E250">
        <v>2</v>
      </c>
      <c r="F250">
        <v>40</v>
      </c>
      <c r="G250">
        <v>13.29</v>
      </c>
      <c r="H250" t="s">
        <v>524</v>
      </c>
      <c r="I250" t="s">
        <v>525</v>
      </c>
      <c r="J250" t="s">
        <v>27</v>
      </c>
      <c r="K250" t="s">
        <v>74</v>
      </c>
      <c r="L250">
        <f t="shared" si="9"/>
        <v>80</v>
      </c>
      <c r="M250">
        <f t="shared" si="10"/>
        <v>26.58</v>
      </c>
      <c r="N250">
        <f t="shared" si="11"/>
        <v>53.42</v>
      </c>
      <c r="O250" cm="1">
        <f t="array" ref="O250">_xlfn.LET(_xlpm.cat, Greenleaf[[#This Row],[Product Category]], _xlpm.prices, _xlfn._xlws.FILTER(Greenleaf[Unit Price], (Greenleaf[Product Category]=_xlpm.cat)*(Greenleaf[Unit Price]&lt;&gt;"")), IFERROR(MEDIAN(_xlpm.prices), ""))</f>
        <v>40</v>
      </c>
      <c r="P250">
        <f>IF(Greenleaf[[#This Row],[Shipment Status]]="Returned",1,0)</f>
        <v>0</v>
      </c>
      <c r="Q250">
        <f>IF(Greenleaf[[#This Row],[Shipment Status]]="Delivered",1,0)</f>
        <v>1</v>
      </c>
    </row>
    <row r="251" spans="1:17" x14ac:dyDescent="0.45">
      <c r="A251" t="s">
        <v>526</v>
      </c>
      <c r="B251">
        <v>45375</v>
      </c>
      <c r="C251" t="s">
        <v>30</v>
      </c>
      <c r="D251" t="s">
        <v>31</v>
      </c>
      <c r="E251">
        <v>1</v>
      </c>
      <c r="F251">
        <v>40</v>
      </c>
      <c r="G251">
        <v>14.99</v>
      </c>
      <c r="H251" t="s">
        <v>409</v>
      </c>
      <c r="I251" t="s">
        <v>19</v>
      </c>
      <c r="J251" t="s">
        <v>42</v>
      </c>
      <c r="K251" t="s">
        <v>28</v>
      </c>
      <c r="L251">
        <f t="shared" si="9"/>
        <v>40</v>
      </c>
      <c r="M251">
        <f t="shared" si="10"/>
        <v>14.99</v>
      </c>
      <c r="N251">
        <f t="shared" si="11"/>
        <v>25.009999999999998</v>
      </c>
      <c r="O251" cm="1">
        <f t="array" ref="O251">_xlfn.LET(_xlpm.cat, Greenleaf[[#This Row],[Product Category]], _xlpm.prices, _xlfn._xlws.FILTER(Greenleaf[Unit Price], (Greenleaf[Product Category]=_xlpm.cat)*(Greenleaf[Unit Price]&lt;&gt;"")), IFERROR(MEDIAN(_xlpm.prices), ""))</f>
        <v>40</v>
      </c>
      <c r="P251">
        <f>IF(Greenleaf[[#This Row],[Shipment Status]]="Returned",1,0)</f>
        <v>1</v>
      </c>
      <c r="Q251">
        <f>IF(Greenleaf[[#This Row],[Shipment Status]]="Delivered",1,0)</f>
        <v>0</v>
      </c>
    </row>
    <row r="252" spans="1:17" x14ac:dyDescent="0.45">
      <c r="A252" t="s">
        <v>527</v>
      </c>
      <c r="B252">
        <v>45375</v>
      </c>
      <c r="C252" t="s">
        <v>23</v>
      </c>
      <c r="D252" t="s">
        <v>24</v>
      </c>
      <c r="E252">
        <v>2</v>
      </c>
      <c r="F252">
        <v>25</v>
      </c>
      <c r="G252">
        <v>5.01</v>
      </c>
      <c r="H252" t="s">
        <v>510</v>
      </c>
      <c r="I252" t="s">
        <v>511</v>
      </c>
      <c r="J252" t="s">
        <v>20</v>
      </c>
      <c r="K252" t="s">
        <v>74</v>
      </c>
      <c r="L252">
        <f t="shared" si="9"/>
        <v>50</v>
      </c>
      <c r="M252">
        <f t="shared" si="10"/>
        <v>10.02</v>
      </c>
      <c r="N252">
        <f t="shared" si="11"/>
        <v>39.980000000000004</v>
      </c>
      <c r="O252" cm="1">
        <f t="array" ref="O252">_xlfn.LET(_xlpm.cat, Greenleaf[[#This Row],[Product Category]], _xlpm.prices, _xlfn._xlws.FILTER(Greenleaf[Unit Price], (Greenleaf[Product Category]=_xlpm.cat)*(Greenleaf[Unit Price]&lt;&gt;"")), IFERROR(MEDIAN(_xlpm.prices), ""))</f>
        <v>25</v>
      </c>
      <c r="P252">
        <f>IF(Greenleaf[[#This Row],[Shipment Status]]="Returned",1,0)</f>
        <v>0</v>
      </c>
      <c r="Q252">
        <f>IF(Greenleaf[[#This Row],[Shipment Status]]="Delivered",1,0)</f>
        <v>0</v>
      </c>
    </row>
    <row r="253" spans="1:17" x14ac:dyDescent="0.45">
      <c r="A253" t="s">
        <v>528</v>
      </c>
      <c r="B253">
        <v>45377</v>
      </c>
      <c r="C253" t="s">
        <v>66</v>
      </c>
      <c r="D253" t="s">
        <v>67</v>
      </c>
      <c r="E253">
        <v>9</v>
      </c>
      <c r="F253">
        <v>12</v>
      </c>
      <c r="G253">
        <v>2.99</v>
      </c>
      <c r="H253" t="s">
        <v>453</v>
      </c>
      <c r="I253" t="s">
        <v>454</v>
      </c>
      <c r="J253" t="s">
        <v>27</v>
      </c>
      <c r="K253" t="s">
        <v>56</v>
      </c>
      <c r="L253">
        <f t="shared" si="9"/>
        <v>108</v>
      </c>
      <c r="M253">
        <f t="shared" si="10"/>
        <v>26.910000000000004</v>
      </c>
      <c r="N253">
        <f t="shared" si="11"/>
        <v>81.09</v>
      </c>
      <c r="O253" cm="1">
        <f t="array" ref="O253">_xlfn.LET(_xlpm.cat, Greenleaf[[#This Row],[Product Category]], _xlpm.prices, _xlfn._xlws.FILTER(Greenleaf[Unit Price], (Greenleaf[Product Category]=_xlpm.cat)*(Greenleaf[Unit Price]&lt;&gt;"")), IFERROR(MEDIAN(_xlpm.prices), ""))</f>
        <v>12</v>
      </c>
      <c r="P253">
        <f>IF(Greenleaf[[#This Row],[Shipment Status]]="Returned",1,0)</f>
        <v>0</v>
      </c>
      <c r="Q253">
        <f>IF(Greenleaf[[#This Row],[Shipment Status]]="Delivered",1,0)</f>
        <v>1</v>
      </c>
    </row>
    <row r="254" spans="1:17" x14ac:dyDescent="0.45">
      <c r="A254" t="s">
        <v>529</v>
      </c>
      <c r="B254">
        <v>45377</v>
      </c>
      <c r="C254" t="s">
        <v>30</v>
      </c>
      <c r="D254" t="s">
        <v>31</v>
      </c>
      <c r="E254">
        <v>3</v>
      </c>
      <c r="F254">
        <v>40</v>
      </c>
      <c r="G254">
        <v>12.12</v>
      </c>
      <c r="H254" t="s">
        <v>530</v>
      </c>
      <c r="I254" t="s">
        <v>531</v>
      </c>
      <c r="J254" t="s">
        <v>27</v>
      </c>
      <c r="K254" t="s">
        <v>134</v>
      </c>
      <c r="L254">
        <f t="shared" si="9"/>
        <v>120</v>
      </c>
      <c r="M254">
        <f t="shared" si="10"/>
        <v>36.36</v>
      </c>
      <c r="N254">
        <f t="shared" si="11"/>
        <v>83.64</v>
      </c>
      <c r="O254" cm="1">
        <f t="array" ref="O254">_xlfn.LET(_xlpm.cat, Greenleaf[[#This Row],[Product Category]], _xlpm.prices, _xlfn._xlws.FILTER(Greenleaf[Unit Price], (Greenleaf[Product Category]=_xlpm.cat)*(Greenleaf[Unit Price]&lt;&gt;"")), IFERROR(MEDIAN(_xlpm.prices), ""))</f>
        <v>40</v>
      </c>
      <c r="P254">
        <f>IF(Greenleaf[[#This Row],[Shipment Status]]="Returned",1,0)</f>
        <v>0</v>
      </c>
      <c r="Q254">
        <f>IF(Greenleaf[[#This Row],[Shipment Status]]="Delivered",1,0)</f>
        <v>1</v>
      </c>
    </row>
    <row r="255" spans="1:17" x14ac:dyDescent="0.45">
      <c r="A255" t="s">
        <v>532</v>
      </c>
      <c r="B255">
        <v>45377</v>
      </c>
      <c r="C255" t="s">
        <v>66</v>
      </c>
      <c r="D255" t="s">
        <v>67</v>
      </c>
      <c r="E255">
        <v>1</v>
      </c>
      <c r="F255">
        <v>12</v>
      </c>
      <c r="G255">
        <v>3.21</v>
      </c>
      <c r="H255" t="s">
        <v>363</v>
      </c>
      <c r="I255" t="s">
        <v>210</v>
      </c>
      <c r="J255" t="s">
        <v>20</v>
      </c>
      <c r="K255" t="s">
        <v>28</v>
      </c>
      <c r="L255">
        <f t="shared" si="9"/>
        <v>12</v>
      </c>
      <c r="M255">
        <f t="shared" si="10"/>
        <v>3.21</v>
      </c>
      <c r="N255">
        <f t="shared" si="11"/>
        <v>8.7899999999999991</v>
      </c>
      <c r="O255" cm="1">
        <f t="array" ref="O255">_xlfn.LET(_xlpm.cat, Greenleaf[[#This Row],[Product Category]], _xlpm.prices, _xlfn._xlws.FILTER(Greenleaf[Unit Price], (Greenleaf[Product Category]=_xlpm.cat)*(Greenleaf[Unit Price]&lt;&gt;"")), IFERROR(MEDIAN(_xlpm.prices), ""))</f>
        <v>12</v>
      </c>
      <c r="P255">
        <f>IF(Greenleaf[[#This Row],[Shipment Status]]="Returned",1,0)</f>
        <v>0</v>
      </c>
      <c r="Q255">
        <f>IF(Greenleaf[[#This Row],[Shipment Status]]="Delivered",1,0)</f>
        <v>0</v>
      </c>
    </row>
    <row r="256" spans="1:17" x14ac:dyDescent="0.45">
      <c r="A256" t="s">
        <v>533</v>
      </c>
      <c r="B256">
        <v>45378</v>
      </c>
      <c r="C256" t="s">
        <v>66</v>
      </c>
      <c r="D256" t="s">
        <v>67</v>
      </c>
      <c r="E256">
        <v>5</v>
      </c>
      <c r="F256">
        <v>12</v>
      </c>
      <c r="G256">
        <v>3.41</v>
      </c>
      <c r="H256" t="s">
        <v>61</v>
      </c>
      <c r="I256" t="s">
        <v>62</v>
      </c>
      <c r="J256" t="s">
        <v>27</v>
      </c>
      <c r="K256" t="s">
        <v>21</v>
      </c>
      <c r="L256">
        <f t="shared" si="9"/>
        <v>60</v>
      </c>
      <c r="M256">
        <f t="shared" si="10"/>
        <v>17.05</v>
      </c>
      <c r="N256">
        <f t="shared" si="11"/>
        <v>42.95</v>
      </c>
      <c r="O256" cm="1">
        <f t="array" ref="O256">_xlfn.LET(_xlpm.cat, Greenleaf[[#This Row],[Product Category]], _xlpm.prices, _xlfn._xlws.FILTER(Greenleaf[Unit Price], (Greenleaf[Product Category]=_xlpm.cat)*(Greenleaf[Unit Price]&lt;&gt;"")), IFERROR(MEDIAN(_xlpm.prices), ""))</f>
        <v>12</v>
      </c>
      <c r="P256">
        <f>IF(Greenleaf[[#This Row],[Shipment Status]]="Returned",1,0)</f>
        <v>0</v>
      </c>
      <c r="Q256">
        <f>IF(Greenleaf[[#This Row],[Shipment Status]]="Delivered",1,0)</f>
        <v>1</v>
      </c>
    </row>
    <row r="257" spans="1:17" x14ac:dyDescent="0.45">
      <c r="A257" t="s">
        <v>534</v>
      </c>
      <c r="B257">
        <v>45378</v>
      </c>
      <c r="C257" t="s">
        <v>49</v>
      </c>
      <c r="D257" t="s">
        <v>50</v>
      </c>
      <c r="E257">
        <v>9</v>
      </c>
      <c r="F257">
        <v>15</v>
      </c>
      <c r="G257">
        <v>3.88</v>
      </c>
      <c r="H257" t="s">
        <v>387</v>
      </c>
      <c r="I257" t="s">
        <v>161</v>
      </c>
      <c r="J257" t="s">
        <v>27</v>
      </c>
      <c r="K257" t="s">
        <v>59</v>
      </c>
      <c r="L257">
        <f t="shared" si="9"/>
        <v>135</v>
      </c>
      <c r="M257">
        <f t="shared" si="10"/>
        <v>34.92</v>
      </c>
      <c r="N257">
        <f t="shared" si="11"/>
        <v>100.08</v>
      </c>
      <c r="O257" cm="1">
        <f t="array" ref="O257">_xlfn.LET(_xlpm.cat, Greenleaf[[#This Row],[Product Category]], _xlpm.prices, _xlfn._xlws.FILTER(Greenleaf[Unit Price], (Greenleaf[Product Category]=_xlpm.cat)*(Greenleaf[Unit Price]&lt;&gt;"")), IFERROR(MEDIAN(_xlpm.prices), ""))</f>
        <v>15</v>
      </c>
      <c r="P257">
        <f>IF(Greenleaf[[#This Row],[Shipment Status]]="Returned",1,0)</f>
        <v>0</v>
      </c>
      <c r="Q257">
        <f>IF(Greenleaf[[#This Row],[Shipment Status]]="Delivered",1,0)</f>
        <v>1</v>
      </c>
    </row>
    <row r="258" spans="1:17" x14ac:dyDescent="0.45">
      <c r="A258" t="s">
        <v>535</v>
      </c>
      <c r="B258">
        <v>45378</v>
      </c>
      <c r="C258" t="s">
        <v>30</v>
      </c>
      <c r="D258" t="s">
        <v>31</v>
      </c>
      <c r="E258">
        <v>10</v>
      </c>
      <c r="F258">
        <v>40</v>
      </c>
      <c r="G258">
        <v>11.05</v>
      </c>
      <c r="H258" t="s">
        <v>476</v>
      </c>
      <c r="I258" t="s">
        <v>477</v>
      </c>
      <c r="J258" t="s">
        <v>27</v>
      </c>
      <c r="K258" t="s">
        <v>74</v>
      </c>
      <c r="L258">
        <f t="shared" ref="L258:L321" si="12">E258*F258</f>
        <v>400</v>
      </c>
      <c r="M258">
        <f t="shared" ref="M258:M321" si="13">E258*G258</f>
        <v>110.5</v>
      </c>
      <c r="N258">
        <f t="shared" ref="N258:N321" si="14">L258-M258</f>
        <v>289.5</v>
      </c>
      <c r="O258" cm="1">
        <f t="array" ref="O258">_xlfn.LET(_xlpm.cat, Greenleaf[[#This Row],[Product Category]], _xlpm.prices, _xlfn._xlws.FILTER(Greenleaf[Unit Price], (Greenleaf[Product Category]=_xlpm.cat)*(Greenleaf[Unit Price]&lt;&gt;"")), IFERROR(MEDIAN(_xlpm.prices), ""))</f>
        <v>40</v>
      </c>
      <c r="P258">
        <f>IF(Greenleaf[[#This Row],[Shipment Status]]="Returned",1,0)</f>
        <v>0</v>
      </c>
      <c r="Q258">
        <f>IF(Greenleaf[[#This Row],[Shipment Status]]="Delivered",1,0)</f>
        <v>1</v>
      </c>
    </row>
    <row r="259" spans="1:17" x14ac:dyDescent="0.45">
      <c r="A259" t="s">
        <v>536</v>
      </c>
      <c r="B259">
        <v>45378</v>
      </c>
      <c r="C259" t="s">
        <v>16</v>
      </c>
      <c r="D259" t="s">
        <v>17</v>
      </c>
      <c r="E259">
        <v>2</v>
      </c>
      <c r="F259">
        <v>10</v>
      </c>
      <c r="G259">
        <v>3.43</v>
      </c>
      <c r="H259" t="s">
        <v>409</v>
      </c>
      <c r="I259" t="s">
        <v>19</v>
      </c>
      <c r="J259" t="s">
        <v>47</v>
      </c>
      <c r="K259" t="s">
        <v>74</v>
      </c>
      <c r="L259">
        <f t="shared" si="12"/>
        <v>20</v>
      </c>
      <c r="M259">
        <f t="shared" si="13"/>
        <v>6.86</v>
      </c>
      <c r="N259">
        <f t="shared" si="14"/>
        <v>13.14</v>
      </c>
      <c r="O259" cm="1">
        <f t="array" ref="O259">_xlfn.LET(_xlpm.cat, Greenleaf[[#This Row],[Product Category]], _xlpm.prices, _xlfn._xlws.FILTER(Greenleaf[Unit Price], (Greenleaf[Product Category]=_xlpm.cat)*(Greenleaf[Unit Price]&lt;&gt;"")), IFERROR(MEDIAN(_xlpm.prices), ""))</f>
        <v>10</v>
      </c>
      <c r="P259">
        <f>IF(Greenleaf[[#This Row],[Shipment Status]]="Returned",1,0)</f>
        <v>0</v>
      </c>
      <c r="Q259">
        <f>IF(Greenleaf[[#This Row],[Shipment Status]]="Delivered",1,0)</f>
        <v>0</v>
      </c>
    </row>
    <row r="260" spans="1:17" x14ac:dyDescent="0.45">
      <c r="A260" t="s">
        <v>537</v>
      </c>
      <c r="B260">
        <v>45379</v>
      </c>
      <c r="C260" t="s">
        <v>23</v>
      </c>
      <c r="D260" t="s">
        <v>24</v>
      </c>
      <c r="E260">
        <v>2</v>
      </c>
      <c r="F260">
        <v>25</v>
      </c>
      <c r="G260">
        <v>6.89</v>
      </c>
      <c r="H260" t="s">
        <v>54</v>
      </c>
      <c r="I260" t="s">
        <v>55</v>
      </c>
      <c r="J260" t="s">
        <v>47</v>
      </c>
      <c r="K260" t="s">
        <v>134</v>
      </c>
      <c r="L260">
        <f t="shared" si="12"/>
        <v>50</v>
      </c>
      <c r="M260">
        <f t="shared" si="13"/>
        <v>13.78</v>
      </c>
      <c r="N260">
        <f t="shared" si="14"/>
        <v>36.22</v>
      </c>
      <c r="O260" cm="1">
        <f t="array" ref="O260">_xlfn.LET(_xlpm.cat, Greenleaf[[#This Row],[Product Category]], _xlpm.prices, _xlfn._xlws.FILTER(Greenleaf[Unit Price], (Greenleaf[Product Category]=_xlpm.cat)*(Greenleaf[Unit Price]&lt;&gt;"")), IFERROR(MEDIAN(_xlpm.prices), ""))</f>
        <v>25</v>
      </c>
      <c r="P260">
        <f>IF(Greenleaf[[#This Row],[Shipment Status]]="Returned",1,0)</f>
        <v>0</v>
      </c>
      <c r="Q260">
        <f>IF(Greenleaf[[#This Row],[Shipment Status]]="Delivered",1,0)</f>
        <v>0</v>
      </c>
    </row>
    <row r="261" spans="1:17" x14ac:dyDescent="0.45">
      <c r="A261" t="s">
        <v>538</v>
      </c>
      <c r="B261">
        <v>45379</v>
      </c>
      <c r="C261" t="s">
        <v>16</v>
      </c>
      <c r="D261" t="s">
        <v>17</v>
      </c>
      <c r="E261">
        <v>7</v>
      </c>
      <c r="F261">
        <v>10</v>
      </c>
      <c r="G261">
        <v>2.2000000000000002</v>
      </c>
      <c r="H261" t="s">
        <v>476</v>
      </c>
      <c r="I261" t="s">
        <v>477</v>
      </c>
      <c r="J261" t="s">
        <v>20</v>
      </c>
      <c r="K261" t="s">
        <v>21</v>
      </c>
      <c r="L261">
        <f t="shared" si="12"/>
        <v>70</v>
      </c>
      <c r="M261">
        <f t="shared" si="13"/>
        <v>15.400000000000002</v>
      </c>
      <c r="N261">
        <f t="shared" si="14"/>
        <v>54.599999999999994</v>
      </c>
      <c r="O261" cm="1">
        <f t="array" ref="O261">_xlfn.LET(_xlpm.cat, Greenleaf[[#This Row],[Product Category]], _xlpm.prices, _xlfn._xlws.FILTER(Greenleaf[Unit Price], (Greenleaf[Product Category]=_xlpm.cat)*(Greenleaf[Unit Price]&lt;&gt;"")), IFERROR(MEDIAN(_xlpm.prices), ""))</f>
        <v>10</v>
      </c>
      <c r="P261">
        <f>IF(Greenleaf[[#This Row],[Shipment Status]]="Returned",1,0)</f>
        <v>0</v>
      </c>
      <c r="Q261">
        <f>IF(Greenleaf[[#This Row],[Shipment Status]]="Delivered",1,0)</f>
        <v>0</v>
      </c>
    </row>
    <row r="262" spans="1:17" x14ac:dyDescent="0.45">
      <c r="A262" t="s">
        <v>539</v>
      </c>
      <c r="B262">
        <v>45379</v>
      </c>
      <c r="C262" t="s">
        <v>23</v>
      </c>
      <c r="D262" t="s">
        <v>24</v>
      </c>
      <c r="E262">
        <v>7</v>
      </c>
      <c r="F262">
        <v>25</v>
      </c>
      <c r="G262">
        <v>5.89</v>
      </c>
      <c r="H262" t="s">
        <v>524</v>
      </c>
      <c r="I262" t="s">
        <v>525</v>
      </c>
      <c r="J262" t="s">
        <v>27</v>
      </c>
      <c r="K262" t="s">
        <v>56</v>
      </c>
      <c r="L262">
        <f t="shared" si="12"/>
        <v>175</v>
      </c>
      <c r="M262">
        <f t="shared" si="13"/>
        <v>41.23</v>
      </c>
      <c r="N262">
        <f t="shared" si="14"/>
        <v>133.77000000000001</v>
      </c>
      <c r="O262" cm="1">
        <f t="array" ref="O262">_xlfn.LET(_xlpm.cat, Greenleaf[[#This Row],[Product Category]], _xlpm.prices, _xlfn._xlws.FILTER(Greenleaf[Unit Price], (Greenleaf[Product Category]=_xlpm.cat)*(Greenleaf[Unit Price]&lt;&gt;"")), IFERROR(MEDIAN(_xlpm.prices), ""))</f>
        <v>25</v>
      </c>
      <c r="P262">
        <f>IF(Greenleaf[[#This Row],[Shipment Status]]="Returned",1,0)</f>
        <v>0</v>
      </c>
      <c r="Q262">
        <f>IF(Greenleaf[[#This Row],[Shipment Status]]="Delivered",1,0)</f>
        <v>1</v>
      </c>
    </row>
    <row r="263" spans="1:17" x14ac:dyDescent="0.45">
      <c r="A263" t="s">
        <v>540</v>
      </c>
      <c r="B263">
        <v>45379</v>
      </c>
      <c r="C263" t="s">
        <v>23</v>
      </c>
      <c r="D263" t="s">
        <v>24</v>
      </c>
      <c r="E263">
        <v>8</v>
      </c>
      <c r="F263">
        <v>25</v>
      </c>
      <c r="G263">
        <v>8.61</v>
      </c>
      <c r="H263" t="s">
        <v>224</v>
      </c>
      <c r="I263" t="s">
        <v>225</v>
      </c>
      <c r="J263" t="s">
        <v>27</v>
      </c>
      <c r="K263" t="s">
        <v>21</v>
      </c>
      <c r="L263">
        <f t="shared" si="12"/>
        <v>200</v>
      </c>
      <c r="M263">
        <f t="shared" si="13"/>
        <v>68.88</v>
      </c>
      <c r="N263">
        <f t="shared" si="14"/>
        <v>131.12</v>
      </c>
      <c r="O263" cm="1">
        <f t="array" ref="O263">_xlfn.LET(_xlpm.cat, Greenleaf[[#This Row],[Product Category]], _xlpm.prices, _xlfn._xlws.FILTER(Greenleaf[Unit Price], (Greenleaf[Product Category]=_xlpm.cat)*(Greenleaf[Unit Price]&lt;&gt;"")), IFERROR(MEDIAN(_xlpm.prices), ""))</f>
        <v>25</v>
      </c>
      <c r="P263">
        <f>IF(Greenleaf[[#This Row],[Shipment Status]]="Returned",1,0)</f>
        <v>0</v>
      </c>
      <c r="Q263">
        <f>IF(Greenleaf[[#This Row],[Shipment Status]]="Delivered",1,0)</f>
        <v>1</v>
      </c>
    </row>
    <row r="264" spans="1:17" x14ac:dyDescent="0.45">
      <c r="A264" t="s">
        <v>541</v>
      </c>
      <c r="B264">
        <v>45380</v>
      </c>
      <c r="C264" t="s">
        <v>16</v>
      </c>
      <c r="D264" t="s">
        <v>17</v>
      </c>
      <c r="E264">
        <v>5</v>
      </c>
      <c r="F264">
        <v>10</v>
      </c>
      <c r="G264">
        <v>2.82</v>
      </c>
      <c r="H264" t="s">
        <v>221</v>
      </c>
      <c r="I264" t="s">
        <v>222</v>
      </c>
      <c r="J264" t="s">
        <v>27</v>
      </c>
      <c r="K264" t="s">
        <v>134</v>
      </c>
      <c r="L264">
        <f t="shared" si="12"/>
        <v>50</v>
      </c>
      <c r="M264">
        <f t="shared" si="13"/>
        <v>14.1</v>
      </c>
      <c r="N264">
        <f t="shared" si="14"/>
        <v>35.9</v>
      </c>
      <c r="O264" cm="1">
        <f t="array" ref="O264">_xlfn.LET(_xlpm.cat, Greenleaf[[#This Row],[Product Category]], _xlpm.prices, _xlfn._xlws.FILTER(Greenleaf[Unit Price], (Greenleaf[Product Category]=_xlpm.cat)*(Greenleaf[Unit Price]&lt;&gt;"")), IFERROR(MEDIAN(_xlpm.prices), ""))</f>
        <v>10</v>
      </c>
      <c r="P264">
        <f>IF(Greenleaf[[#This Row],[Shipment Status]]="Returned",1,0)</f>
        <v>0</v>
      </c>
      <c r="Q264">
        <f>IF(Greenleaf[[#This Row],[Shipment Status]]="Delivered",1,0)</f>
        <v>1</v>
      </c>
    </row>
    <row r="265" spans="1:17" x14ac:dyDescent="0.45">
      <c r="A265" t="s">
        <v>542</v>
      </c>
      <c r="B265">
        <v>45380</v>
      </c>
      <c r="C265" t="s">
        <v>30</v>
      </c>
      <c r="D265" t="s">
        <v>31</v>
      </c>
      <c r="E265">
        <v>10</v>
      </c>
      <c r="F265">
        <v>40</v>
      </c>
      <c r="G265">
        <v>11.87</v>
      </c>
      <c r="H265" t="s">
        <v>318</v>
      </c>
      <c r="I265" t="s">
        <v>319</v>
      </c>
      <c r="J265" t="s">
        <v>27</v>
      </c>
      <c r="K265" t="s">
        <v>59</v>
      </c>
      <c r="L265">
        <f t="shared" si="12"/>
        <v>400</v>
      </c>
      <c r="M265">
        <f t="shared" si="13"/>
        <v>118.69999999999999</v>
      </c>
      <c r="N265">
        <f t="shared" si="14"/>
        <v>281.3</v>
      </c>
      <c r="O265" cm="1">
        <f t="array" ref="O265">_xlfn.LET(_xlpm.cat, Greenleaf[[#This Row],[Product Category]], _xlpm.prices, _xlfn._xlws.FILTER(Greenleaf[Unit Price], (Greenleaf[Product Category]=_xlpm.cat)*(Greenleaf[Unit Price]&lt;&gt;"")), IFERROR(MEDIAN(_xlpm.prices), ""))</f>
        <v>40</v>
      </c>
      <c r="P265">
        <f>IF(Greenleaf[[#This Row],[Shipment Status]]="Returned",1,0)</f>
        <v>0</v>
      </c>
      <c r="Q265">
        <f>IF(Greenleaf[[#This Row],[Shipment Status]]="Delivered",1,0)</f>
        <v>1</v>
      </c>
    </row>
    <row r="266" spans="1:17" x14ac:dyDescent="0.45">
      <c r="A266" t="s">
        <v>543</v>
      </c>
      <c r="B266">
        <v>45381</v>
      </c>
      <c r="C266" t="s">
        <v>49</v>
      </c>
      <c r="D266" t="s">
        <v>50</v>
      </c>
      <c r="E266">
        <v>1</v>
      </c>
      <c r="F266">
        <v>15</v>
      </c>
      <c r="G266">
        <v>5.3</v>
      </c>
      <c r="H266" t="s">
        <v>96</v>
      </c>
      <c r="I266" t="s">
        <v>97</v>
      </c>
      <c r="J266" t="s">
        <v>27</v>
      </c>
      <c r="K266" t="s">
        <v>28</v>
      </c>
      <c r="L266">
        <f t="shared" si="12"/>
        <v>15</v>
      </c>
      <c r="M266">
        <f t="shared" si="13"/>
        <v>5.3</v>
      </c>
      <c r="N266">
        <f t="shared" si="14"/>
        <v>9.6999999999999993</v>
      </c>
      <c r="O266" cm="1">
        <f t="array" ref="O266">_xlfn.LET(_xlpm.cat, Greenleaf[[#This Row],[Product Category]], _xlpm.prices, _xlfn._xlws.FILTER(Greenleaf[Unit Price], (Greenleaf[Product Category]=_xlpm.cat)*(Greenleaf[Unit Price]&lt;&gt;"")), IFERROR(MEDIAN(_xlpm.prices), ""))</f>
        <v>15</v>
      </c>
      <c r="P266">
        <f>IF(Greenleaf[[#This Row],[Shipment Status]]="Returned",1,0)</f>
        <v>0</v>
      </c>
      <c r="Q266">
        <f>IF(Greenleaf[[#This Row],[Shipment Status]]="Delivered",1,0)</f>
        <v>1</v>
      </c>
    </row>
    <row r="267" spans="1:17" x14ac:dyDescent="0.45">
      <c r="A267" t="s">
        <v>544</v>
      </c>
      <c r="B267">
        <v>45381</v>
      </c>
      <c r="C267" t="s">
        <v>23</v>
      </c>
      <c r="D267" t="s">
        <v>24</v>
      </c>
      <c r="E267">
        <v>4</v>
      </c>
      <c r="F267">
        <v>25</v>
      </c>
      <c r="G267">
        <v>9.4600000000000009</v>
      </c>
      <c r="H267" t="s">
        <v>310</v>
      </c>
      <c r="I267" t="s">
        <v>311</v>
      </c>
      <c r="J267" t="s">
        <v>47</v>
      </c>
      <c r="K267" t="s">
        <v>74</v>
      </c>
      <c r="L267">
        <f t="shared" si="12"/>
        <v>100</v>
      </c>
      <c r="M267">
        <f t="shared" si="13"/>
        <v>37.840000000000003</v>
      </c>
      <c r="N267">
        <f t="shared" si="14"/>
        <v>62.16</v>
      </c>
      <c r="O267" cm="1">
        <f t="array" ref="O267">_xlfn.LET(_xlpm.cat, Greenleaf[[#This Row],[Product Category]], _xlpm.prices, _xlfn._xlws.FILTER(Greenleaf[Unit Price], (Greenleaf[Product Category]=_xlpm.cat)*(Greenleaf[Unit Price]&lt;&gt;"")), IFERROR(MEDIAN(_xlpm.prices), ""))</f>
        <v>25</v>
      </c>
      <c r="P267">
        <f>IF(Greenleaf[[#This Row],[Shipment Status]]="Returned",1,0)</f>
        <v>0</v>
      </c>
      <c r="Q267">
        <f>IF(Greenleaf[[#This Row],[Shipment Status]]="Delivered",1,0)</f>
        <v>0</v>
      </c>
    </row>
    <row r="268" spans="1:17" x14ac:dyDescent="0.45">
      <c r="A268" t="s">
        <v>545</v>
      </c>
      <c r="B268">
        <v>45382</v>
      </c>
      <c r="C268" t="s">
        <v>30</v>
      </c>
      <c r="D268" t="s">
        <v>31</v>
      </c>
      <c r="E268">
        <v>1</v>
      </c>
      <c r="F268">
        <v>40</v>
      </c>
      <c r="G268">
        <v>12.13</v>
      </c>
      <c r="H268" t="s">
        <v>40</v>
      </c>
      <c r="I268" t="s">
        <v>41</v>
      </c>
      <c r="J268" t="s">
        <v>42</v>
      </c>
      <c r="K268" t="s">
        <v>38</v>
      </c>
      <c r="L268">
        <f t="shared" si="12"/>
        <v>40</v>
      </c>
      <c r="M268">
        <f t="shared" si="13"/>
        <v>12.13</v>
      </c>
      <c r="N268">
        <f t="shared" si="14"/>
        <v>27.869999999999997</v>
      </c>
      <c r="O268" cm="1">
        <f t="array" ref="O268">_xlfn.LET(_xlpm.cat, Greenleaf[[#This Row],[Product Category]], _xlpm.prices, _xlfn._xlws.FILTER(Greenleaf[Unit Price], (Greenleaf[Product Category]=_xlpm.cat)*(Greenleaf[Unit Price]&lt;&gt;"")), IFERROR(MEDIAN(_xlpm.prices), ""))</f>
        <v>40</v>
      </c>
      <c r="P268">
        <f>IF(Greenleaf[[#This Row],[Shipment Status]]="Returned",1,0)</f>
        <v>1</v>
      </c>
      <c r="Q268">
        <f>IF(Greenleaf[[#This Row],[Shipment Status]]="Delivered",1,0)</f>
        <v>0</v>
      </c>
    </row>
    <row r="269" spans="1:17" x14ac:dyDescent="0.45">
      <c r="A269" t="s">
        <v>546</v>
      </c>
      <c r="B269">
        <v>45382</v>
      </c>
      <c r="C269" t="s">
        <v>66</v>
      </c>
      <c r="D269" t="s">
        <v>67</v>
      </c>
      <c r="E269">
        <v>4</v>
      </c>
      <c r="F269">
        <v>12</v>
      </c>
      <c r="G269">
        <v>3.9</v>
      </c>
      <c r="H269" t="s">
        <v>524</v>
      </c>
      <c r="I269" t="s">
        <v>525</v>
      </c>
      <c r="J269" t="s">
        <v>27</v>
      </c>
      <c r="K269" t="s">
        <v>134</v>
      </c>
      <c r="L269">
        <f t="shared" si="12"/>
        <v>48</v>
      </c>
      <c r="M269">
        <f t="shared" si="13"/>
        <v>15.6</v>
      </c>
      <c r="N269">
        <f t="shared" si="14"/>
        <v>32.4</v>
      </c>
      <c r="O269" cm="1">
        <f t="array" ref="O269">_xlfn.LET(_xlpm.cat, Greenleaf[[#This Row],[Product Category]], _xlpm.prices, _xlfn._xlws.FILTER(Greenleaf[Unit Price], (Greenleaf[Product Category]=_xlpm.cat)*(Greenleaf[Unit Price]&lt;&gt;"")), IFERROR(MEDIAN(_xlpm.prices), ""))</f>
        <v>12</v>
      </c>
      <c r="P269">
        <f>IF(Greenleaf[[#This Row],[Shipment Status]]="Returned",1,0)</f>
        <v>0</v>
      </c>
      <c r="Q269">
        <f>IF(Greenleaf[[#This Row],[Shipment Status]]="Delivered",1,0)</f>
        <v>1</v>
      </c>
    </row>
    <row r="270" spans="1:17" x14ac:dyDescent="0.45">
      <c r="A270" t="s">
        <v>547</v>
      </c>
      <c r="B270">
        <v>45382</v>
      </c>
      <c r="C270" t="s">
        <v>16</v>
      </c>
      <c r="D270" t="s">
        <v>17</v>
      </c>
      <c r="E270">
        <v>3</v>
      </c>
      <c r="F270">
        <v>10</v>
      </c>
      <c r="G270">
        <v>2.69</v>
      </c>
      <c r="H270" t="s">
        <v>145</v>
      </c>
      <c r="I270" t="s">
        <v>146</v>
      </c>
      <c r="J270" t="s">
        <v>42</v>
      </c>
      <c r="K270" t="s">
        <v>56</v>
      </c>
      <c r="L270">
        <f t="shared" si="12"/>
        <v>30</v>
      </c>
      <c r="M270">
        <f t="shared" si="13"/>
        <v>8.07</v>
      </c>
      <c r="N270">
        <f t="shared" si="14"/>
        <v>21.93</v>
      </c>
      <c r="O270" cm="1">
        <f t="array" ref="O270">_xlfn.LET(_xlpm.cat, Greenleaf[[#This Row],[Product Category]], _xlpm.prices, _xlfn._xlws.FILTER(Greenleaf[Unit Price], (Greenleaf[Product Category]=_xlpm.cat)*(Greenleaf[Unit Price]&lt;&gt;"")), IFERROR(MEDIAN(_xlpm.prices), ""))</f>
        <v>10</v>
      </c>
      <c r="P270">
        <f>IF(Greenleaf[[#This Row],[Shipment Status]]="Returned",1,0)</f>
        <v>1</v>
      </c>
      <c r="Q270">
        <f>IF(Greenleaf[[#This Row],[Shipment Status]]="Delivered",1,0)</f>
        <v>0</v>
      </c>
    </row>
    <row r="271" spans="1:17" x14ac:dyDescent="0.45">
      <c r="A271" t="s">
        <v>548</v>
      </c>
      <c r="B271">
        <v>45382</v>
      </c>
      <c r="C271" t="s">
        <v>30</v>
      </c>
      <c r="D271" t="s">
        <v>31</v>
      </c>
      <c r="E271">
        <v>3</v>
      </c>
      <c r="F271">
        <v>40</v>
      </c>
      <c r="G271">
        <v>12.8</v>
      </c>
      <c r="H271" t="s">
        <v>102</v>
      </c>
      <c r="I271" t="s">
        <v>97</v>
      </c>
      <c r="J271" t="s">
        <v>27</v>
      </c>
      <c r="K271" t="s">
        <v>70</v>
      </c>
      <c r="L271">
        <f t="shared" si="12"/>
        <v>120</v>
      </c>
      <c r="M271">
        <f t="shared" si="13"/>
        <v>38.400000000000006</v>
      </c>
      <c r="N271">
        <f t="shared" si="14"/>
        <v>81.599999999999994</v>
      </c>
      <c r="O271" cm="1">
        <f t="array" ref="O271">_xlfn.LET(_xlpm.cat, Greenleaf[[#This Row],[Product Category]], _xlpm.prices, _xlfn._xlws.FILTER(Greenleaf[Unit Price], (Greenleaf[Product Category]=_xlpm.cat)*(Greenleaf[Unit Price]&lt;&gt;"")), IFERROR(MEDIAN(_xlpm.prices), ""))</f>
        <v>40</v>
      </c>
      <c r="P271">
        <f>IF(Greenleaf[[#This Row],[Shipment Status]]="Returned",1,0)</f>
        <v>0</v>
      </c>
      <c r="Q271">
        <f>IF(Greenleaf[[#This Row],[Shipment Status]]="Delivered",1,0)</f>
        <v>1</v>
      </c>
    </row>
    <row r="272" spans="1:17" x14ac:dyDescent="0.45">
      <c r="A272" t="s">
        <v>549</v>
      </c>
      <c r="B272">
        <v>45382</v>
      </c>
      <c r="C272" t="s">
        <v>49</v>
      </c>
      <c r="D272" t="s">
        <v>50</v>
      </c>
      <c r="E272">
        <v>8</v>
      </c>
      <c r="F272">
        <v>15</v>
      </c>
      <c r="G272">
        <v>3.64</v>
      </c>
      <c r="H272" t="s">
        <v>550</v>
      </c>
      <c r="I272" t="s">
        <v>319</v>
      </c>
      <c r="J272" t="s">
        <v>27</v>
      </c>
      <c r="K272" t="s">
        <v>43</v>
      </c>
      <c r="L272">
        <f t="shared" si="12"/>
        <v>120</v>
      </c>
      <c r="M272">
        <f t="shared" si="13"/>
        <v>29.12</v>
      </c>
      <c r="N272">
        <f t="shared" si="14"/>
        <v>90.88</v>
      </c>
      <c r="O272" cm="1">
        <f t="array" ref="O272">_xlfn.LET(_xlpm.cat, Greenleaf[[#This Row],[Product Category]], _xlpm.prices, _xlfn._xlws.FILTER(Greenleaf[Unit Price], (Greenleaf[Product Category]=_xlpm.cat)*(Greenleaf[Unit Price]&lt;&gt;"")), IFERROR(MEDIAN(_xlpm.prices), ""))</f>
        <v>15</v>
      </c>
      <c r="P272">
        <f>IF(Greenleaf[[#This Row],[Shipment Status]]="Returned",1,0)</f>
        <v>0</v>
      </c>
      <c r="Q272">
        <f>IF(Greenleaf[[#This Row],[Shipment Status]]="Delivered",1,0)</f>
        <v>1</v>
      </c>
    </row>
    <row r="273" spans="1:17" x14ac:dyDescent="0.45">
      <c r="A273" t="s">
        <v>551</v>
      </c>
      <c r="B273">
        <v>45382</v>
      </c>
      <c r="C273" t="s">
        <v>16</v>
      </c>
      <c r="D273" t="s">
        <v>17</v>
      </c>
      <c r="E273">
        <v>9</v>
      </c>
      <c r="F273">
        <v>10</v>
      </c>
      <c r="G273">
        <v>3.6</v>
      </c>
      <c r="H273" t="s">
        <v>552</v>
      </c>
      <c r="I273" t="s">
        <v>553</v>
      </c>
      <c r="J273" t="s">
        <v>27</v>
      </c>
      <c r="K273" t="s">
        <v>70</v>
      </c>
      <c r="L273">
        <f t="shared" si="12"/>
        <v>90</v>
      </c>
      <c r="M273">
        <f t="shared" si="13"/>
        <v>32.4</v>
      </c>
      <c r="N273">
        <f t="shared" si="14"/>
        <v>57.6</v>
      </c>
      <c r="O273" cm="1">
        <f t="array" ref="O273">_xlfn.LET(_xlpm.cat, Greenleaf[[#This Row],[Product Category]], _xlpm.prices, _xlfn._xlws.FILTER(Greenleaf[Unit Price], (Greenleaf[Product Category]=_xlpm.cat)*(Greenleaf[Unit Price]&lt;&gt;"")), IFERROR(MEDIAN(_xlpm.prices), ""))</f>
        <v>10</v>
      </c>
      <c r="P273">
        <f>IF(Greenleaf[[#This Row],[Shipment Status]]="Returned",1,0)</f>
        <v>0</v>
      </c>
      <c r="Q273">
        <f>IF(Greenleaf[[#This Row],[Shipment Status]]="Delivered",1,0)</f>
        <v>1</v>
      </c>
    </row>
    <row r="274" spans="1:17" x14ac:dyDescent="0.45">
      <c r="A274" t="s">
        <v>554</v>
      </c>
      <c r="B274">
        <v>45383</v>
      </c>
      <c r="C274" t="s">
        <v>23</v>
      </c>
      <c r="D274" t="s">
        <v>24</v>
      </c>
      <c r="E274">
        <v>7</v>
      </c>
      <c r="F274">
        <v>25</v>
      </c>
      <c r="G274">
        <v>5.07</v>
      </c>
      <c r="H274" t="s">
        <v>414</v>
      </c>
      <c r="I274" t="s">
        <v>357</v>
      </c>
      <c r="J274" t="s">
        <v>27</v>
      </c>
      <c r="K274" t="s">
        <v>34</v>
      </c>
      <c r="L274">
        <f t="shared" si="12"/>
        <v>175</v>
      </c>
      <c r="M274">
        <f t="shared" si="13"/>
        <v>35.49</v>
      </c>
      <c r="N274">
        <f t="shared" si="14"/>
        <v>139.51</v>
      </c>
      <c r="O274" cm="1">
        <f t="array" ref="O274">_xlfn.LET(_xlpm.cat, Greenleaf[[#This Row],[Product Category]], _xlpm.prices, _xlfn._xlws.FILTER(Greenleaf[Unit Price], (Greenleaf[Product Category]=_xlpm.cat)*(Greenleaf[Unit Price]&lt;&gt;"")), IFERROR(MEDIAN(_xlpm.prices), ""))</f>
        <v>25</v>
      </c>
      <c r="P274">
        <f>IF(Greenleaf[[#This Row],[Shipment Status]]="Returned",1,0)</f>
        <v>0</v>
      </c>
      <c r="Q274">
        <f>IF(Greenleaf[[#This Row],[Shipment Status]]="Delivered",1,0)</f>
        <v>1</v>
      </c>
    </row>
    <row r="275" spans="1:17" x14ac:dyDescent="0.45">
      <c r="A275" t="s">
        <v>555</v>
      </c>
      <c r="B275">
        <v>45383</v>
      </c>
      <c r="C275" t="s">
        <v>66</v>
      </c>
      <c r="D275" t="s">
        <v>67</v>
      </c>
      <c r="E275">
        <v>3</v>
      </c>
      <c r="F275">
        <v>12</v>
      </c>
      <c r="G275">
        <v>3.17</v>
      </c>
      <c r="H275" t="s">
        <v>224</v>
      </c>
      <c r="I275" t="s">
        <v>225</v>
      </c>
      <c r="J275" t="s">
        <v>27</v>
      </c>
      <c r="K275" t="s">
        <v>43</v>
      </c>
      <c r="L275">
        <f t="shared" si="12"/>
        <v>36</v>
      </c>
      <c r="M275">
        <f t="shared" si="13"/>
        <v>9.51</v>
      </c>
      <c r="N275">
        <f t="shared" si="14"/>
        <v>26.490000000000002</v>
      </c>
      <c r="O275" cm="1">
        <f t="array" ref="O275">_xlfn.LET(_xlpm.cat, Greenleaf[[#This Row],[Product Category]], _xlpm.prices, _xlfn._xlws.FILTER(Greenleaf[Unit Price], (Greenleaf[Product Category]=_xlpm.cat)*(Greenleaf[Unit Price]&lt;&gt;"")), IFERROR(MEDIAN(_xlpm.prices), ""))</f>
        <v>12</v>
      </c>
      <c r="P275">
        <f>IF(Greenleaf[[#This Row],[Shipment Status]]="Returned",1,0)</f>
        <v>0</v>
      </c>
      <c r="Q275">
        <f>IF(Greenleaf[[#This Row],[Shipment Status]]="Delivered",1,0)</f>
        <v>1</v>
      </c>
    </row>
    <row r="276" spans="1:17" x14ac:dyDescent="0.45">
      <c r="A276" t="s">
        <v>556</v>
      </c>
      <c r="B276">
        <v>45384</v>
      </c>
      <c r="C276" t="s">
        <v>66</v>
      </c>
      <c r="D276" t="s">
        <v>67</v>
      </c>
      <c r="E276">
        <v>10</v>
      </c>
      <c r="F276">
        <v>12</v>
      </c>
      <c r="G276">
        <v>3.9</v>
      </c>
      <c r="H276" t="s">
        <v>164</v>
      </c>
      <c r="I276" t="s">
        <v>100</v>
      </c>
      <c r="J276" t="s">
        <v>27</v>
      </c>
      <c r="K276" t="s">
        <v>134</v>
      </c>
      <c r="L276">
        <f t="shared" si="12"/>
        <v>120</v>
      </c>
      <c r="M276">
        <f t="shared" si="13"/>
        <v>39</v>
      </c>
      <c r="N276">
        <f t="shared" si="14"/>
        <v>81</v>
      </c>
      <c r="O276" cm="1">
        <f t="array" ref="O276">_xlfn.LET(_xlpm.cat, Greenleaf[[#This Row],[Product Category]], _xlpm.prices, _xlfn._xlws.FILTER(Greenleaf[Unit Price], (Greenleaf[Product Category]=_xlpm.cat)*(Greenleaf[Unit Price]&lt;&gt;"")), IFERROR(MEDIAN(_xlpm.prices), ""))</f>
        <v>12</v>
      </c>
      <c r="P276">
        <f>IF(Greenleaf[[#This Row],[Shipment Status]]="Returned",1,0)</f>
        <v>0</v>
      </c>
      <c r="Q276">
        <f>IF(Greenleaf[[#This Row],[Shipment Status]]="Delivered",1,0)</f>
        <v>1</v>
      </c>
    </row>
    <row r="277" spans="1:17" x14ac:dyDescent="0.45">
      <c r="A277" t="s">
        <v>557</v>
      </c>
      <c r="B277">
        <v>45384</v>
      </c>
      <c r="C277" t="s">
        <v>49</v>
      </c>
      <c r="D277" t="s">
        <v>50</v>
      </c>
      <c r="E277">
        <v>8</v>
      </c>
      <c r="F277">
        <v>15</v>
      </c>
      <c r="G277">
        <v>4.9400000000000004</v>
      </c>
      <c r="H277" t="s">
        <v>558</v>
      </c>
      <c r="I277" t="s">
        <v>559</v>
      </c>
      <c r="J277" t="s">
        <v>27</v>
      </c>
      <c r="K277" t="s">
        <v>28</v>
      </c>
      <c r="L277">
        <f t="shared" si="12"/>
        <v>120</v>
      </c>
      <c r="M277">
        <f t="shared" si="13"/>
        <v>39.520000000000003</v>
      </c>
      <c r="N277">
        <f t="shared" si="14"/>
        <v>80.47999999999999</v>
      </c>
      <c r="O277" cm="1">
        <f t="array" ref="O277">_xlfn.LET(_xlpm.cat, Greenleaf[[#This Row],[Product Category]], _xlpm.prices, _xlfn._xlws.FILTER(Greenleaf[Unit Price], (Greenleaf[Product Category]=_xlpm.cat)*(Greenleaf[Unit Price]&lt;&gt;"")), IFERROR(MEDIAN(_xlpm.prices), ""))</f>
        <v>15</v>
      </c>
      <c r="P277">
        <f>IF(Greenleaf[[#This Row],[Shipment Status]]="Returned",1,0)</f>
        <v>0</v>
      </c>
      <c r="Q277">
        <f>IF(Greenleaf[[#This Row],[Shipment Status]]="Delivered",1,0)</f>
        <v>1</v>
      </c>
    </row>
    <row r="278" spans="1:17" x14ac:dyDescent="0.45">
      <c r="A278" t="s">
        <v>560</v>
      </c>
      <c r="B278">
        <v>45384</v>
      </c>
      <c r="C278" t="s">
        <v>49</v>
      </c>
      <c r="D278" t="s">
        <v>50</v>
      </c>
      <c r="E278">
        <v>1</v>
      </c>
      <c r="F278">
        <v>15</v>
      </c>
      <c r="G278">
        <v>5.04</v>
      </c>
      <c r="H278" t="s">
        <v>561</v>
      </c>
      <c r="I278" t="s">
        <v>562</v>
      </c>
      <c r="J278" t="s">
        <v>27</v>
      </c>
      <c r="K278" t="s">
        <v>34</v>
      </c>
      <c r="L278">
        <f t="shared" si="12"/>
        <v>15</v>
      </c>
      <c r="M278">
        <f t="shared" si="13"/>
        <v>5.04</v>
      </c>
      <c r="N278">
        <f t="shared" si="14"/>
        <v>9.9600000000000009</v>
      </c>
      <c r="O278" cm="1">
        <f t="array" ref="O278">_xlfn.LET(_xlpm.cat, Greenleaf[[#This Row],[Product Category]], _xlpm.prices, _xlfn._xlws.FILTER(Greenleaf[Unit Price], (Greenleaf[Product Category]=_xlpm.cat)*(Greenleaf[Unit Price]&lt;&gt;"")), IFERROR(MEDIAN(_xlpm.prices), ""))</f>
        <v>15</v>
      </c>
      <c r="P278">
        <f>IF(Greenleaf[[#This Row],[Shipment Status]]="Returned",1,0)</f>
        <v>0</v>
      </c>
      <c r="Q278">
        <f>IF(Greenleaf[[#This Row],[Shipment Status]]="Delivered",1,0)</f>
        <v>1</v>
      </c>
    </row>
    <row r="279" spans="1:17" x14ac:dyDescent="0.45">
      <c r="A279" t="s">
        <v>563</v>
      </c>
      <c r="B279">
        <v>45385</v>
      </c>
      <c r="C279" t="s">
        <v>30</v>
      </c>
      <c r="D279" t="s">
        <v>31</v>
      </c>
      <c r="E279">
        <v>9</v>
      </c>
      <c r="F279">
        <v>40</v>
      </c>
      <c r="G279">
        <v>12.88</v>
      </c>
      <c r="H279" t="s">
        <v>51</v>
      </c>
      <c r="I279" t="s">
        <v>52</v>
      </c>
      <c r="J279" t="s">
        <v>20</v>
      </c>
      <c r="K279" t="s">
        <v>43</v>
      </c>
      <c r="L279">
        <f t="shared" si="12"/>
        <v>360</v>
      </c>
      <c r="M279">
        <f t="shared" si="13"/>
        <v>115.92</v>
      </c>
      <c r="N279">
        <f t="shared" si="14"/>
        <v>244.07999999999998</v>
      </c>
      <c r="O279" cm="1">
        <f t="array" ref="O279">_xlfn.LET(_xlpm.cat, Greenleaf[[#This Row],[Product Category]], _xlpm.prices, _xlfn._xlws.FILTER(Greenleaf[Unit Price], (Greenleaf[Product Category]=_xlpm.cat)*(Greenleaf[Unit Price]&lt;&gt;"")), IFERROR(MEDIAN(_xlpm.prices), ""))</f>
        <v>40</v>
      </c>
      <c r="P279">
        <f>IF(Greenleaf[[#This Row],[Shipment Status]]="Returned",1,0)</f>
        <v>0</v>
      </c>
      <c r="Q279">
        <f>IF(Greenleaf[[#This Row],[Shipment Status]]="Delivered",1,0)</f>
        <v>0</v>
      </c>
    </row>
    <row r="280" spans="1:17" x14ac:dyDescent="0.45">
      <c r="A280" t="s">
        <v>564</v>
      </c>
      <c r="B280">
        <v>45385</v>
      </c>
      <c r="C280" t="s">
        <v>49</v>
      </c>
      <c r="D280" t="s">
        <v>50</v>
      </c>
      <c r="E280">
        <v>2</v>
      </c>
      <c r="F280">
        <v>15</v>
      </c>
      <c r="G280">
        <v>5.45</v>
      </c>
      <c r="H280" t="s">
        <v>565</v>
      </c>
      <c r="I280" t="s">
        <v>566</v>
      </c>
      <c r="J280" t="s">
        <v>20</v>
      </c>
      <c r="K280" t="s">
        <v>28</v>
      </c>
      <c r="L280">
        <f t="shared" si="12"/>
        <v>30</v>
      </c>
      <c r="M280">
        <f t="shared" si="13"/>
        <v>10.9</v>
      </c>
      <c r="N280">
        <f t="shared" si="14"/>
        <v>19.100000000000001</v>
      </c>
      <c r="O280" cm="1">
        <f t="array" ref="O280">_xlfn.LET(_xlpm.cat, Greenleaf[[#This Row],[Product Category]], _xlpm.prices, _xlfn._xlws.FILTER(Greenleaf[Unit Price], (Greenleaf[Product Category]=_xlpm.cat)*(Greenleaf[Unit Price]&lt;&gt;"")), IFERROR(MEDIAN(_xlpm.prices), ""))</f>
        <v>15</v>
      </c>
      <c r="P280">
        <f>IF(Greenleaf[[#This Row],[Shipment Status]]="Returned",1,0)</f>
        <v>0</v>
      </c>
      <c r="Q280">
        <f>IF(Greenleaf[[#This Row],[Shipment Status]]="Delivered",1,0)</f>
        <v>0</v>
      </c>
    </row>
    <row r="281" spans="1:17" x14ac:dyDescent="0.45">
      <c r="A281" t="s">
        <v>567</v>
      </c>
      <c r="B281">
        <v>45385</v>
      </c>
      <c r="C281" t="s">
        <v>66</v>
      </c>
      <c r="D281" t="s">
        <v>67</v>
      </c>
      <c r="E281">
        <v>5</v>
      </c>
      <c r="F281">
        <v>12</v>
      </c>
      <c r="G281">
        <v>3.06</v>
      </c>
      <c r="H281" t="s">
        <v>216</v>
      </c>
      <c r="I281" t="s">
        <v>217</v>
      </c>
      <c r="J281" t="s">
        <v>27</v>
      </c>
      <c r="K281" t="s">
        <v>34</v>
      </c>
      <c r="L281">
        <f t="shared" si="12"/>
        <v>60</v>
      </c>
      <c r="M281">
        <f t="shared" si="13"/>
        <v>15.3</v>
      </c>
      <c r="N281">
        <f t="shared" si="14"/>
        <v>44.7</v>
      </c>
      <c r="O281" cm="1">
        <f t="array" ref="O281">_xlfn.LET(_xlpm.cat, Greenleaf[[#This Row],[Product Category]], _xlpm.prices, _xlfn._xlws.FILTER(Greenleaf[Unit Price], (Greenleaf[Product Category]=_xlpm.cat)*(Greenleaf[Unit Price]&lt;&gt;"")), IFERROR(MEDIAN(_xlpm.prices), ""))</f>
        <v>12</v>
      </c>
      <c r="P281">
        <f>IF(Greenleaf[[#This Row],[Shipment Status]]="Returned",1,0)</f>
        <v>0</v>
      </c>
      <c r="Q281">
        <f>IF(Greenleaf[[#This Row],[Shipment Status]]="Delivered",1,0)</f>
        <v>1</v>
      </c>
    </row>
    <row r="282" spans="1:17" x14ac:dyDescent="0.45">
      <c r="A282" t="s">
        <v>568</v>
      </c>
      <c r="B282">
        <v>45386</v>
      </c>
      <c r="C282" t="s">
        <v>16</v>
      </c>
      <c r="D282" t="s">
        <v>17</v>
      </c>
      <c r="E282">
        <v>9</v>
      </c>
      <c r="F282">
        <v>10</v>
      </c>
      <c r="G282">
        <v>2.23</v>
      </c>
      <c r="H282" t="s">
        <v>153</v>
      </c>
      <c r="I282" t="s">
        <v>154</v>
      </c>
      <c r="J282" t="s">
        <v>20</v>
      </c>
      <c r="K282" t="s">
        <v>34</v>
      </c>
      <c r="L282">
        <f t="shared" si="12"/>
        <v>90</v>
      </c>
      <c r="M282">
        <f t="shared" si="13"/>
        <v>20.07</v>
      </c>
      <c r="N282">
        <f t="shared" si="14"/>
        <v>69.930000000000007</v>
      </c>
      <c r="O282" cm="1">
        <f t="array" ref="O282">_xlfn.LET(_xlpm.cat, Greenleaf[[#This Row],[Product Category]], _xlpm.prices, _xlfn._xlws.FILTER(Greenleaf[Unit Price], (Greenleaf[Product Category]=_xlpm.cat)*(Greenleaf[Unit Price]&lt;&gt;"")), IFERROR(MEDIAN(_xlpm.prices), ""))</f>
        <v>10</v>
      </c>
      <c r="P282">
        <f>IF(Greenleaf[[#This Row],[Shipment Status]]="Returned",1,0)</f>
        <v>0</v>
      </c>
      <c r="Q282">
        <f>IF(Greenleaf[[#This Row],[Shipment Status]]="Delivered",1,0)</f>
        <v>0</v>
      </c>
    </row>
    <row r="283" spans="1:17" x14ac:dyDescent="0.45">
      <c r="A283" t="s">
        <v>569</v>
      </c>
      <c r="B283">
        <v>45386</v>
      </c>
      <c r="C283" t="s">
        <v>23</v>
      </c>
      <c r="D283" t="s">
        <v>24</v>
      </c>
      <c r="E283">
        <v>3</v>
      </c>
      <c r="F283">
        <v>25</v>
      </c>
      <c r="G283">
        <v>8.42</v>
      </c>
      <c r="H283" t="s">
        <v>329</v>
      </c>
      <c r="I283" t="s">
        <v>195</v>
      </c>
      <c r="J283" t="s">
        <v>27</v>
      </c>
      <c r="K283" t="s">
        <v>28</v>
      </c>
      <c r="L283">
        <f t="shared" si="12"/>
        <v>75</v>
      </c>
      <c r="M283">
        <f t="shared" si="13"/>
        <v>25.259999999999998</v>
      </c>
      <c r="N283">
        <f t="shared" si="14"/>
        <v>49.74</v>
      </c>
      <c r="O283" cm="1">
        <f t="array" ref="O283">_xlfn.LET(_xlpm.cat, Greenleaf[[#This Row],[Product Category]], _xlpm.prices, _xlfn._xlws.FILTER(Greenleaf[Unit Price], (Greenleaf[Product Category]=_xlpm.cat)*(Greenleaf[Unit Price]&lt;&gt;"")), IFERROR(MEDIAN(_xlpm.prices), ""))</f>
        <v>25</v>
      </c>
      <c r="P283">
        <f>IF(Greenleaf[[#This Row],[Shipment Status]]="Returned",1,0)</f>
        <v>0</v>
      </c>
      <c r="Q283">
        <f>IF(Greenleaf[[#This Row],[Shipment Status]]="Delivered",1,0)</f>
        <v>1</v>
      </c>
    </row>
    <row r="284" spans="1:17" x14ac:dyDescent="0.45">
      <c r="A284" t="s">
        <v>570</v>
      </c>
      <c r="B284">
        <v>45386</v>
      </c>
      <c r="C284" t="s">
        <v>30</v>
      </c>
      <c r="D284" t="s">
        <v>31</v>
      </c>
      <c r="E284">
        <v>10</v>
      </c>
      <c r="F284">
        <v>40</v>
      </c>
      <c r="G284">
        <v>12.79</v>
      </c>
      <c r="H284" t="s">
        <v>571</v>
      </c>
      <c r="I284" t="s">
        <v>167</v>
      </c>
      <c r="J284" t="s">
        <v>47</v>
      </c>
      <c r="K284" t="s">
        <v>74</v>
      </c>
      <c r="L284">
        <f t="shared" si="12"/>
        <v>400</v>
      </c>
      <c r="M284">
        <f t="shared" si="13"/>
        <v>127.89999999999999</v>
      </c>
      <c r="N284">
        <f t="shared" si="14"/>
        <v>272.10000000000002</v>
      </c>
      <c r="O284" cm="1">
        <f t="array" ref="O284">_xlfn.LET(_xlpm.cat, Greenleaf[[#This Row],[Product Category]], _xlpm.prices, _xlfn._xlws.FILTER(Greenleaf[Unit Price], (Greenleaf[Product Category]=_xlpm.cat)*(Greenleaf[Unit Price]&lt;&gt;"")), IFERROR(MEDIAN(_xlpm.prices), ""))</f>
        <v>40</v>
      </c>
      <c r="P284">
        <f>IF(Greenleaf[[#This Row],[Shipment Status]]="Returned",1,0)</f>
        <v>0</v>
      </c>
      <c r="Q284">
        <f>IF(Greenleaf[[#This Row],[Shipment Status]]="Delivered",1,0)</f>
        <v>0</v>
      </c>
    </row>
    <row r="285" spans="1:17" x14ac:dyDescent="0.45">
      <c r="A285" t="s">
        <v>572</v>
      </c>
      <c r="B285">
        <v>45386</v>
      </c>
      <c r="C285" t="s">
        <v>16</v>
      </c>
      <c r="D285" t="s">
        <v>17</v>
      </c>
      <c r="E285">
        <v>8</v>
      </c>
      <c r="F285">
        <v>10</v>
      </c>
      <c r="G285">
        <v>2.65</v>
      </c>
      <c r="H285" t="s">
        <v>573</v>
      </c>
      <c r="I285" t="s">
        <v>574</v>
      </c>
      <c r="J285" t="s">
        <v>27</v>
      </c>
      <c r="K285" t="s">
        <v>59</v>
      </c>
      <c r="L285">
        <f t="shared" si="12"/>
        <v>80</v>
      </c>
      <c r="M285">
        <f t="shared" si="13"/>
        <v>21.2</v>
      </c>
      <c r="N285">
        <f t="shared" si="14"/>
        <v>58.8</v>
      </c>
      <c r="O285" cm="1">
        <f t="array" ref="O285">_xlfn.LET(_xlpm.cat, Greenleaf[[#This Row],[Product Category]], _xlpm.prices, _xlfn._xlws.FILTER(Greenleaf[Unit Price], (Greenleaf[Product Category]=_xlpm.cat)*(Greenleaf[Unit Price]&lt;&gt;"")), IFERROR(MEDIAN(_xlpm.prices), ""))</f>
        <v>10</v>
      </c>
      <c r="P285">
        <f>IF(Greenleaf[[#This Row],[Shipment Status]]="Returned",1,0)</f>
        <v>0</v>
      </c>
      <c r="Q285">
        <f>IF(Greenleaf[[#This Row],[Shipment Status]]="Delivered",1,0)</f>
        <v>1</v>
      </c>
    </row>
    <row r="286" spans="1:17" x14ac:dyDescent="0.45">
      <c r="A286" t="s">
        <v>575</v>
      </c>
      <c r="B286">
        <v>45387</v>
      </c>
      <c r="C286" t="s">
        <v>30</v>
      </c>
      <c r="D286" t="s">
        <v>31</v>
      </c>
      <c r="E286">
        <v>5</v>
      </c>
      <c r="F286">
        <v>40</v>
      </c>
      <c r="G286">
        <v>8.31</v>
      </c>
      <c r="H286" t="s">
        <v>576</v>
      </c>
      <c r="I286" t="s">
        <v>553</v>
      </c>
      <c r="J286" t="s">
        <v>20</v>
      </c>
      <c r="K286" t="s">
        <v>34</v>
      </c>
      <c r="L286">
        <f t="shared" si="12"/>
        <v>200</v>
      </c>
      <c r="M286">
        <f t="shared" si="13"/>
        <v>41.550000000000004</v>
      </c>
      <c r="N286">
        <f t="shared" si="14"/>
        <v>158.44999999999999</v>
      </c>
      <c r="O286" cm="1">
        <f t="array" ref="O286">_xlfn.LET(_xlpm.cat, Greenleaf[[#This Row],[Product Category]], _xlpm.prices, _xlfn._xlws.FILTER(Greenleaf[Unit Price], (Greenleaf[Product Category]=_xlpm.cat)*(Greenleaf[Unit Price]&lt;&gt;"")), IFERROR(MEDIAN(_xlpm.prices), ""))</f>
        <v>40</v>
      </c>
      <c r="P286">
        <f>IF(Greenleaf[[#This Row],[Shipment Status]]="Returned",1,0)</f>
        <v>0</v>
      </c>
      <c r="Q286">
        <f>IF(Greenleaf[[#This Row],[Shipment Status]]="Delivered",1,0)</f>
        <v>0</v>
      </c>
    </row>
    <row r="287" spans="1:17" x14ac:dyDescent="0.45">
      <c r="A287" t="s">
        <v>577</v>
      </c>
      <c r="B287">
        <v>45388</v>
      </c>
      <c r="C287" t="s">
        <v>30</v>
      </c>
      <c r="D287" t="s">
        <v>31</v>
      </c>
      <c r="E287">
        <v>8</v>
      </c>
      <c r="F287">
        <v>40</v>
      </c>
      <c r="G287">
        <v>10.88</v>
      </c>
      <c r="H287" t="s">
        <v>578</v>
      </c>
      <c r="I287" t="s">
        <v>93</v>
      </c>
      <c r="J287" t="s">
        <v>20</v>
      </c>
      <c r="K287" t="s">
        <v>74</v>
      </c>
      <c r="L287">
        <f t="shared" si="12"/>
        <v>320</v>
      </c>
      <c r="M287">
        <f t="shared" si="13"/>
        <v>87.04</v>
      </c>
      <c r="N287">
        <f t="shared" si="14"/>
        <v>232.95999999999998</v>
      </c>
      <c r="O287" cm="1">
        <f t="array" ref="O287">_xlfn.LET(_xlpm.cat, Greenleaf[[#This Row],[Product Category]], _xlpm.prices, _xlfn._xlws.FILTER(Greenleaf[Unit Price], (Greenleaf[Product Category]=_xlpm.cat)*(Greenleaf[Unit Price]&lt;&gt;"")), IFERROR(MEDIAN(_xlpm.prices), ""))</f>
        <v>40</v>
      </c>
      <c r="P287">
        <f>IF(Greenleaf[[#This Row],[Shipment Status]]="Returned",1,0)</f>
        <v>0</v>
      </c>
      <c r="Q287">
        <f>IF(Greenleaf[[#This Row],[Shipment Status]]="Delivered",1,0)</f>
        <v>0</v>
      </c>
    </row>
    <row r="288" spans="1:17" x14ac:dyDescent="0.45">
      <c r="A288" t="s">
        <v>579</v>
      </c>
      <c r="B288">
        <v>45388</v>
      </c>
      <c r="C288" t="s">
        <v>66</v>
      </c>
      <c r="D288" t="s">
        <v>67</v>
      </c>
      <c r="E288">
        <v>6</v>
      </c>
      <c r="F288">
        <v>12</v>
      </c>
      <c r="G288">
        <v>4.78</v>
      </c>
      <c r="H288" t="s">
        <v>164</v>
      </c>
      <c r="I288" t="s">
        <v>100</v>
      </c>
      <c r="J288" t="s">
        <v>20</v>
      </c>
      <c r="K288" t="s">
        <v>134</v>
      </c>
      <c r="L288">
        <f t="shared" si="12"/>
        <v>72</v>
      </c>
      <c r="M288">
        <f t="shared" si="13"/>
        <v>28.68</v>
      </c>
      <c r="N288">
        <f t="shared" si="14"/>
        <v>43.32</v>
      </c>
      <c r="O288" cm="1">
        <f t="array" ref="O288">_xlfn.LET(_xlpm.cat, Greenleaf[[#This Row],[Product Category]], _xlpm.prices, _xlfn._xlws.FILTER(Greenleaf[Unit Price], (Greenleaf[Product Category]=_xlpm.cat)*(Greenleaf[Unit Price]&lt;&gt;"")), IFERROR(MEDIAN(_xlpm.prices), ""))</f>
        <v>12</v>
      </c>
      <c r="P288">
        <f>IF(Greenleaf[[#This Row],[Shipment Status]]="Returned",1,0)</f>
        <v>0</v>
      </c>
      <c r="Q288">
        <f>IF(Greenleaf[[#This Row],[Shipment Status]]="Delivered",1,0)</f>
        <v>0</v>
      </c>
    </row>
    <row r="289" spans="1:17" x14ac:dyDescent="0.45">
      <c r="A289" t="s">
        <v>580</v>
      </c>
      <c r="B289">
        <v>45388</v>
      </c>
      <c r="C289" t="s">
        <v>23</v>
      </c>
      <c r="D289" t="s">
        <v>24</v>
      </c>
      <c r="E289">
        <v>1</v>
      </c>
      <c r="F289">
        <v>25</v>
      </c>
      <c r="G289">
        <v>9.26</v>
      </c>
      <c r="H289" t="s">
        <v>576</v>
      </c>
      <c r="I289" t="s">
        <v>553</v>
      </c>
      <c r="J289" t="s">
        <v>27</v>
      </c>
      <c r="K289" t="s">
        <v>134</v>
      </c>
      <c r="L289">
        <f t="shared" si="12"/>
        <v>25</v>
      </c>
      <c r="M289">
        <f t="shared" si="13"/>
        <v>9.26</v>
      </c>
      <c r="N289">
        <f t="shared" si="14"/>
        <v>15.74</v>
      </c>
      <c r="O289" cm="1">
        <f t="array" ref="O289">_xlfn.LET(_xlpm.cat, Greenleaf[[#This Row],[Product Category]], _xlpm.prices, _xlfn._xlws.FILTER(Greenleaf[Unit Price], (Greenleaf[Product Category]=_xlpm.cat)*(Greenleaf[Unit Price]&lt;&gt;"")), IFERROR(MEDIAN(_xlpm.prices), ""))</f>
        <v>25</v>
      </c>
      <c r="P289">
        <f>IF(Greenleaf[[#This Row],[Shipment Status]]="Returned",1,0)</f>
        <v>0</v>
      </c>
      <c r="Q289">
        <f>IF(Greenleaf[[#This Row],[Shipment Status]]="Delivered",1,0)</f>
        <v>1</v>
      </c>
    </row>
    <row r="290" spans="1:17" x14ac:dyDescent="0.45">
      <c r="A290" t="s">
        <v>581</v>
      </c>
      <c r="B290">
        <v>45389</v>
      </c>
      <c r="C290" t="s">
        <v>23</v>
      </c>
      <c r="D290" t="s">
        <v>24</v>
      </c>
      <c r="E290">
        <v>9</v>
      </c>
      <c r="F290">
        <v>25</v>
      </c>
      <c r="G290">
        <v>8.39</v>
      </c>
      <c r="H290" t="s">
        <v>582</v>
      </c>
      <c r="I290" t="s">
        <v>217</v>
      </c>
      <c r="J290" t="s">
        <v>20</v>
      </c>
      <c r="K290" t="s">
        <v>28</v>
      </c>
      <c r="L290">
        <f t="shared" si="12"/>
        <v>225</v>
      </c>
      <c r="M290">
        <f t="shared" si="13"/>
        <v>75.510000000000005</v>
      </c>
      <c r="N290">
        <f t="shared" si="14"/>
        <v>149.49</v>
      </c>
      <c r="O290" cm="1">
        <f t="array" ref="O290">_xlfn.LET(_xlpm.cat, Greenleaf[[#This Row],[Product Category]], _xlpm.prices, _xlfn._xlws.FILTER(Greenleaf[Unit Price], (Greenleaf[Product Category]=_xlpm.cat)*(Greenleaf[Unit Price]&lt;&gt;"")), IFERROR(MEDIAN(_xlpm.prices), ""))</f>
        <v>25</v>
      </c>
      <c r="P290">
        <f>IF(Greenleaf[[#This Row],[Shipment Status]]="Returned",1,0)</f>
        <v>0</v>
      </c>
      <c r="Q290">
        <f>IF(Greenleaf[[#This Row],[Shipment Status]]="Delivered",1,0)</f>
        <v>0</v>
      </c>
    </row>
    <row r="291" spans="1:17" x14ac:dyDescent="0.45">
      <c r="A291" t="s">
        <v>583</v>
      </c>
      <c r="B291">
        <v>45389</v>
      </c>
      <c r="C291" t="s">
        <v>23</v>
      </c>
      <c r="D291" t="s">
        <v>24</v>
      </c>
      <c r="E291">
        <v>4</v>
      </c>
      <c r="F291">
        <v>25</v>
      </c>
      <c r="G291">
        <v>6.45</v>
      </c>
      <c r="H291" t="s">
        <v>209</v>
      </c>
      <c r="I291" t="s">
        <v>210</v>
      </c>
      <c r="J291" t="s">
        <v>27</v>
      </c>
      <c r="K291" t="s">
        <v>70</v>
      </c>
      <c r="L291">
        <f t="shared" si="12"/>
        <v>100</v>
      </c>
      <c r="M291">
        <f t="shared" si="13"/>
        <v>25.8</v>
      </c>
      <c r="N291">
        <f t="shared" si="14"/>
        <v>74.2</v>
      </c>
      <c r="O291" cm="1">
        <f t="array" ref="O291">_xlfn.LET(_xlpm.cat, Greenleaf[[#This Row],[Product Category]], _xlpm.prices, _xlfn._xlws.FILTER(Greenleaf[Unit Price], (Greenleaf[Product Category]=_xlpm.cat)*(Greenleaf[Unit Price]&lt;&gt;"")), IFERROR(MEDIAN(_xlpm.prices), ""))</f>
        <v>25</v>
      </c>
      <c r="P291">
        <f>IF(Greenleaf[[#This Row],[Shipment Status]]="Returned",1,0)</f>
        <v>0</v>
      </c>
      <c r="Q291">
        <f>IF(Greenleaf[[#This Row],[Shipment Status]]="Delivered",1,0)</f>
        <v>1</v>
      </c>
    </row>
    <row r="292" spans="1:17" x14ac:dyDescent="0.45">
      <c r="A292" t="s">
        <v>584</v>
      </c>
      <c r="B292">
        <v>45389</v>
      </c>
      <c r="C292" t="s">
        <v>23</v>
      </c>
      <c r="D292" t="s">
        <v>24</v>
      </c>
      <c r="E292">
        <v>4</v>
      </c>
      <c r="F292">
        <v>25</v>
      </c>
      <c r="G292">
        <v>8.35</v>
      </c>
      <c r="H292" t="s">
        <v>139</v>
      </c>
      <c r="I292" t="s">
        <v>140</v>
      </c>
      <c r="J292" t="s">
        <v>27</v>
      </c>
      <c r="K292" t="s">
        <v>59</v>
      </c>
      <c r="L292">
        <f t="shared" si="12"/>
        <v>100</v>
      </c>
      <c r="M292">
        <f t="shared" si="13"/>
        <v>33.4</v>
      </c>
      <c r="N292">
        <f t="shared" si="14"/>
        <v>66.599999999999994</v>
      </c>
      <c r="O292" cm="1">
        <f t="array" ref="O292">_xlfn.LET(_xlpm.cat, Greenleaf[[#This Row],[Product Category]], _xlpm.prices, _xlfn._xlws.FILTER(Greenleaf[Unit Price], (Greenleaf[Product Category]=_xlpm.cat)*(Greenleaf[Unit Price]&lt;&gt;"")), IFERROR(MEDIAN(_xlpm.prices), ""))</f>
        <v>25</v>
      </c>
      <c r="P292">
        <f>IF(Greenleaf[[#This Row],[Shipment Status]]="Returned",1,0)</f>
        <v>0</v>
      </c>
      <c r="Q292">
        <f>IF(Greenleaf[[#This Row],[Shipment Status]]="Delivered",1,0)</f>
        <v>1</v>
      </c>
    </row>
    <row r="293" spans="1:17" x14ac:dyDescent="0.45">
      <c r="A293" t="s">
        <v>585</v>
      </c>
      <c r="B293">
        <v>45390</v>
      </c>
      <c r="C293" t="s">
        <v>49</v>
      </c>
      <c r="D293" t="s">
        <v>50</v>
      </c>
      <c r="E293">
        <v>7</v>
      </c>
      <c r="F293">
        <v>15</v>
      </c>
      <c r="G293">
        <v>5.75</v>
      </c>
      <c r="H293" t="s">
        <v>578</v>
      </c>
      <c r="I293" t="s">
        <v>93</v>
      </c>
      <c r="J293" t="s">
        <v>20</v>
      </c>
      <c r="K293" t="s">
        <v>59</v>
      </c>
      <c r="L293">
        <f t="shared" si="12"/>
        <v>105</v>
      </c>
      <c r="M293">
        <f t="shared" si="13"/>
        <v>40.25</v>
      </c>
      <c r="N293">
        <f t="shared" si="14"/>
        <v>64.75</v>
      </c>
      <c r="O293" cm="1">
        <f t="array" ref="O293">_xlfn.LET(_xlpm.cat, Greenleaf[[#This Row],[Product Category]], _xlpm.prices, _xlfn._xlws.FILTER(Greenleaf[Unit Price], (Greenleaf[Product Category]=_xlpm.cat)*(Greenleaf[Unit Price]&lt;&gt;"")), IFERROR(MEDIAN(_xlpm.prices), ""))</f>
        <v>15</v>
      </c>
      <c r="P293">
        <f>IF(Greenleaf[[#This Row],[Shipment Status]]="Returned",1,0)</f>
        <v>0</v>
      </c>
      <c r="Q293">
        <f>IF(Greenleaf[[#This Row],[Shipment Status]]="Delivered",1,0)</f>
        <v>0</v>
      </c>
    </row>
    <row r="294" spans="1:17" x14ac:dyDescent="0.45">
      <c r="A294" t="s">
        <v>586</v>
      </c>
      <c r="B294">
        <v>45390</v>
      </c>
      <c r="C294" t="s">
        <v>66</v>
      </c>
      <c r="D294" t="s">
        <v>67</v>
      </c>
      <c r="E294">
        <v>7</v>
      </c>
      <c r="F294">
        <v>12</v>
      </c>
      <c r="G294">
        <v>3.53</v>
      </c>
      <c r="H294" t="s">
        <v>230</v>
      </c>
      <c r="I294" t="s">
        <v>225</v>
      </c>
      <c r="J294" t="s">
        <v>47</v>
      </c>
      <c r="K294" t="s">
        <v>59</v>
      </c>
      <c r="L294">
        <f t="shared" si="12"/>
        <v>84</v>
      </c>
      <c r="M294">
        <f t="shared" si="13"/>
        <v>24.709999999999997</v>
      </c>
      <c r="N294">
        <f t="shared" si="14"/>
        <v>59.290000000000006</v>
      </c>
      <c r="O294" cm="1">
        <f t="array" ref="O294">_xlfn.LET(_xlpm.cat, Greenleaf[[#This Row],[Product Category]], _xlpm.prices, _xlfn._xlws.FILTER(Greenleaf[Unit Price], (Greenleaf[Product Category]=_xlpm.cat)*(Greenleaf[Unit Price]&lt;&gt;"")), IFERROR(MEDIAN(_xlpm.prices), ""))</f>
        <v>12</v>
      </c>
      <c r="P294">
        <f>IF(Greenleaf[[#This Row],[Shipment Status]]="Returned",1,0)</f>
        <v>0</v>
      </c>
      <c r="Q294">
        <f>IF(Greenleaf[[#This Row],[Shipment Status]]="Delivered",1,0)</f>
        <v>0</v>
      </c>
    </row>
    <row r="295" spans="1:17" x14ac:dyDescent="0.45">
      <c r="A295" t="s">
        <v>587</v>
      </c>
      <c r="B295">
        <v>45390</v>
      </c>
      <c r="C295" t="s">
        <v>23</v>
      </c>
      <c r="D295" t="s">
        <v>24</v>
      </c>
      <c r="E295">
        <v>9</v>
      </c>
      <c r="F295">
        <v>25</v>
      </c>
      <c r="G295">
        <v>5.36</v>
      </c>
      <c r="H295" t="s">
        <v>550</v>
      </c>
      <c r="I295" t="s">
        <v>319</v>
      </c>
      <c r="J295" t="s">
        <v>27</v>
      </c>
      <c r="K295" t="s">
        <v>38</v>
      </c>
      <c r="L295">
        <f t="shared" si="12"/>
        <v>225</v>
      </c>
      <c r="M295">
        <f t="shared" si="13"/>
        <v>48.24</v>
      </c>
      <c r="N295">
        <f t="shared" si="14"/>
        <v>176.76</v>
      </c>
      <c r="O295" cm="1">
        <f t="array" ref="O295">_xlfn.LET(_xlpm.cat, Greenleaf[[#This Row],[Product Category]], _xlpm.prices, _xlfn._xlws.FILTER(Greenleaf[Unit Price], (Greenleaf[Product Category]=_xlpm.cat)*(Greenleaf[Unit Price]&lt;&gt;"")), IFERROR(MEDIAN(_xlpm.prices), ""))</f>
        <v>25</v>
      </c>
      <c r="P295">
        <f>IF(Greenleaf[[#This Row],[Shipment Status]]="Returned",1,0)</f>
        <v>0</v>
      </c>
      <c r="Q295">
        <f>IF(Greenleaf[[#This Row],[Shipment Status]]="Delivered",1,0)</f>
        <v>1</v>
      </c>
    </row>
    <row r="296" spans="1:17" x14ac:dyDescent="0.45">
      <c r="A296" t="s">
        <v>588</v>
      </c>
      <c r="B296">
        <v>45390</v>
      </c>
      <c r="C296" t="s">
        <v>16</v>
      </c>
      <c r="D296" t="s">
        <v>17</v>
      </c>
      <c r="E296">
        <v>8</v>
      </c>
      <c r="F296">
        <v>10</v>
      </c>
      <c r="G296">
        <v>3.52</v>
      </c>
      <c r="H296" t="s">
        <v>174</v>
      </c>
      <c r="I296" t="s">
        <v>112</v>
      </c>
      <c r="J296" t="s">
        <v>27</v>
      </c>
      <c r="K296" t="s">
        <v>74</v>
      </c>
      <c r="L296">
        <f t="shared" si="12"/>
        <v>80</v>
      </c>
      <c r="M296">
        <f t="shared" si="13"/>
        <v>28.16</v>
      </c>
      <c r="N296">
        <f t="shared" si="14"/>
        <v>51.84</v>
      </c>
      <c r="O296" cm="1">
        <f t="array" ref="O296">_xlfn.LET(_xlpm.cat, Greenleaf[[#This Row],[Product Category]], _xlpm.prices, _xlfn._xlws.FILTER(Greenleaf[Unit Price], (Greenleaf[Product Category]=_xlpm.cat)*(Greenleaf[Unit Price]&lt;&gt;"")), IFERROR(MEDIAN(_xlpm.prices), ""))</f>
        <v>10</v>
      </c>
      <c r="P296">
        <f>IF(Greenleaf[[#This Row],[Shipment Status]]="Returned",1,0)</f>
        <v>0</v>
      </c>
      <c r="Q296">
        <f>IF(Greenleaf[[#This Row],[Shipment Status]]="Delivered",1,0)</f>
        <v>1</v>
      </c>
    </row>
    <row r="297" spans="1:17" x14ac:dyDescent="0.45">
      <c r="A297" t="s">
        <v>589</v>
      </c>
      <c r="B297">
        <v>45391</v>
      </c>
      <c r="C297" t="s">
        <v>16</v>
      </c>
      <c r="D297" t="s">
        <v>17</v>
      </c>
      <c r="E297">
        <v>10</v>
      </c>
      <c r="F297">
        <v>10</v>
      </c>
      <c r="G297">
        <v>2.86</v>
      </c>
      <c r="H297" t="s">
        <v>371</v>
      </c>
      <c r="I297" t="s">
        <v>26</v>
      </c>
      <c r="J297" t="s">
        <v>27</v>
      </c>
      <c r="K297" t="s">
        <v>43</v>
      </c>
      <c r="L297">
        <f t="shared" si="12"/>
        <v>100</v>
      </c>
      <c r="M297">
        <f t="shared" si="13"/>
        <v>28.599999999999998</v>
      </c>
      <c r="N297">
        <f t="shared" si="14"/>
        <v>71.400000000000006</v>
      </c>
      <c r="O297" cm="1">
        <f t="array" ref="O297">_xlfn.LET(_xlpm.cat, Greenleaf[[#This Row],[Product Category]], _xlpm.prices, _xlfn._xlws.FILTER(Greenleaf[Unit Price], (Greenleaf[Product Category]=_xlpm.cat)*(Greenleaf[Unit Price]&lt;&gt;"")), IFERROR(MEDIAN(_xlpm.prices), ""))</f>
        <v>10</v>
      </c>
      <c r="P297">
        <f>IF(Greenleaf[[#This Row],[Shipment Status]]="Returned",1,0)</f>
        <v>0</v>
      </c>
      <c r="Q297">
        <f>IF(Greenleaf[[#This Row],[Shipment Status]]="Delivered",1,0)</f>
        <v>1</v>
      </c>
    </row>
    <row r="298" spans="1:17" x14ac:dyDescent="0.45">
      <c r="A298" t="s">
        <v>590</v>
      </c>
      <c r="B298">
        <v>45391</v>
      </c>
      <c r="C298" t="s">
        <v>16</v>
      </c>
      <c r="D298" t="s">
        <v>17</v>
      </c>
      <c r="E298">
        <v>3</v>
      </c>
      <c r="F298">
        <v>10</v>
      </c>
      <c r="G298">
        <v>2.5299999999999998</v>
      </c>
      <c r="H298" t="s">
        <v>591</v>
      </c>
      <c r="I298" t="s">
        <v>403</v>
      </c>
      <c r="J298" t="s">
        <v>27</v>
      </c>
      <c r="K298" t="s">
        <v>134</v>
      </c>
      <c r="L298">
        <f t="shared" si="12"/>
        <v>30</v>
      </c>
      <c r="M298">
        <f t="shared" si="13"/>
        <v>7.59</v>
      </c>
      <c r="N298">
        <f t="shared" si="14"/>
        <v>22.41</v>
      </c>
      <c r="O298" cm="1">
        <f t="array" ref="O298">_xlfn.LET(_xlpm.cat, Greenleaf[[#This Row],[Product Category]], _xlpm.prices, _xlfn._xlws.FILTER(Greenleaf[Unit Price], (Greenleaf[Product Category]=_xlpm.cat)*(Greenleaf[Unit Price]&lt;&gt;"")), IFERROR(MEDIAN(_xlpm.prices), ""))</f>
        <v>10</v>
      </c>
      <c r="P298">
        <f>IF(Greenleaf[[#This Row],[Shipment Status]]="Returned",1,0)</f>
        <v>0</v>
      </c>
      <c r="Q298">
        <f>IF(Greenleaf[[#This Row],[Shipment Status]]="Delivered",1,0)</f>
        <v>1</v>
      </c>
    </row>
    <row r="299" spans="1:17" x14ac:dyDescent="0.45">
      <c r="A299" t="s">
        <v>592</v>
      </c>
      <c r="B299">
        <v>45391</v>
      </c>
      <c r="C299" t="s">
        <v>16</v>
      </c>
      <c r="D299" t="s">
        <v>17</v>
      </c>
      <c r="E299">
        <v>2</v>
      </c>
      <c r="F299">
        <v>10</v>
      </c>
      <c r="G299">
        <v>3.58</v>
      </c>
      <c r="H299" t="s">
        <v>121</v>
      </c>
      <c r="I299" t="s">
        <v>122</v>
      </c>
      <c r="J299" t="s">
        <v>20</v>
      </c>
      <c r="K299" t="s">
        <v>70</v>
      </c>
      <c r="L299">
        <f t="shared" si="12"/>
        <v>20</v>
      </c>
      <c r="M299">
        <f t="shared" si="13"/>
        <v>7.16</v>
      </c>
      <c r="N299">
        <f t="shared" si="14"/>
        <v>12.84</v>
      </c>
      <c r="O299" cm="1">
        <f t="array" ref="O299">_xlfn.LET(_xlpm.cat, Greenleaf[[#This Row],[Product Category]], _xlpm.prices, _xlfn._xlws.FILTER(Greenleaf[Unit Price], (Greenleaf[Product Category]=_xlpm.cat)*(Greenleaf[Unit Price]&lt;&gt;"")), IFERROR(MEDIAN(_xlpm.prices), ""))</f>
        <v>10</v>
      </c>
      <c r="P299">
        <f>IF(Greenleaf[[#This Row],[Shipment Status]]="Returned",1,0)</f>
        <v>0</v>
      </c>
      <c r="Q299">
        <f>IF(Greenleaf[[#This Row],[Shipment Status]]="Delivered",1,0)</f>
        <v>0</v>
      </c>
    </row>
    <row r="300" spans="1:17" x14ac:dyDescent="0.45">
      <c r="A300" t="s">
        <v>593</v>
      </c>
      <c r="B300">
        <v>45392</v>
      </c>
      <c r="C300" t="s">
        <v>49</v>
      </c>
      <c r="D300" t="s">
        <v>50</v>
      </c>
      <c r="E300">
        <v>10</v>
      </c>
      <c r="F300">
        <v>15</v>
      </c>
      <c r="G300">
        <v>5.89</v>
      </c>
      <c r="H300" t="s">
        <v>594</v>
      </c>
      <c r="I300" t="s">
        <v>217</v>
      </c>
      <c r="J300" t="s">
        <v>20</v>
      </c>
      <c r="K300" t="s">
        <v>38</v>
      </c>
      <c r="L300">
        <f t="shared" si="12"/>
        <v>150</v>
      </c>
      <c r="M300">
        <f t="shared" si="13"/>
        <v>58.9</v>
      </c>
      <c r="N300">
        <f t="shared" si="14"/>
        <v>91.1</v>
      </c>
      <c r="O300" cm="1">
        <f t="array" ref="O300">_xlfn.LET(_xlpm.cat, Greenleaf[[#This Row],[Product Category]], _xlpm.prices, _xlfn._xlws.FILTER(Greenleaf[Unit Price], (Greenleaf[Product Category]=_xlpm.cat)*(Greenleaf[Unit Price]&lt;&gt;"")), IFERROR(MEDIAN(_xlpm.prices), ""))</f>
        <v>15</v>
      </c>
      <c r="P300">
        <f>IF(Greenleaf[[#This Row],[Shipment Status]]="Returned",1,0)</f>
        <v>0</v>
      </c>
      <c r="Q300">
        <f>IF(Greenleaf[[#This Row],[Shipment Status]]="Delivered",1,0)</f>
        <v>0</v>
      </c>
    </row>
    <row r="301" spans="1:17" x14ac:dyDescent="0.45">
      <c r="A301" t="s">
        <v>595</v>
      </c>
      <c r="B301">
        <v>45392</v>
      </c>
      <c r="C301" t="s">
        <v>23</v>
      </c>
      <c r="D301" t="s">
        <v>24</v>
      </c>
      <c r="E301">
        <v>3</v>
      </c>
      <c r="F301">
        <v>25</v>
      </c>
      <c r="G301">
        <v>5.6</v>
      </c>
      <c r="H301" t="s">
        <v>276</v>
      </c>
      <c r="I301" t="s">
        <v>277</v>
      </c>
      <c r="J301" t="s">
        <v>27</v>
      </c>
      <c r="K301" t="s">
        <v>74</v>
      </c>
      <c r="L301">
        <f t="shared" si="12"/>
        <v>75</v>
      </c>
      <c r="M301">
        <f t="shared" si="13"/>
        <v>16.799999999999997</v>
      </c>
      <c r="N301">
        <f t="shared" si="14"/>
        <v>58.2</v>
      </c>
      <c r="O301" cm="1">
        <f t="array" ref="O301">_xlfn.LET(_xlpm.cat, Greenleaf[[#This Row],[Product Category]], _xlpm.prices, _xlfn._xlws.FILTER(Greenleaf[Unit Price], (Greenleaf[Product Category]=_xlpm.cat)*(Greenleaf[Unit Price]&lt;&gt;"")), IFERROR(MEDIAN(_xlpm.prices), ""))</f>
        <v>25</v>
      </c>
      <c r="P301">
        <f>IF(Greenleaf[[#This Row],[Shipment Status]]="Returned",1,0)</f>
        <v>0</v>
      </c>
      <c r="Q301">
        <f>IF(Greenleaf[[#This Row],[Shipment Status]]="Delivered",1,0)</f>
        <v>1</v>
      </c>
    </row>
    <row r="302" spans="1:17" x14ac:dyDescent="0.45">
      <c r="A302" t="s">
        <v>596</v>
      </c>
      <c r="B302">
        <v>45392</v>
      </c>
      <c r="C302" t="s">
        <v>16</v>
      </c>
      <c r="D302" t="s">
        <v>17</v>
      </c>
      <c r="E302">
        <v>4</v>
      </c>
      <c r="F302">
        <v>10</v>
      </c>
      <c r="G302">
        <v>2.4300000000000002</v>
      </c>
      <c r="H302" t="s">
        <v>300</v>
      </c>
      <c r="I302" t="s">
        <v>167</v>
      </c>
      <c r="J302" t="s">
        <v>27</v>
      </c>
      <c r="K302" t="s">
        <v>38</v>
      </c>
      <c r="L302">
        <f t="shared" si="12"/>
        <v>40</v>
      </c>
      <c r="M302">
        <f t="shared" si="13"/>
        <v>9.7200000000000006</v>
      </c>
      <c r="N302">
        <f t="shared" si="14"/>
        <v>30.28</v>
      </c>
      <c r="O302" cm="1">
        <f t="array" ref="O302">_xlfn.LET(_xlpm.cat, Greenleaf[[#This Row],[Product Category]], _xlpm.prices, _xlfn._xlws.FILTER(Greenleaf[Unit Price], (Greenleaf[Product Category]=_xlpm.cat)*(Greenleaf[Unit Price]&lt;&gt;"")), IFERROR(MEDIAN(_xlpm.prices), ""))</f>
        <v>10</v>
      </c>
      <c r="P302">
        <f>IF(Greenleaf[[#This Row],[Shipment Status]]="Returned",1,0)</f>
        <v>0</v>
      </c>
      <c r="Q302">
        <f>IF(Greenleaf[[#This Row],[Shipment Status]]="Delivered",1,0)</f>
        <v>1</v>
      </c>
    </row>
    <row r="303" spans="1:17" x14ac:dyDescent="0.45">
      <c r="A303" t="s">
        <v>597</v>
      </c>
      <c r="B303">
        <v>45393</v>
      </c>
      <c r="C303" t="s">
        <v>30</v>
      </c>
      <c r="D303" t="s">
        <v>31</v>
      </c>
      <c r="E303">
        <v>3</v>
      </c>
      <c r="F303">
        <v>40</v>
      </c>
      <c r="G303">
        <v>15.83</v>
      </c>
      <c r="H303" t="s">
        <v>598</v>
      </c>
      <c r="I303" t="s">
        <v>474</v>
      </c>
      <c r="J303" t="s">
        <v>27</v>
      </c>
      <c r="K303" t="s">
        <v>74</v>
      </c>
      <c r="L303">
        <f t="shared" si="12"/>
        <v>120</v>
      </c>
      <c r="M303">
        <f t="shared" si="13"/>
        <v>47.49</v>
      </c>
      <c r="N303">
        <f t="shared" si="14"/>
        <v>72.509999999999991</v>
      </c>
      <c r="O303" cm="1">
        <f t="array" ref="O303">_xlfn.LET(_xlpm.cat, Greenleaf[[#This Row],[Product Category]], _xlpm.prices, _xlfn._xlws.FILTER(Greenleaf[Unit Price], (Greenleaf[Product Category]=_xlpm.cat)*(Greenleaf[Unit Price]&lt;&gt;"")), IFERROR(MEDIAN(_xlpm.prices), ""))</f>
        <v>40</v>
      </c>
      <c r="P303">
        <f>IF(Greenleaf[[#This Row],[Shipment Status]]="Returned",1,0)</f>
        <v>0</v>
      </c>
      <c r="Q303">
        <f>IF(Greenleaf[[#This Row],[Shipment Status]]="Delivered",1,0)</f>
        <v>1</v>
      </c>
    </row>
    <row r="304" spans="1:17" x14ac:dyDescent="0.45">
      <c r="A304" t="s">
        <v>599</v>
      </c>
      <c r="B304">
        <v>45394</v>
      </c>
      <c r="C304" t="s">
        <v>30</v>
      </c>
      <c r="D304" t="s">
        <v>31</v>
      </c>
      <c r="E304">
        <v>4</v>
      </c>
      <c r="F304">
        <v>40</v>
      </c>
      <c r="G304">
        <v>8.26</v>
      </c>
      <c r="H304" t="s">
        <v>256</v>
      </c>
      <c r="I304" t="s">
        <v>257</v>
      </c>
      <c r="J304" t="s">
        <v>47</v>
      </c>
      <c r="K304" t="s">
        <v>56</v>
      </c>
      <c r="L304">
        <f t="shared" si="12"/>
        <v>160</v>
      </c>
      <c r="M304">
        <f t="shared" si="13"/>
        <v>33.04</v>
      </c>
      <c r="N304">
        <f t="shared" si="14"/>
        <v>126.96000000000001</v>
      </c>
      <c r="O304" cm="1">
        <f t="array" ref="O304">_xlfn.LET(_xlpm.cat, Greenleaf[[#This Row],[Product Category]], _xlpm.prices, _xlfn._xlws.FILTER(Greenleaf[Unit Price], (Greenleaf[Product Category]=_xlpm.cat)*(Greenleaf[Unit Price]&lt;&gt;"")), IFERROR(MEDIAN(_xlpm.prices), ""))</f>
        <v>40</v>
      </c>
      <c r="P304">
        <f>IF(Greenleaf[[#This Row],[Shipment Status]]="Returned",1,0)</f>
        <v>0</v>
      </c>
      <c r="Q304">
        <f>IF(Greenleaf[[#This Row],[Shipment Status]]="Delivered",1,0)</f>
        <v>0</v>
      </c>
    </row>
    <row r="305" spans="1:17" x14ac:dyDescent="0.45">
      <c r="A305" t="s">
        <v>600</v>
      </c>
      <c r="B305">
        <v>45394</v>
      </c>
      <c r="C305" t="s">
        <v>30</v>
      </c>
      <c r="D305" t="s">
        <v>31</v>
      </c>
      <c r="E305">
        <v>2</v>
      </c>
      <c r="F305">
        <v>40</v>
      </c>
      <c r="G305">
        <v>8.09</v>
      </c>
      <c r="H305" t="s">
        <v>300</v>
      </c>
      <c r="I305" t="s">
        <v>167</v>
      </c>
      <c r="J305" t="s">
        <v>47</v>
      </c>
      <c r="K305" t="s">
        <v>28</v>
      </c>
      <c r="L305">
        <f t="shared" si="12"/>
        <v>80</v>
      </c>
      <c r="M305">
        <f t="shared" si="13"/>
        <v>16.18</v>
      </c>
      <c r="N305">
        <f t="shared" si="14"/>
        <v>63.82</v>
      </c>
      <c r="O305" cm="1">
        <f t="array" ref="O305">_xlfn.LET(_xlpm.cat, Greenleaf[[#This Row],[Product Category]], _xlpm.prices, _xlfn._xlws.FILTER(Greenleaf[Unit Price], (Greenleaf[Product Category]=_xlpm.cat)*(Greenleaf[Unit Price]&lt;&gt;"")), IFERROR(MEDIAN(_xlpm.prices), ""))</f>
        <v>40</v>
      </c>
      <c r="P305">
        <f>IF(Greenleaf[[#This Row],[Shipment Status]]="Returned",1,0)</f>
        <v>0</v>
      </c>
      <c r="Q305">
        <f>IF(Greenleaf[[#This Row],[Shipment Status]]="Delivered",1,0)</f>
        <v>0</v>
      </c>
    </row>
    <row r="306" spans="1:17" x14ac:dyDescent="0.45">
      <c r="A306" t="s">
        <v>601</v>
      </c>
      <c r="B306">
        <v>45394</v>
      </c>
      <c r="C306" t="s">
        <v>30</v>
      </c>
      <c r="D306" t="s">
        <v>31</v>
      </c>
      <c r="E306">
        <v>10</v>
      </c>
      <c r="F306">
        <v>40</v>
      </c>
      <c r="G306">
        <v>8.0399999999999991</v>
      </c>
      <c r="H306" t="s">
        <v>352</v>
      </c>
      <c r="I306" t="s">
        <v>353</v>
      </c>
      <c r="J306" t="s">
        <v>27</v>
      </c>
      <c r="K306" t="s">
        <v>28</v>
      </c>
      <c r="L306">
        <f t="shared" si="12"/>
        <v>400</v>
      </c>
      <c r="M306">
        <f t="shared" si="13"/>
        <v>80.399999999999991</v>
      </c>
      <c r="N306">
        <f t="shared" si="14"/>
        <v>319.60000000000002</v>
      </c>
      <c r="O306" cm="1">
        <f t="array" ref="O306">_xlfn.LET(_xlpm.cat, Greenleaf[[#This Row],[Product Category]], _xlpm.prices, _xlfn._xlws.FILTER(Greenleaf[Unit Price], (Greenleaf[Product Category]=_xlpm.cat)*(Greenleaf[Unit Price]&lt;&gt;"")), IFERROR(MEDIAN(_xlpm.prices), ""))</f>
        <v>40</v>
      </c>
      <c r="P306">
        <f>IF(Greenleaf[[#This Row],[Shipment Status]]="Returned",1,0)</f>
        <v>0</v>
      </c>
      <c r="Q306">
        <f>IF(Greenleaf[[#This Row],[Shipment Status]]="Delivered",1,0)</f>
        <v>1</v>
      </c>
    </row>
    <row r="307" spans="1:17" x14ac:dyDescent="0.45">
      <c r="A307" t="s">
        <v>602</v>
      </c>
      <c r="B307">
        <v>45395</v>
      </c>
      <c r="C307" t="s">
        <v>23</v>
      </c>
      <c r="D307" t="s">
        <v>24</v>
      </c>
      <c r="E307">
        <v>8</v>
      </c>
      <c r="F307">
        <v>25</v>
      </c>
      <c r="G307">
        <v>5.87</v>
      </c>
      <c r="H307" t="s">
        <v>402</v>
      </c>
      <c r="I307" t="s">
        <v>403</v>
      </c>
      <c r="J307" t="s">
        <v>27</v>
      </c>
      <c r="K307" t="s">
        <v>28</v>
      </c>
      <c r="L307">
        <f t="shared" si="12"/>
        <v>200</v>
      </c>
      <c r="M307">
        <f t="shared" si="13"/>
        <v>46.96</v>
      </c>
      <c r="N307">
        <f t="shared" si="14"/>
        <v>153.04</v>
      </c>
      <c r="O307" cm="1">
        <f t="array" ref="O307">_xlfn.LET(_xlpm.cat, Greenleaf[[#This Row],[Product Category]], _xlpm.prices, _xlfn._xlws.FILTER(Greenleaf[Unit Price], (Greenleaf[Product Category]=_xlpm.cat)*(Greenleaf[Unit Price]&lt;&gt;"")), IFERROR(MEDIAN(_xlpm.prices), ""))</f>
        <v>25</v>
      </c>
      <c r="P307">
        <f>IF(Greenleaf[[#This Row],[Shipment Status]]="Returned",1,0)</f>
        <v>0</v>
      </c>
      <c r="Q307">
        <f>IF(Greenleaf[[#This Row],[Shipment Status]]="Delivered",1,0)</f>
        <v>1</v>
      </c>
    </row>
    <row r="308" spans="1:17" x14ac:dyDescent="0.45">
      <c r="A308" t="s">
        <v>603</v>
      </c>
      <c r="B308">
        <v>45395</v>
      </c>
      <c r="C308" t="s">
        <v>49</v>
      </c>
      <c r="D308" t="s">
        <v>50</v>
      </c>
      <c r="E308">
        <v>1</v>
      </c>
      <c r="F308">
        <v>15</v>
      </c>
      <c r="G308">
        <v>5.9</v>
      </c>
      <c r="H308" t="s">
        <v>174</v>
      </c>
      <c r="I308" t="s">
        <v>112</v>
      </c>
      <c r="J308" t="s">
        <v>27</v>
      </c>
      <c r="K308" t="s">
        <v>59</v>
      </c>
      <c r="L308">
        <f t="shared" si="12"/>
        <v>15</v>
      </c>
      <c r="M308">
        <f t="shared" si="13"/>
        <v>5.9</v>
      </c>
      <c r="N308">
        <f t="shared" si="14"/>
        <v>9.1</v>
      </c>
      <c r="O308" cm="1">
        <f t="array" ref="O308">_xlfn.LET(_xlpm.cat, Greenleaf[[#This Row],[Product Category]], _xlpm.prices, _xlfn._xlws.FILTER(Greenleaf[Unit Price], (Greenleaf[Product Category]=_xlpm.cat)*(Greenleaf[Unit Price]&lt;&gt;"")), IFERROR(MEDIAN(_xlpm.prices), ""))</f>
        <v>15</v>
      </c>
      <c r="P308">
        <f>IF(Greenleaf[[#This Row],[Shipment Status]]="Returned",1,0)</f>
        <v>0</v>
      </c>
      <c r="Q308">
        <f>IF(Greenleaf[[#This Row],[Shipment Status]]="Delivered",1,0)</f>
        <v>1</v>
      </c>
    </row>
    <row r="309" spans="1:17" x14ac:dyDescent="0.45">
      <c r="A309" t="s">
        <v>604</v>
      </c>
      <c r="B309">
        <v>45395</v>
      </c>
      <c r="C309" t="s">
        <v>30</v>
      </c>
      <c r="D309" t="s">
        <v>31</v>
      </c>
      <c r="E309">
        <v>3</v>
      </c>
      <c r="F309">
        <v>40</v>
      </c>
      <c r="G309">
        <v>14.85</v>
      </c>
      <c r="H309" t="s">
        <v>382</v>
      </c>
      <c r="I309" t="s">
        <v>383</v>
      </c>
      <c r="J309" t="s">
        <v>47</v>
      </c>
      <c r="K309" t="s">
        <v>56</v>
      </c>
      <c r="L309">
        <f t="shared" si="12"/>
        <v>120</v>
      </c>
      <c r="M309">
        <f t="shared" si="13"/>
        <v>44.55</v>
      </c>
      <c r="N309">
        <f t="shared" si="14"/>
        <v>75.45</v>
      </c>
      <c r="O309" cm="1">
        <f t="array" ref="O309">_xlfn.LET(_xlpm.cat, Greenleaf[[#This Row],[Product Category]], _xlpm.prices, _xlfn._xlws.FILTER(Greenleaf[Unit Price], (Greenleaf[Product Category]=_xlpm.cat)*(Greenleaf[Unit Price]&lt;&gt;"")), IFERROR(MEDIAN(_xlpm.prices), ""))</f>
        <v>40</v>
      </c>
      <c r="P309">
        <f>IF(Greenleaf[[#This Row],[Shipment Status]]="Returned",1,0)</f>
        <v>0</v>
      </c>
      <c r="Q309">
        <f>IF(Greenleaf[[#This Row],[Shipment Status]]="Delivered",1,0)</f>
        <v>0</v>
      </c>
    </row>
    <row r="310" spans="1:17" x14ac:dyDescent="0.45">
      <c r="A310" t="s">
        <v>605</v>
      </c>
      <c r="B310">
        <v>45396</v>
      </c>
      <c r="C310" t="s">
        <v>30</v>
      </c>
      <c r="D310" t="s">
        <v>31</v>
      </c>
      <c r="E310">
        <v>4</v>
      </c>
      <c r="F310">
        <v>40</v>
      </c>
      <c r="G310">
        <v>15.39</v>
      </c>
      <c r="H310" t="s">
        <v>132</v>
      </c>
      <c r="I310" t="s">
        <v>133</v>
      </c>
      <c r="J310" t="s">
        <v>20</v>
      </c>
      <c r="K310" t="s">
        <v>59</v>
      </c>
      <c r="L310">
        <f t="shared" si="12"/>
        <v>160</v>
      </c>
      <c r="M310">
        <f t="shared" si="13"/>
        <v>61.56</v>
      </c>
      <c r="N310">
        <f t="shared" si="14"/>
        <v>98.44</v>
      </c>
      <c r="O310" cm="1">
        <f t="array" ref="O310">_xlfn.LET(_xlpm.cat, Greenleaf[[#This Row],[Product Category]], _xlpm.prices, _xlfn._xlws.FILTER(Greenleaf[Unit Price], (Greenleaf[Product Category]=_xlpm.cat)*(Greenleaf[Unit Price]&lt;&gt;"")), IFERROR(MEDIAN(_xlpm.prices), ""))</f>
        <v>40</v>
      </c>
      <c r="P310">
        <f>IF(Greenleaf[[#This Row],[Shipment Status]]="Returned",1,0)</f>
        <v>0</v>
      </c>
      <c r="Q310">
        <f>IF(Greenleaf[[#This Row],[Shipment Status]]="Delivered",1,0)</f>
        <v>0</v>
      </c>
    </row>
    <row r="311" spans="1:17" x14ac:dyDescent="0.45">
      <c r="A311" t="s">
        <v>606</v>
      </c>
      <c r="B311">
        <v>45396</v>
      </c>
      <c r="C311" t="s">
        <v>66</v>
      </c>
      <c r="D311" t="s">
        <v>67</v>
      </c>
      <c r="E311">
        <v>2</v>
      </c>
      <c r="F311">
        <v>12</v>
      </c>
      <c r="G311">
        <v>3.33</v>
      </c>
      <c r="H311" t="s">
        <v>326</v>
      </c>
      <c r="I311" t="s">
        <v>327</v>
      </c>
      <c r="J311" t="s">
        <v>27</v>
      </c>
      <c r="K311" t="s">
        <v>28</v>
      </c>
      <c r="L311">
        <f t="shared" si="12"/>
        <v>24</v>
      </c>
      <c r="M311">
        <f t="shared" si="13"/>
        <v>6.66</v>
      </c>
      <c r="N311">
        <f t="shared" si="14"/>
        <v>17.34</v>
      </c>
      <c r="O311" cm="1">
        <f t="array" ref="O311">_xlfn.LET(_xlpm.cat, Greenleaf[[#This Row],[Product Category]], _xlpm.prices, _xlfn._xlws.FILTER(Greenleaf[Unit Price], (Greenleaf[Product Category]=_xlpm.cat)*(Greenleaf[Unit Price]&lt;&gt;"")), IFERROR(MEDIAN(_xlpm.prices), ""))</f>
        <v>12</v>
      </c>
      <c r="P311">
        <f>IF(Greenleaf[[#This Row],[Shipment Status]]="Returned",1,0)</f>
        <v>0</v>
      </c>
      <c r="Q311">
        <f>IF(Greenleaf[[#This Row],[Shipment Status]]="Delivered",1,0)</f>
        <v>1</v>
      </c>
    </row>
    <row r="312" spans="1:17" x14ac:dyDescent="0.45">
      <c r="A312" t="s">
        <v>607</v>
      </c>
      <c r="B312">
        <v>45396</v>
      </c>
      <c r="C312" t="s">
        <v>30</v>
      </c>
      <c r="D312" t="s">
        <v>31</v>
      </c>
      <c r="E312">
        <v>8</v>
      </c>
      <c r="F312">
        <v>40</v>
      </c>
      <c r="G312">
        <v>8.81</v>
      </c>
      <c r="H312" t="s">
        <v>324</v>
      </c>
      <c r="I312" t="s">
        <v>62</v>
      </c>
      <c r="J312" t="s">
        <v>27</v>
      </c>
      <c r="K312" t="s">
        <v>70</v>
      </c>
      <c r="L312">
        <f t="shared" si="12"/>
        <v>320</v>
      </c>
      <c r="M312">
        <f t="shared" si="13"/>
        <v>70.48</v>
      </c>
      <c r="N312">
        <f t="shared" si="14"/>
        <v>249.51999999999998</v>
      </c>
      <c r="O312" cm="1">
        <f t="array" ref="O312">_xlfn.LET(_xlpm.cat, Greenleaf[[#This Row],[Product Category]], _xlpm.prices, _xlfn._xlws.FILTER(Greenleaf[Unit Price], (Greenleaf[Product Category]=_xlpm.cat)*(Greenleaf[Unit Price]&lt;&gt;"")), IFERROR(MEDIAN(_xlpm.prices), ""))</f>
        <v>40</v>
      </c>
      <c r="P312">
        <f>IF(Greenleaf[[#This Row],[Shipment Status]]="Returned",1,0)</f>
        <v>0</v>
      </c>
      <c r="Q312">
        <f>IF(Greenleaf[[#This Row],[Shipment Status]]="Delivered",1,0)</f>
        <v>1</v>
      </c>
    </row>
    <row r="313" spans="1:17" x14ac:dyDescent="0.45">
      <c r="A313" t="s">
        <v>608</v>
      </c>
      <c r="B313">
        <v>45397</v>
      </c>
      <c r="C313" t="s">
        <v>30</v>
      </c>
      <c r="D313" t="s">
        <v>31</v>
      </c>
      <c r="E313">
        <v>5</v>
      </c>
      <c r="F313">
        <v>40</v>
      </c>
      <c r="G313">
        <v>15.08</v>
      </c>
      <c r="H313" t="s">
        <v>420</v>
      </c>
      <c r="I313" t="s">
        <v>242</v>
      </c>
      <c r="J313" t="s">
        <v>20</v>
      </c>
      <c r="K313" t="s">
        <v>21</v>
      </c>
      <c r="L313">
        <f t="shared" si="12"/>
        <v>200</v>
      </c>
      <c r="M313">
        <f t="shared" si="13"/>
        <v>75.400000000000006</v>
      </c>
      <c r="N313">
        <f t="shared" si="14"/>
        <v>124.6</v>
      </c>
      <c r="O313" cm="1">
        <f t="array" ref="O313">_xlfn.LET(_xlpm.cat, Greenleaf[[#This Row],[Product Category]], _xlpm.prices, _xlfn._xlws.FILTER(Greenleaf[Unit Price], (Greenleaf[Product Category]=_xlpm.cat)*(Greenleaf[Unit Price]&lt;&gt;"")), IFERROR(MEDIAN(_xlpm.prices), ""))</f>
        <v>40</v>
      </c>
      <c r="P313">
        <f>IF(Greenleaf[[#This Row],[Shipment Status]]="Returned",1,0)</f>
        <v>0</v>
      </c>
      <c r="Q313">
        <f>IF(Greenleaf[[#This Row],[Shipment Status]]="Delivered",1,0)</f>
        <v>0</v>
      </c>
    </row>
    <row r="314" spans="1:17" x14ac:dyDescent="0.45">
      <c r="A314" t="s">
        <v>609</v>
      </c>
      <c r="B314">
        <v>45397</v>
      </c>
      <c r="C314" t="s">
        <v>30</v>
      </c>
      <c r="D314" t="s">
        <v>31</v>
      </c>
      <c r="E314">
        <v>8</v>
      </c>
      <c r="F314">
        <v>40</v>
      </c>
      <c r="G314">
        <v>11.5</v>
      </c>
      <c r="H314" t="s">
        <v>209</v>
      </c>
      <c r="I314" t="s">
        <v>210</v>
      </c>
      <c r="J314" t="s">
        <v>47</v>
      </c>
      <c r="K314" t="s">
        <v>74</v>
      </c>
      <c r="L314">
        <f t="shared" si="12"/>
        <v>320</v>
      </c>
      <c r="M314">
        <f t="shared" si="13"/>
        <v>92</v>
      </c>
      <c r="N314">
        <f t="shared" si="14"/>
        <v>228</v>
      </c>
      <c r="O314" cm="1">
        <f t="array" ref="O314">_xlfn.LET(_xlpm.cat, Greenleaf[[#This Row],[Product Category]], _xlpm.prices, _xlfn._xlws.FILTER(Greenleaf[Unit Price], (Greenleaf[Product Category]=_xlpm.cat)*(Greenleaf[Unit Price]&lt;&gt;"")), IFERROR(MEDIAN(_xlpm.prices), ""))</f>
        <v>40</v>
      </c>
      <c r="P314">
        <f>IF(Greenleaf[[#This Row],[Shipment Status]]="Returned",1,0)</f>
        <v>0</v>
      </c>
      <c r="Q314">
        <f>IF(Greenleaf[[#This Row],[Shipment Status]]="Delivered",1,0)</f>
        <v>0</v>
      </c>
    </row>
    <row r="315" spans="1:17" x14ac:dyDescent="0.45">
      <c r="A315" t="s">
        <v>610</v>
      </c>
      <c r="B315">
        <v>45397</v>
      </c>
      <c r="C315" t="s">
        <v>16</v>
      </c>
      <c r="D315" t="s">
        <v>17</v>
      </c>
      <c r="E315">
        <v>9</v>
      </c>
      <c r="F315">
        <v>10</v>
      </c>
      <c r="G315">
        <v>2.65</v>
      </c>
      <c r="H315" t="s">
        <v>36</v>
      </c>
      <c r="I315" t="s">
        <v>37</v>
      </c>
      <c r="J315" t="s">
        <v>27</v>
      </c>
      <c r="K315" t="s">
        <v>59</v>
      </c>
      <c r="L315">
        <f t="shared" si="12"/>
        <v>90</v>
      </c>
      <c r="M315">
        <f t="shared" si="13"/>
        <v>23.849999999999998</v>
      </c>
      <c r="N315">
        <f t="shared" si="14"/>
        <v>66.150000000000006</v>
      </c>
      <c r="O315" cm="1">
        <f t="array" ref="O315">_xlfn.LET(_xlpm.cat, Greenleaf[[#This Row],[Product Category]], _xlpm.prices, _xlfn._xlws.FILTER(Greenleaf[Unit Price], (Greenleaf[Product Category]=_xlpm.cat)*(Greenleaf[Unit Price]&lt;&gt;"")), IFERROR(MEDIAN(_xlpm.prices), ""))</f>
        <v>10</v>
      </c>
      <c r="P315">
        <f>IF(Greenleaf[[#This Row],[Shipment Status]]="Returned",1,0)</f>
        <v>0</v>
      </c>
      <c r="Q315">
        <f>IF(Greenleaf[[#This Row],[Shipment Status]]="Delivered",1,0)</f>
        <v>1</v>
      </c>
    </row>
    <row r="316" spans="1:17" x14ac:dyDescent="0.45">
      <c r="A316" t="s">
        <v>611</v>
      </c>
      <c r="B316">
        <v>45398</v>
      </c>
      <c r="C316" t="s">
        <v>16</v>
      </c>
      <c r="D316" t="s">
        <v>17</v>
      </c>
      <c r="E316">
        <v>2</v>
      </c>
      <c r="F316">
        <v>10</v>
      </c>
      <c r="G316">
        <v>3.22</v>
      </c>
      <c r="H316" t="s">
        <v>612</v>
      </c>
      <c r="I316" t="s">
        <v>210</v>
      </c>
      <c r="J316" t="s">
        <v>27</v>
      </c>
      <c r="K316" t="s">
        <v>70</v>
      </c>
      <c r="L316">
        <f t="shared" si="12"/>
        <v>20</v>
      </c>
      <c r="M316">
        <f t="shared" si="13"/>
        <v>6.44</v>
      </c>
      <c r="N316">
        <f t="shared" si="14"/>
        <v>13.559999999999999</v>
      </c>
      <c r="O316" cm="1">
        <f t="array" ref="O316">_xlfn.LET(_xlpm.cat, Greenleaf[[#This Row],[Product Category]], _xlpm.prices, _xlfn._xlws.FILTER(Greenleaf[Unit Price], (Greenleaf[Product Category]=_xlpm.cat)*(Greenleaf[Unit Price]&lt;&gt;"")), IFERROR(MEDIAN(_xlpm.prices), ""))</f>
        <v>10</v>
      </c>
      <c r="P316">
        <f>IF(Greenleaf[[#This Row],[Shipment Status]]="Returned",1,0)</f>
        <v>0</v>
      </c>
      <c r="Q316">
        <f>IF(Greenleaf[[#This Row],[Shipment Status]]="Delivered",1,0)</f>
        <v>1</v>
      </c>
    </row>
    <row r="317" spans="1:17" x14ac:dyDescent="0.45">
      <c r="A317" t="s">
        <v>613</v>
      </c>
      <c r="B317">
        <v>45398</v>
      </c>
      <c r="C317" t="s">
        <v>23</v>
      </c>
      <c r="D317" t="s">
        <v>24</v>
      </c>
      <c r="E317">
        <v>6</v>
      </c>
      <c r="F317">
        <v>25</v>
      </c>
      <c r="G317">
        <v>7.37</v>
      </c>
      <c r="H317" t="s">
        <v>127</v>
      </c>
      <c r="I317" t="s">
        <v>128</v>
      </c>
      <c r="J317" t="s">
        <v>20</v>
      </c>
      <c r="K317" t="s">
        <v>28</v>
      </c>
      <c r="L317">
        <f t="shared" si="12"/>
        <v>150</v>
      </c>
      <c r="M317">
        <f t="shared" si="13"/>
        <v>44.22</v>
      </c>
      <c r="N317">
        <f t="shared" si="14"/>
        <v>105.78</v>
      </c>
      <c r="O317" cm="1">
        <f t="array" ref="O317">_xlfn.LET(_xlpm.cat, Greenleaf[[#This Row],[Product Category]], _xlpm.prices, _xlfn._xlws.FILTER(Greenleaf[Unit Price], (Greenleaf[Product Category]=_xlpm.cat)*(Greenleaf[Unit Price]&lt;&gt;"")), IFERROR(MEDIAN(_xlpm.prices), ""))</f>
        <v>25</v>
      </c>
      <c r="P317">
        <f>IF(Greenleaf[[#This Row],[Shipment Status]]="Returned",1,0)</f>
        <v>0</v>
      </c>
      <c r="Q317">
        <f>IF(Greenleaf[[#This Row],[Shipment Status]]="Delivered",1,0)</f>
        <v>0</v>
      </c>
    </row>
    <row r="318" spans="1:17" x14ac:dyDescent="0.45">
      <c r="A318" t="s">
        <v>614</v>
      </c>
      <c r="B318">
        <v>45399</v>
      </c>
      <c r="C318" t="s">
        <v>66</v>
      </c>
      <c r="D318" t="s">
        <v>67</v>
      </c>
      <c r="E318">
        <v>5</v>
      </c>
      <c r="F318">
        <v>12</v>
      </c>
      <c r="G318">
        <v>2.5499999999999998</v>
      </c>
      <c r="H318" t="s">
        <v>32</v>
      </c>
      <c r="I318" t="s">
        <v>33</v>
      </c>
      <c r="J318" t="s">
        <v>20</v>
      </c>
      <c r="K318" t="s">
        <v>21</v>
      </c>
      <c r="L318">
        <f t="shared" si="12"/>
        <v>60</v>
      </c>
      <c r="M318">
        <f t="shared" si="13"/>
        <v>12.75</v>
      </c>
      <c r="N318">
        <f t="shared" si="14"/>
        <v>47.25</v>
      </c>
      <c r="O318" cm="1">
        <f t="array" ref="O318">_xlfn.LET(_xlpm.cat, Greenleaf[[#This Row],[Product Category]], _xlpm.prices, _xlfn._xlws.FILTER(Greenleaf[Unit Price], (Greenleaf[Product Category]=_xlpm.cat)*(Greenleaf[Unit Price]&lt;&gt;"")), IFERROR(MEDIAN(_xlpm.prices), ""))</f>
        <v>12</v>
      </c>
      <c r="P318">
        <f>IF(Greenleaf[[#This Row],[Shipment Status]]="Returned",1,0)</f>
        <v>0</v>
      </c>
      <c r="Q318">
        <f>IF(Greenleaf[[#This Row],[Shipment Status]]="Delivered",1,0)</f>
        <v>0</v>
      </c>
    </row>
    <row r="319" spans="1:17" x14ac:dyDescent="0.45">
      <c r="A319" t="s">
        <v>615</v>
      </c>
      <c r="B319">
        <v>45399</v>
      </c>
      <c r="C319" t="s">
        <v>23</v>
      </c>
      <c r="D319" t="s">
        <v>24</v>
      </c>
      <c r="E319">
        <v>4</v>
      </c>
      <c r="F319">
        <v>25</v>
      </c>
      <c r="G319">
        <v>6.2</v>
      </c>
      <c r="H319" t="s">
        <v>476</v>
      </c>
      <c r="I319" t="s">
        <v>477</v>
      </c>
      <c r="J319" t="s">
        <v>20</v>
      </c>
      <c r="K319" t="s">
        <v>28</v>
      </c>
      <c r="L319">
        <f t="shared" si="12"/>
        <v>100</v>
      </c>
      <c r="M319">
        <f t="shared" si="13"/>
        <v>24.8</v>
      </c>
      <c r="N319">
        <f t="shared" si="14"/>
        <v>75.2</v>
      </c>
      <c r="O319" cm="1">
        <f t="array" ref="O319">_xlfn.LET(_xlpm.cat, Greenleaf[[#This Row],[Product Category]], _xlpm.prices, _xlfn._xlws.FILTER(Greenleaf[Unit Price], (Greenleaf[Product Category]=_xlpm.cat)*(Greenleaf[Unit Price]&lt;&gt;"")), IFERROR(MEDIAN(_xlpm.prices), ""))</f>
        <v>25</v>
      </c>
      <c r="P319">
        <f>IF(Greenleaf[[#This Row],[Shipment Status]]="Returned",1,0)</f>
        <v>0</v>
      </c>
      <c r="Q319">
        <f>IF(Greenleaf[[#This Row],[Shipment Status]]="Delivered",1,0)</f>
        <v>0</v>
      </c>
    </row>
    <row r="320" spans="1:17" x14ac:dyDescent="0.45">
      <c r="A320" t="s">
        <v>616</v>
      </c>
      <c r="B320">
        <v>45399</v>
      </c>
      <c r="C320" t="s">
        <v>23</v>
      </c>
      <c r="D320" t="s">
        <v>24</v>
      </c>
      <c r="E320">
        <v>4</v>
      </c>
      <c r="F320">
        <v>25</v>
      </c>
      <c r="G320">
        <v>7.53</v>
      </c>
      <c r="H320" t="s">
        <v>292</v>
      </c>
      <c r="I320" t="s">
        <v>90</v>
      </c>
      <c r="J320" t="s">
        <v>27</v>
      </c>
      <c r="K320" t="s">
        <v>38</v>
      </c>
      <c r="L320">
        <f t="shared" si="12"/>
        <v>100</v>
      </c>
      <c r="M320">
        <f t="shared" si="13"/>
        <v>30.12</v>
      </c>
      <c r="N320">
        <f t="shared" si="14"/>
        <v>69.88</v>
      </c>
      <c r="O320" cm="1">
        <f t="array" ref="O320">_xlfn.LET(_xlpm.cat, Greenleaf[[#This Row],[Product Category]], _xlpm.prices, _xlfn._xlws.FILTER(Greenleaf[Unit Price], (Greenleaf[Product Category]=_xlpm.cat)*(Greenleaf[Unit Price]&lt;&gt;"")), IFERROR(MEDIAN(_xlpm.prices), ""))</f>
        <v>25</v>
      </c>
      <c r="P320">
        <f>IF(Greenleaf[[#This Row],[Shipment Status]]="Returned",1,0)</f>
        <v>0</v>
      </c>
      <c r="Q320">
        <f>IF(Greenleaf[[#This Row],[Shipment Status]]="Delivered",1,0)</f>
        <v>1</v>
      </c>
    </row>
    <row r="321" spans="1:17" x14ac:dyDescent="0.45">
      <c r="A321" t="s">
        <v>617</v>
      </c>
      <c r="B321">
        <v>45400</v>
      </c>
      <c r="C321" t="s">
        <v>23</v>
      </c>
      <c r="D321" t="s">
        <v>24</v>
      </c>
      <c r="E321">
        <v>1</v>
      </c>
      <c r="F321">
        <v>25</v>
      </c>
      <c r="G321">
        <v>7.07</v>
      </c>
      <c r="H321" t="s">
        <v>510</v>
      </c>
      <c r="I321" t="s">
        <v>511</v>
      </c>
      <c r="J321" t="s">
        <v>47</v>
      </c>
      <c r="K321" t="s">
        <v>70</v>
      </c>
      <c r="L321">
        <f t="shared" si="12"/>
        <v>25</v>
      </c>
      <c r="M321">
        <f t="shared" si="13"/>
        <v>7.07</v>
      </c>
      <c r="N321">
        <f t="shared" si="14"/>
        <v>17.93</v>
      </c>
      <c r="O321" cm="1">
        <f t="array" ref="O321">_xlfn.LET(_xlpm.cat, Greenleaf[[#This Row],[Product Category]], _xlpm.prices, _xlfn._xlws.FILTER(Greenleaf[Unit Price], (Greenleaf[Product Category]=_xlpm.cat)*(Greenleaf[Unit Price]&lt;&gt;"")), IFERROR(MEDIAN(_xlpm.prices), ""))</f>
        <v>25</v>
      </c>
      <c r="P321">
        <f>IF(Greenleaf[[#This Row],[Shipment Status]]="Returned",1,0)</f>
        <v>0</v>
      </c>
      <c r="Q321">
        <f>IF(Greenleaf[[#This Row],[Shipment Status]]="Delivered",1,0)</f>
        <v>0</v>
      </c>
    </row>
    <row r="322" spans="1:17" x14ac:dyDescent="0.45">
      <c r="A322" t="s">
        <v>618</v>
      </c>
      <c r="B322">
        <v>45401</v>
      </c>
      <c r="C322" t="s">
        <v>16</v>
      </c>
      <c r="D322" t="s">
        <v>17</v>
      </c>
      <c r="E322">
        <v>7</v>
      </c>
      <c r="F322">
        <v>10</v>
      </c>
      <c r="G322">
        <v>3.53</v>
      </c>
      <c r="H322" t="s">
        <v>121</v>
      </c>
      <c r="I322" t="s">
        <v>122</v>
      </c>
      <c r="J322" t="s">
        <v>27</v>
      </c>
      <c r="K322" t="s">
        <v>70</v>
      </c>
      <c r="L322">
        <f t="shared" ref="L322:L385" si="15">E322*F322</f>
        <v>70</v>
      </c>
      <c r="M322">
        <f t="shared" ref="M322:M385" si="16">E322*G322</f>
        <v>24.709999999999997</v>
      </c>
      <c r="N322">
        <f t="shared" ref="N322:N385" si="17">L322-M322</f>
        <v>45.290000000000006</v>
      </c>
      <c r="O322" cm="1">
        <f t="array" ref="O322">_xlfn.LET(_xlpm.cat, Greenleaf[[#This Row],[Product Category]], _xlpm.prices, _xlfn._xlws.FILTER(Greenleaf[Unit Price], (Greenleaf[Product Category]=_xlpm.cat)*(Greenleaf[Unit Price]&lt;&gt;"")), IFERROR(MEDIAN(_xlpm.prices), ""))</f>
        <v>10</v>
      </c>
      <c r="P322">
        <f>IF(Greenleaf[[#This Row],[Shipment Status]]="Returned",1,0)</f>
        <v>0</v>
      </c>
      <c r="Q322">
        <f>IF(Greenleaf[[#This Row],[Shipment Status]]="Delivered",1,0)</f>
        <v>1</v>
      </c>
    </row>
    <row r="323" spans="1:17" x14ac:dyDescent="0.45">
      <c r="A323" t="s">
        <v>619</v>
      </c>
      <c r="B323">
        <v>45401</v>
      </c>
      <c r="C323" t="s">
        <v>30</v>
      </c>
      <c r="D323" t="s">
        <v>31</v>
      </c>
      <c r="E323">
        <v>7</v>
      </c>
      <c r="F323">
        <v>40</v>
      </c>
      <c r="G323">
        <v>8.4</v>
      </c>
      <c r="H323" t="s">
        <v>482</v>
      </c>
      <c r="I323" t="s">
        <v>143</v>
      </c>
      <c r="J323" t="s">
        <v>27</v>
      </c>
      <c r="K323" t="s">
        <v>21</v>
      </c>
      <c r="L323">
        <f t="shared" si="15"/>
        <v>280</v>
      </c>
      <c r="M323">
        <f t="shared" si="16"/>
        <v>58.800000000000004</v>
      </c>
      <c r="N323">
        <f t="shared" si="17"/>
        <v>221.2</v>
      </c>
      <c r="O323" cm="1">
        <f t="array" ref="O323">_xlfn.LET(_xlpm.cat, Greenleaf[[#This Row],[Product Category]], _xlpm.prices, _xlfn._xlws.FILTER(Greenleaf[Unit Price], (Greenleaf[Product Category]=_xlpm.cat)*(Greenleaf[Unit Price]&lt;&gt;"")), IFERROR(MEDIAN(_xlpm.prices), ""))</f>
        <v>40</v>
      </c>
      <c r="P323">
        <f>IF(Greenleaf[[#This Row],[Shipment Status]]="Returned",1,0)</f>
        <v>0</v>
      </c>
      <c r="Q323">
        <f>IF(Greenleaf[[#This Row],[Shipment Status]]="Delivered",1,0)</f>
        <v>1</v>
      </c>
    </row>
    <row r="324" spans="1:17" x14ac:dyDescent="0.45">
      <c r="A324" t="s">
        <v>620</v>
      </c>
      <c r="B324">
        <v>45401</v>
      </c>
      <c r="C324" t="s">
        <v>66</v>
      </c>
      <c r="D324" t="s">
        <v>67</v>
      </c>
      <c r="E324">
        <v>7</v>
      </c>
      <c r="F324">
        <v>12</v>
      </c>
      <c r="G324">
        <v>4.59</v>
      </c>
      <c r="H324" t="s">
        <v>118</v>
      </c>
      <c r="I324" t="s">
        <v>119</v>
      </c>
      <c r="J324" t="s">
        <v>27</v>
      </c>
      <c r="K324" t="s">
        <v>134</v>
      </c>
      <c r="L324">
        <f t="shared" si="15"/>
        <v>84</v>
      </c>
      <c r="M324">
        <f t="shared" si="16"/>
        <v>32.129999999999995</v>
      </c>
      <c r="N324">
        <f t="shared" si="17"/>
        <v>51.870000000000005</v>
      </c>
      <c r="O324" cm="1">
        <f t="array" ref="O324">_xlfn.LET(_xlpm.cat, Greenleaf[[#This Row],[Product Category]], _xlpm.prices, _xlfn._xlws.FILTER(Greenleaf[Unit Price], (Greenleaf[Product Category]=_xlpm.cat)*(Greenleaf[Unit Price]&lt;&gt;"")), IFERROR(MEDIAN(_xlpm.prices), ""))</f>
        <v>12</v>
      </c>
      <c r="P324">
        <f>IF(Greenleaf[[#This Row],[Shipment Status]]="Returned",1,0)</f>
        <v>0</v>
      </c>
      <c r="Q324">
        <f>IF(Greenleaf[[#This Row],[Shipment Status]]="Delivered",1,0)</f>
        <v>1</v>
      </c>
    </row>
    <row r="325" spans="1:17" x14ac:dyDescent="0.45">
      <c r="A325" t="s">
        <v>621</v>
      </c>
      <c r="B325">
        <v>45402</v>
      </c>
      <c r="C325" t="s">
        <v>66</v>
      </c>
      <c r="D325" t="s">
        <v>67</v>
      </c>
      <c r="E325">
        <v>9</v>
      </c>
      <c r="F325">
        <v>12</v>
      </c>
      <c r="G325">
        <v>3.18</v>
      </c>
      <c r="H325" t="s">
        <v>436</v>
      </c>
      <c r="I325" t="s">
        <v>437</v>
      </c>
      <c r="J325" t="s">
        <v>27</v>
      </c>
      <c r="K325" t="s">
        <v>43</v>
      </c>
      <c r="L325">
        <f t="shared" si="15"/>
        <v>108</v>
      </c>
      <c r="M325">
        <f t="shared" si="16"/>
        <v>28.62</v>
      </c>
      <c r="N325">
        <f t="shared" si="17"/>
        <v>79.38</v>
      </c>
      <c r="O325" cm="1">
        <f t="array" ref="O325">_xlfn.LET(_xlpm.cat, Greenleaf[[#This Row],[Product Category]], _xlpm.prices, _xlfn._xlws.FILTER(Greenleaf[Unit Price], (Greenleaf[Product Category]=_xlpm.cat)*(Greenleaf[Unit Price]&lt;&gt;"")), IFERROR(MEDIAN(_xlpm.prices), ""))</f>
        <v>12</v>
      </c>
      <c r="P325">
        <f>IF(Greenleaf[[#This Row],[Shipment Status]]="Returned",1,0)</f>
        <v>0</v>
      </c>
      <c r="Q325">
        <f>IF(Greenleaf[[#This Row],[Shipment Status]]="Delivered",1,0)</f>
        <v>1</v>
      </c>
    </row>
    <row r="326" spans="1:17" x14ac:dyDescent="0.45">
      <c r="A326" t="s">
        <v>622</v>
      </c>
      <c r="B326">
        <v>45402</v>
      </c>
      <c r="C326" t="s">
        <v>16</v>
      </c>
      <c r="D326" t="s">
        <v>17</v>
      </c>
      <c r="E326">
        <v>8</v>
      </c>
      <c r="F326">
        <v>10</v>
      </c>
      <c r="G326">
        <v>2.5499999999999998</v>
      </c>
      <c r="H326" t="s">
        <v>344</v>
      </c>
      <c r="I326" t="s">
        <v>277</v>
      </c>
      <c r="J326" t="s">
        <v>20</v>
      </c>
      <c r="K326" t="s">
        <v>56</v>
      </c>
      <c r="L326">
        <f t="shared" si="15"/>
        <v>80</v>
      </c>
      <c r="M326">
        <f t="shared" si="16"/>
        <v>20.399999999999999</v>
      </c>
      <c r="N326">
        <f t="shared" si="17"/>
        <v>59.6</v>
      </c>
      <c r="O326" cm="1">
        <f t="array" ref="O326">_xlfn.LET(_xlpm.cat, Greenleaf[[#This Row],[Product Category]], _xlpm.prices, _xlfn._xlws.FILTER(Greenleaf[Unit Price], (Greenleaf[Product Category]=_xlpm.cat)*(Greenleaf[Unit Price]&lt;&gt;"")), IFERROR(MEDIAN(_xlpm.prices), ""))</f>
        <v>10</v>
      </c>
      <c r="P326">
        <f>IF(Greenleaf[[#This Row],[Shipment Status]]="Returned",1,0)</f>
        <v>0</v>
      </c>
      <c r="Q326">
        <f>IF(Greenleaf[[#This Row],[Shipment Status]]="Delivered",1,0)</f>
        <v>0</v>
      </c>
    </row>
    <row r="327" spans="1:17" x14ac:dyDescent="0.45">
      <c r="A327" t="s">
        <v>623</v>
      </c>
      <c r="B327">
        <v>45402</v>
      </c>
      <c r="C327" t="s">
        <v>23</v>
      </c>
      <c r="D327" t="s">
        <v>24</v>
      </c>
      <c r="E327">
        <v>1</v>
      </c>
      <c r="F327">
        <v>25</v>
      </c>
      <c r="G327">
        <v>6.87</v>
      </c>
      <c r="H327" t="s">
        <v>405</v>
      </c>
      <c r="I327" t="s">
        <v>214</v>
      </c>
      <c r="J327" t="s">
        <v>27</v>
      </c>
      <c r="K327" t="s">
        <v>43</v>
      </c>
      <c r="L327">
        <f t="shared" si="15"/>
        <v>25</v>
      </c>
      <c r="M327">
        <f t="shared" si="16"/>
        <v>6.87</v>
      </c>
      <c r="N327">
        <f t="shared" si="17"/>
        <v>18.13</v>
      </c>
      <c r="O327" cm="1">
        <f t="array" ref="O327">_xlfn.LET(_xlpm.cat, Greenleaf[[#This Row],[Product Category]], _xlpm.prices, _xlfn._xlws.FILTER(Greenleaf[Unit Price], (Greenleaf[Product Category]=_xlpm.cat)*(Greenleaf[Unit Price]&lt;&gt;"")), IFERROR(MEDIAN(_xlpm.prices), ""))</f>
        <v>25</v>
      </c>
      <c r="P327">
        <f>IF(Greenleaf[[#This Row],[Shipment Status]]="Returned",1,0)</f>
        <v>0</v>
      </c>
      <c r="Q327">
        <f>IF(Greenleaf[[#This Row],[Shipment Status]]="Delivered",1,0)</f>
        <v>1</v>
      </c>
    </row>
    <row r="328" spans="1:17" x14ac:dyDescent="0.45">
      <c r="A328" t="s">
        <v>624</v>
      </c>
      <c r="B328">
        <v>45403</v>
      </c>
      <c r="C328" t="s">
        <v>30</v>
      </c>
      <c r="D328" t="s">
        <v>31</v>
      </c>
      <c r="E328">
        <v>2</v>
      </c>
      <c r="F328">
        <v>40</v>
      </c>
      <c r="G328">
        <v>14.17</v>
      </c>
      <c r="H328" t="s">
        <v>625</v>
      </c>
      <c r="I328" t="s">
        <v>374</v>
      </c>
      <c r="J328" t="s">
        <v>27</v>
      </c>
      <c r="K328" t="s">
        <v>28</v>
      </c>
      <c r="L328">
        <f t="shared" si="15"/>
        <v>80</v>
      </c>
      <c r="M328">
        <f t="shared" si="16"/>
        <v>28.34</v>
      </c>
      <c r="N328">
        <f t="shared" si="17"/>
        <v>51.66</v>
      </c>
      <c r="O328" cm="1">
        <f t="array" ref="O328">_xlfn.LET(_xlpm.cat, Greenleaf[[#This Row],[Product Category]], _xlpm.prices, _xlfn._xlws.FILTER(Greenleaf[Unit Price], (Greenleaf[Product Category]=_xlpm.cat)*(Greenleaf[Unit Price]&lt;&gt;"")), IFERROR(MEDIAN(_xlpm.prices), ""))</f>
        <v>40</v>
      </c>
      <c r="P328">
        <f>IF(Greenleaf[[#This Row],[Shipment Status]]="Returned",1,0)</f>
        <v>0</v>
      </c>
      <c r="Q328">
        <f>IF(Greenleaf[[#This Row],[Shipment Status]]="Delivered",1,0)</f>
        <v>1</v>
      </c>
    </row>
    <row r="329" spans="1:17" x14ac:dyDescent="0.45">
      <c r="A329" t="s">
        <v>626</v>
      </c>
      <c r="B329">
        <v>45403</v>
      </c>
      <c r="C329" t="s">
        <v>23</v>
      </c>
      <c r="D329" t="s">
        <v>24</v>
      </c>
      <c r="E329">
        <v>4</v>
      </c>
      <c r="F329">
        <v>25</v>
      </c>
      <c r="G329">
        <v>6.54</v>
      </c>
      <c r="H329" t="s">
        <v>434</v>
      </c>
      <c r="I329" t="s">
        <v>257</v>
      </c>
      <c r="J329" t="s">
        <v>47</v>
      </c>
      <c r="K329" t="s">
        <v>134</v>
      </c>
      <c r="L329">
        <f t="shared" si="15"/>
        <v>100</v>
      </c>
      <c r="M329">
        <f t="shared" si="16"/>
        <v>26.16</v>
      </c>
      <c r="N329">
        <f t="shared" si="17"/>
        <v>73.84</v>
      </c>
      <c r="O329" cm="1">
        <f t="array" ref="O329">_xlfn.LET(_xlpm.cat, Greenleaf[[#This Row],[Product Category]], _xlpm.prices, _xlfn._xlws.FILTER(Greenleaf[Unit Price], (Greenleaf[Product Category]=_xlpm.cat)*(Greenleaf[Unit Price]&lt;&gt;"")), IFERROR(MEDIAN(_xlpm.prices), ""))</f>
        <v>25</v>
      </c>
      <c r="P329">
        <f>IF(Greenleaf[[#This Row],[Shipment Status]]="Returned",1,0)</f>
        <v>0</v>
      </c>
      <c r="Q329">
        <f>IF(Greenleaf[[#This Row],[Shipment Status]]="Delivered",1,0)</f>
        <v>0</v>
      </c>
    </row>
    <row r="330" spans="1:17" x14ac:dyDescent="0.45">
      <c r="A330" t="s">
        <v>627</v>
      </c>
      <c r="B330">
        <v>45403</v>
      </c>
      <c r="C330" t="s">
        <v>30</v>
      </c>
      <c r="D330" t="s">
        <v>31</v>
      </c>
      <c r="E330">
        <v>9</v>
      </c>
      <c r="F330">
        <v>40</v>
      </c>
      <c r="G330">
        <v>13.64</v>
      </c>
      <c r="H330" t="s">
        <v>300</v>
      </c>
      <c r="I330" t="s">
        <v>167</v>
      </c>
      <c r="J330" t="s">
        <v>27</v>
      </c>
      <c r="K330" t="s">
        <v>38</v>
      </c>
      <c r="L330">
        <f t="shared" si="15"/>
        <v>360</v>
      </c>
      <c r="M330">
        <f t="shared" si="16"/>
        <v>122.76</v>
      </c>
      <c r="N330">
        <f t="shared" si="17"/>
        <v>237.24</v>
      </c>
      <c r="O330" cm="1">
        <f t="array" ref="O330">_xlfn.LET(_xlpm.cat, Greenleaf[[#This Row],[Product Category]], _xlpm.prices, _xlfn._xlws.FILTER(Greenleaf[Unit Price], (Greenleaf[Product Category]=_xlpm.cat)*(Greenleaf[Unit Price]&lt;&gt;"")), IFERROR(MEDIAN(_xlpm.prices), ""))</f>
        <v>40</v>
      </c>
      <c r="P330">
        <f>IF(Greenleaf[[#This Row],[Shipment Status]]="Returned",1,0)</f>
        <v>0</v>
      </c>
      <c r="Q330">
        <f>IF(Greenleaf[[#This Row],[Shipment Status]]="Delivered",1,0)</f>
        <v>1</v>
      </c>
    </row>
    <row r="331" spans="1:17" x14ac:dyDescent="0.45">
      <c r="A331" t="s">
        <v>628</v>
      </c>
      <c r="B331">
        <v>45404</v>
      </c>
      <c r="C331" t="s">
        <v>23</v>
      </c>
      <c r="D331" t="s">
        <v>24</v>
      </c>
      <c r="E331">
        <v>3</v>
      </c>
      <c r="F331">
        <v>25</v>
      </c>
      <c r="G331">
        <v>9.17</v>
      </c>
      <c r="H331" t="s">
        <v>414</v>
      </c>
      <c r="I331" t="s">
        <v>357</v>
      </c>
      <c r="J331" t="s">
        <v>20</v>
      </c>
      <c r="K331" t="s">
        <v>28</v>
      </c>
      <c r="L331">
        <f t="shared" si="15"/>
        <v>75</v>
      </c>
      <c r="M331">
        <f t="shared" si="16"/>
        <v>27.509999999999998</v>
      </c>
      <c r="N331">
        <f t="shared" si="17"/>
        <v>47.49</v>
      </c>
      <c r="O331" cm="1">
        <f t="array" ref="O331">_xlfn.LET(_xlpm.cat, Greenleaf[[#This Row],[Product Category]], _xlpm.prices, _xlfn._xlws.FILTER(Greenleaf[Unit Price], (Greenleaf[Product Category]=_xlpm.cat)*(Greenleaf[Unit Price]&lt;&gt;"")), IFERROR(MEDIAN(_xlpm.prices), ""))</f>
        <v>25</v>
      </c>
      <c r="P331">
        <f>IF(Greenleaf[[#This Row],[Shipment Status]]="Returned",1,0)</f>
        <v>0</v>
      </c>
      <c r="Q331">
        <f>IF(Greenleaf[[#This Row],[Shipment Status]]="Delivered",1,0)</f>
        <v>0</v>
      </c>
    </row>
    <row r="332" spans="1:17" x14ac:dyDescent="0.45">
      <c r="A332" t="s">
        <v>629</v>
      </c>
      <c r="B332">
        <v>45404</v>
      </c>
      <c r="C332" t="s">
        <v>23</v>
      </c>
      <c r="D332" t="s">
        <v>24</v>
      </c>
      <c r="E332">
        <v>9</v>
      </c>
      <c r="F332">
        <v>25</v>
      </c>
      <c r="G332">
        <v>7.13</v>
      </c>
      <c r="H332" t="s">
        <v>241</v>
      </c>
      <c r="I332" t="s">
        <v>242</v>
      </c>
      <c r="J332" t="s">
        <v>27</v>
      </c>
      <c r="K332" t="s">
        <v>70</v>
      </c>
      <c r="L332">
        <f t="shared" si="15"/>
        <v>225</v>
      </c>
      <c r="M332">
        <f t="shared" si="16"/>
        <v>64.17</v>
      </c>
      <c r="N332">
        <f t="shared" si="17"/>
        <v>160.82999999999998</v>
      </c>
      <c r="O332" cm="1">
        <f t="array" ref="O332">_xlfn.LET(_xlpm.cat, Greenleaf[[#This Row],[Product Category]], _xlpm.prices, _xlfn._xlws.FILTER(Greenleaf[Unit Price], (Greenleaf[Product Category]=_xlpm.cat)*(Greenleaf[Unit Price]&lt;&gt;"")), IFERROR(MEDIAN(_xlpm.prices), ""))</f>
        <v>25</v>
      </c>
      <c r="P332">
        <f>IF(Greenleaf[[#This Row],[Shipment Status]]="Returned",1,0)</f>
        <v>0</v>
      </c>
      <c r="Q332">
        <f>IF(Greenleaf[[#This Row],[Shipment Status]]="Delivered",1,0)</f>
        <v>1</v>
      </c>
    </row>
    <row r="333" spans="1:17" x14ac:dyDescent="0.45">
      <c r="A333" t="s">
        <v>630</v>
      </c>
      <c r="B333">
        <v>45404</v>
      </c>
      <c r="C333" t="s">
        <v>49</v>
      </c>
      <c r="D333" t="s">
        <v>50</v>
      </c>
      <c r="E333">
        <v>5</v>
      </c>
      <c r="F333">
        <v>15</v>
      </c>
      <c r="G333">
        <v>4.1100000000000003</v>
      </c>
      <c r="H333" t="s">
        <v>279</v>
      </c>
      <c r="I333" t="s">
        <v>280</v>
      </c>
      <c r="J333" t="s">
        <v>27</v>
      </c>
      <c r="K333" t="s">
        <v>43</v>
      </c>
      <c r="L333">
        <f t="shared" si="15"/>
        <v>75</v>
      </c>
      <c r="M333">
        <f t="shared" si="16"/>
        <v>20.55</v>
      </c>
      <c r="N333">
        <f t="shared" si="17"/>
        <v>54.45</v>
      </c>
      <c r="O333" cm="1">
        <f t="array" ref="O333">_xlfn.LET(_xlpm.cat, Greenleaf[[#This Row],[Product Category]], _xlpm.prices, _xlfn._xlws.FILTER(Greenleaf[Unit Price], (Greenleaf[Product Category]=_xlpm.cat)*(Greenleaf[Unit Price]&lt;&gt;"")), IFERROR(MEDIAN(_xlpm.prices), ""))</f>
        <v>15</v>
      </c>
      <c r="P333">
        <f>IF(Greenleaf[[#This Row],[Shipment Status]]="Returned",1,0)</f>
        <v>0</v>
      </c>
      <c r="Q333">
        <f>IF(Greenleaf[[#This Row],[Shipment Status]]="Delivered",1,0)</f>
        <v>1</v>
      </c>
    </row>
    <row r="334" spans="1:17" x14ac:dyDescent="0.45">
      <c r="A334" t="s">
        <v>631</v>
      </c>
      <c r="B334">
        <v>45404</v>
      </c>
      <c r="C334" t="s">
        <v>23</v>
      </c>
      <c r="D334" t="s">
        <v>24</v>
      </c>
      <c r="E334">
        <v>5</v>
      </c>
      <c r="F334">
        <v>25</v>
      </c>
      <c r="G334">
        <v>8.42</v>
      </c>
      <c r="H334" t="s">
        <v>61</v>
      </c>
      <c r="I334" t="s">
        <v>62</v>
      </c>
      <c r="J334" t="s">
        <v>27</v>
      </c>
      <c r="K334" t="s">
        <v>59</v>
      </c>
      <c r="L334">
        <f t="shared" si="15"/>
        <v>125</v>
      </c>
      <c r="M334">
        <f t="shared" si="16"/>
        <v>42.1</v>
      </c>
      <c r="N334">
        <f t="shared" si="17"/>
        <v>82.9</v>
      </c>
      <c r="O334" cm="1">
        <f t="array" ref="O334">_xlfn.LET(_xlpm.cat, Greenleaf[[#This Row],[Product Category]], _xlpm.prices, _xlfn._xlws.FILTER(Greenleaf[Unit Price], (Greenleaf[Product Category]=_xlpm.cat)*(Greenleaf[Unit Price]&lt;&gt;"")), IFERROR(MEDIAN(_xlpm.prices), ""))</f>
        <v>25</v>
      </c>
      <c r="P334">
        <f>IF(Greenleaf[[#This Row],[Shipment Status]]="Returned",1,0)</f>
        <v>0</v>
      </c>
      <c r="Q334">
        <f>IF(Greenleaf[[#This Row],[Shipment Status]]="Delivered",1,0)</f>
        <v>1</v>
      </c>
    </row>
    <row r="335" spans="1:17" x14ac:dyDescent="0.45">
      <c r="A335" t="s">
        <v>632</v>
      </c>
      <c r="B335">
        <v>45405</v>
      </c>
      <c r="C335" t="s">
        <v>66</v>
      </c>
      <c r="D335" t="s">
        <v>67</v>
      </c>
      <c r="E335">
        <v>5</v>
      </c>
      <c r="F335">
        <v>12</v>
      </c>
      <c r="G335">
        <v>3.23</v>
      </c>
      <c r="H335" t="s">
        <v>633</v>
      </c>
      <c r="I335" t="s">
        <v>634</v>
      </c>
      <c r="J335" t="s">
        <v>27</v>
      </c>
      <c r="K335" t="s">
        <v>28</v>
      </c>
      <c r="L335">
        <f t="shared" si="15"/>
        <v>60</v>
      </c>
      <c r="M335">
        <f t="shared" si="16"/>
        <v>16.149999999999999</v>
      </c>
      <c r="N335">
        <f t="shared" si="17"/>
        <v>43.85</v>
      </c>
      <c r="O335" cm="1">
        <f t="array" ref="O335">_xlfn.LET(_xlpm.cat, Greenleaf[[#This Row],[Product Category]], _xlpm.prices, _xlfn._xlws.FILTER(Greenleaf[Unit Price], (Greenleaf[Product Category]=_xlpm.cat)*(Greenleaf[Unit Price]&lt;&gt;"")), IFERROR(MEDIAN(_xlpm.prices), ""))</f>
        <v>12</v>
      </c>
      <c r="P335">
        <f>IF(Greenleaf[[#This Row],[Shipment Status]]="Returned",1,0)</f>
        <v>0</v>
      </c>
      <c r="Q335">
        <f>IF(Greenleaf[[#This Row],[Shipment Status]]="Delivered",1,0)</f>
        <v>1</v>
      </c>
    </row>
    <row r="336" spans="1:17" x14ac:dyDescent="0.45">
      <c r="A336" t="s">
        <v>635</v>
      </c>
      <c r="B336">
        <v>45405</v>
      </c>
      <c r="C336" t="s">
        <v>66</v>
      </c>
      <c r="D336" t="s">
        <v>67</v>
      </c>
      <c r="E336">
        <v>3</v>
      </c>
      <c r="F336">
        <v>12</v>
      </c>
      <c r="G336">
        <v>2.87</v>
      </c>
      <c r="H336" t="s">
        <v>363</v>
      </c>
      <c r="I336" t="s">
        <v>210</v>
      </c>
      <c r="J336" t="s">
        <v>27</v>
      </c>
      <c r="K336" t="s">
        <v>56</v>
      </c>
      <c r="L336">
        <f t="shared" si="15"/>
        <v>36</v>
      </c>
      <c r="M336">
        <f t="shared" si="16"/>
        <v>8.61</v>
      </c>
      <c r="N336">
        <f t="shared" si="17"/>
        <v>27.39</v>
      </c>
      <c r="O336" cm="1">
        <f t="array" ref="O336">_xlfn.LET(_xlpm.cat, Greenleaf[[#This Row],[Product Category]], _xlpm.prices, _xlfn._xlws.FILTER(Greenleaf[Unit Price], (Greenleaf[Product Category]=_xlpm.cat)*(Greenleaf[Unit Price]&lt;&gt;"")), IFERROR(MEDIAN(_xlpm.prices), ""))</f>
        <v>12</v>
      </c>
      <c r="P336">
        <f>IF(Greenleaf[[#This Row],[Shipment Status]]="Returned",1,0)</f>
        <v>0</v>
      </c>
      <c r="Q336">
        <f>IF(Greenleaf[[#This Row],[Shipment Status]]="Delivered",1,0)</f>
        <v>1</v>
      </c>
    </row>
    <row r="337" spans="1:17" x14ac:dyDescent="0.45">
      <c r="A337" t="s">
        <v>636</v>
      </c>
      <c r="B337">
        <v>45405</v>
      </c>
      <c r="C337" t="s">
        <v>30</v>
      </c>
      <c r="D337" t="s">
        <v>31</v>
      </c>
      <c r="E337">
        <v>9</v>
      </c>
      <c r="F337">
        <v>40</v>
      </c>
      <c r="G337">
        <v>12.44</v>
      </c>
      <c r="H337" t="s">
        <v>224</v>
      </c>
      <c r="I337" t="s">
        <v>225</v>
      </c>
      <c r="J337" t="s">
        <v>27</v>
      </c>
      <c r="K337" t="s">
        <v>56</v>
      </c>
      <c r="L337">
        <f t="shared" si="15"/>
        <v>360</v>
      </c>
      <c r="M337">
        <f t="shared" si="16"/>
        <v>111.96</v>
      </c>
      <c r="N337">
        <f t="shared" si="17"/>
        <v>248.04000000000002</v>
      </c>
      <c r="O337" cm="1">
        <f t="array" ref="O337">_xlfn.LET(_xlpm.cat, Greenleaf[[#This Row],[Product Category]], _xlpm.prices, _xlfn._xlws.FILTER(Greenleaf[Unit Price], (Greenleaf[Product Category]=_xlpm.cat)*(Greenleaf[Unit Price]&lt;&gt;"")), IFERROR(MEDIAN(_xlpm.prices), ""))</f>
        <v>40</v>
      </c>
      <c r="P337">
        <f>IF(Greenleaf[[#This Row],[Shipment Status]]="Returned",1,0)</f>
        <v>0</v>
      </c>
      <c r="Q337">
        <f>IF(Greenleaf[[#This Row],[Shipment Status]]="Delivered",1,0)</f>
        <v>1</v>
      </c>
    </row>
    <row r="338" spans="1:17" x14ac:dyDescent="0.45">
      <c r="A338" t="s">
        <v>637</v>
      </c>
      <c r="B338">
        <v>45406</v>
      </c>
      <c r="C338" t="s">
        <v>66</v>
      </c>
      <c r="D338" t="s">
        <v>67</v>
      </c>
      <c r="E338">
        <v>1</v>
      </c>
      <c r="F338">
        <v>12</v>
      </c>
      <c r="G338">
        <v>2.86</v>
      </c>
      <c r="H338" t="s">
        <v>230</v>
      </c>
      <c r="I338" t="s">
        <v>225</v>
      </c>
      <c r="J338" t="s">
        <v>42</v>
      </c>
      <c r="K338" t="s">
        <v>70</v>
      </c>
      <c r="L338">
        <f t="shared" si="15"/>
        <v>12</v>
      </c>
      <c r="M338">
        <f t="shared" si="16"/>
        <v>2.86</v>
      </c>
      <c r="N338">
        <f t="shared" si="17"/>
        <v>9.14</v>
      </c>
      <c r="O338" cm="1">
        <f t="array" ref="O338">_xlfn.LET(_xlpm.cat, Greenleaf[[#This Row],[Product Category]], _xlpm.prices, _xlfn._xlws.FILTER(Greenleaf[Unit Price], (Greenleaf[Product Category]=_xlpm.cat)*(Greenleaf[Unit Price]&lt;&gt;"")), IFERROR(MEDIAN(_xlpm.prices), ""))</f>
        <v>12</v>
      </c>
      <c r="P338">
        <f>IF(Greenleaf[[#This Row],[Shipment Status]]="Returned",1,0)</f>
        <v>1</v>
      </c>
      <c r="Q338">
        <f>IF(Greenleaf[[#This Row],[Shipment Status]]="Delivered",1,0)</f>
        <v>0</v>
      </c>
    </row>
    <row r="339" spans="1:17" x14ac:dyDescent="0.45">
      <c r="A339" t="s">
        <v>638</v>
      </c>
      <c r="B339">
        <v>45407</v>
      </c>
      <c r="C339" t="s">
        <v>16</v>
      </c>
      <c r="D339" t="s">
        <v>17</v>
      </c>
      <c r="E339">
        <v>2</v>
      </c>
      <c r="F339">
        <v>10</v>
      </c>
      <c r="G339">
        <v>3.23</v>
      </c>
      <c r="H339" t="s">
        <v>286</v>
      </c>
      <c r="I339" t="s">
        <v>287</v>
      </c>
      <c r="J339" t="s">
        <v>20</v>
      </c>
      <c r="K339" t="s">
        <v>134</v>
      </c>
      <c r="L339">
        <f t="shared" si="15"/>
        <v>20</v>
      </c>
      <c r="M339">
        <f t="shared" si="16"/>
        <v>6.46</v>
      </c>
      <c r="N339">
        <f t="shared" si="17"/>
        <v>13.54</v>
      </c>
      <c r="O339" cm="1">
        <f t="array" ref="O339">_xlfn.LET(_xlpm.cat, Greenleaf[[#This Row],[Product Category]], _xlpm.prices, _xlfn._xlws.FILTER(Greenleaf[Unit Price], (Greenleaf[Product Category]=_xlpm.cat)*(Greenleaf[Unit Price]&lt;&gt;"")), IFERROR(MEDIAN(_xlpm.prices), ""))</f>
        <v>10</v>
      </c>
      <c r="P339">
        <f>IF(Greenleaf[[#This Row],[Shipment Status]]="Returned",1,0)</f>
        <v>0</v>
      </c>
      <c r="Q339">
        <f>IF(Greenleaf[[#This Row],[Shipment Status]]="Delivered",1,0)</f>
        <v>0</v>
      </c>
    </row>
    <row r="340" spans="1:17" x14ac:dyDescent="0.45">
      <c r="A340" t="s">
        <v>639</v>
      </c>
      <c r="B340">
        <v>45407</v>
      </c>
      <c r="C340" t="s">
        <v>30</v>
      </c>
      <c r="D340" t="s">
        <v>31</v>
      </c>
      <c r="E340">
        <v>6</v>
      </c>
      <c r="F340">
        <v>40</v>
      </c>
      <c r="G340">
        <v>13.49</v>
      </c>
      <c r="H340" t="s">
        <v>136</v>
      </c>
      <c r="I340" t="s">
        <v>137</v>
      </c>
      <c r="J340" t="s">
        <v>27</v>
      </c>
      <c r="K340" t="s">
        <v>74</v>
      </c>
      <c r="L340">
        <f t="shared" si="15"/>
        <v>240</v>
      </c>
      <c r="M340">
        <f t="shared" si="16"/>
        <v>80.94</v>
      </c>
      <c r="N340">
        <f t="shared" si="17"/>
        <v>159.06</v>
      </c>
      <c r="O340" cm="1">
        <f t="array" ref="O340">_xlfn.LET(_xlpm.cat, Greenleaf[[#This Row],[Product Category]], _xlpm.prices, _xlfn._xlws.FILTER(Greenleaf[Unit Price], (Greenleaf[Product Category]=_xlpm.cat)*(Greenleaf[Unit Price]&lt;&gt;"")), IFERROR(MEDIAN(_xlpm.prices), ""))</f>
        <v>40</v>
      </c>
      <c r="P340">
        <f>IF(Greenleaf[[#This Row],[Shipment Status]]="Returned",1,0)</f>
        <v>0</v>
      </c>
      <c r="Q340">
        <f>IF(Greenleaf[[#This Row],[Shipment Status]]="Delivered",1,0)</f>
        <v>1</v>
      </c>
    </row>
    <row r="341" spans="1:17" x14ac:dyDescent="0.45">
      <c r="A341" t="s">
        <v>640</v>
      </c>
      <c r="B341">
        <v>45408</v>
      </c>
      <c r="C341" t="s">
        <v>49</v>
      </c>
      <c r="D341" t="s">
        <v>50</v>
      </c>
      <c r="E341">
        <v>8</v>
      </c>
      <c r="F341">
        <v>15</v>
      </c>
      <c r="G341">
        <v>3.88</v>
      </c>
      <c r="H341" t="s">
        <v>641</v>
      </c>
      <c r="I341" t="s">
        <v>319</v>
      </c>
      <c r="J341" t="s">
        <v>20</v>
      </c>
      <c r="K341" t="s">
        <v>134</v>
      </c>
      <c r="L341">
        <f t="shared" si="15"/>
        <v>120</v>
      </c>
      <c r="M341">
        <f t="shared" si="16"/>
        <v>31.04</v>
      </c>
      <c r="N341">
        <f t="shared" si="17"/>
        <v>88.960000000000008</v>
      </c>
      <c r="O341" cm="1">
        <f t="array" ref="O341">_xlfn.LET(_xlpm.cat, Greenleaf[[#This Row],[Product Category]], _xlpm.prices, _xlfn._xlws.FILTER(Greenleaf[Unit Price], (Greenleaf[Product Category]=_xlpm.cat)*(Greenleaf[Unit Price]&lt;&gt;"")), IFERROR(MEDIAN(_xlpm.prices), ""))</f>
        <v>15</v>
      </c>
      <c r="P341">
        <f>IF(Greenleaf[[#This Row],[Shipment Status]]="Returned",1,0)</f>
        <v>0</v>
      </c>
      <c r="Q341">
        <f>IF(Greenleaf[[#This Row],[Shipment Status]]="Delivered",1,0)</f>
        <v>0</v>
      </c>
    </row>
    <row r="342" spans="1:17" x14ac:dyDescent="0.45">
      <c r="A342" t="s">
        <v>642</v>
      </c>
      <c r="B342">
        <v>45408</v>
      </c>
      <c r="C342" t="s">
        <v>23</v>
      </c>
      <c r="D342" t="s">
        <v>24</v>
      </c>
      <c r="E342">
        <v>3</v>
      </c>
      <c r="F342">
        <v>25</v>
      </c>
      <c r="G342">
        <v>6.73</v>
      </c>
      <c r="H342" t="s">
        <v>40</v>
      </c>
      <c r="I342" t="s">
        <v>41</v>
      </c>
      <c r="J342" t="s">
        <v>27</v>
      </c>
      <c r="K342" t="s">
        <v>21</v>
      </c>
      <c r="L342">
        <f t="shared" si="15"/>
        <v>75</v>
      </c>
      <c r="M342">
        <f t="shared" si="16"/>
        <v>20.190000000000001</v>
      </c>
      <c r="N342">
        <f t="shared" si="17"/>
        <v>54.81</v>
      </c>
      <c r="O342" cm="1">
        <f t="array" ref="O342">_xlfn.LET(_xlpm.cat, Greenleaf[[#This Row],[Product Category]], _xlpm.prices, _xlfn._xlws.FILTER(Greenleaf[Unit Price], (Greenleaf[Product Category]=_xlpm.cat)*(Greenleaf[Unit Price]&lt;&gt;"")), IFERROR(MEDIAN(_xlpm.prices), ""))</f>
        <v>25</v>
      </c>
      <c r="P342">
        <f>IF(Greenleaf[[#This Row],[Shipment Status]]="Returned",1,0)</f>
        <v>0</v>
      </c>
      <c r="Q342">
        <f>IF(Greenleaf[[#This Row],[Shipment Status]]="Delivered",1,0)</f>
        <v>1</v>
      </c>
    </row>
    <row r="343" spans="1:17" x14ac:dyDescent="0.45">
      <c r="A343" t="s">
        <v>643</v>
      </c>
      <c r="B343">
        <v>45408</v>
      </c>
      <c r="C343" t="s">
        <v>66</v>
      </c>
      <c r="D343" t="s">
        <v>67</v>
      </c>
      <c r="E343">
        <v>3</v>
      </c>
      <c r="F343">
        <v>12</v>
      </c>
      <c r="G343">
        <v>4.47</v>
      </c>
      <c r="H343" t="s">
        <v>121</v>
      </c>
      <c r="I343" t="s">
        <v>122</v>
      </c>
      <c r="J343" t="s">
        <v>20</v>
      </c>
      <c r="K343" t="s">
        <v>74</v>
      </c>
      <c r="L343">
        <f t="shared" si="15"/>
        <v>36</v>
      </c>
      <c r="M343">
        <f t="shared" si="16"/>
        <v>13.41</v>
      </c>
      <c r="N343">
        <f t="shared" si="17"/>
        <v>22.59</v>
      </c>
      <c r="O343" cm="1">
        <f t="array" ref="O343">_xlfn.LET(_xlpm.cat, Greenleaf[[#This Row],[Product Category]], _xlpm.prices, _xlfn._xlws.FILTER(Greenleaf[Unit Price], (Greenleaf[Product Category]=_xlpm.cat)*(Greenleaf[Unit Price]&lt;&gt;"")), IFERROR(MEDIAN(_xlpm.prices), ""))</f>
        <v>12</v>
      </c>
      <c r="P343">
        <f>IF(Greenleaf[[#This Row],[Shipment Status]]="Returned",1,0)</f>
        <v>0</v>
      </c>
      <c r="Q343">
        <f>IF(Greenleaf[[#This Row],[Shipment Status]]="Delivered",1,0)</f>
        <v>0</v>
      </c>
    </row>
    <row r="344" spans="1:17" x14ac:dyDescent="0.45">
      <c r="A344" t="s">
        <v>644</v>
      </c>
      <c r="B344">
        <v>45409</v>
      </c>
      <c r="C344" t="s">
        <v>66</v>
      </c>
      <c r="D344" t="s">
        <v>67</v>
      </c>
      <c r="E344">
        <v>6</v>
      </c>
      <c r="F344">
        <v>12</v>
      </c>
      <c r="G344">
        <v>3.76</v>
      </c>
      <c r="H344" t="s">
        <v>221</v>
      </c>
      <c r="I344" t="s">
        <v>222</v>
      </c>
      <c r="J344" t="s">
        <v>42</v>
      </c>
      <c r="K344" t="s">
        <v>34</v>
      </c>
      <c r="L344">
        <f t="shared" si="15"/>
        <v>72</v>
      </c>
      <c r="M344">
        <f t="shared" si="16"/>
        <v>22.56</v>
      </c>
      <c r="N344">
        <f t="shared" si="17"/>
        <v>49.44</v>
      </c>
      <c r="O344" cm="1">
        <f t="array" ref="O344">_xlfn.LET(_xlpm.cat, Greenleaf[[#This Row],[Product Category]], _xlpm.prices, _xlfn._xlws.FILTER(Greenleaf[Unit Price], (Greenleaf[Product Category]=_xlpm.cat)*(Greenleaf[Unit Price]&lt;&gt;"")), IFERROR(MEDIAN(_xlpm.prices), ""))</f>
        <v>12</v>
      </c>
      <c r="P344">
        <f>IF(Greenleaf[[#This Row],[Shipment Status]]="Returned",1,0)</f>
        <v>1</v>
      </c>
      <c r="Q344">
        <f>IF(Greenleaf[[#This Row],[Shipment Status]]="Delivered",1,0)</f>
        <v>0</v>
      </c>
    </row>
    <row r="345" spans="1:17" x14ac:dyDescent="0.45">
      <c r="A345" t="s">
        <v>645</v>
      </c>
      <c r="B345">
        <v>45409</v>
      </c>
      <c r="C345" t="s">
        <v>66</v>
      </c>
      <c r="D345" t="s">
        <v>67</v>
      </c>
      <c r="E345">
        <v>10</v>
      </c>
      <c r="F345">
        <v>12</v>
      </c>
      <c r="G345">
        <v>4.42</v>
      </c>
      <c r="H345" t="s">
        <v>254</v>
      </c>
      <c r="I345" t="s">
        <v>177</v>
      </c>
      <c r="J345" t="s">
        <v>27</v>
      </c>
      <c r="K345" t="s">
        <v>38</v>
      </c>
      <c r="L345">
        <f t="shared" si="15"/>
        <v>120</v>
      </c>
      <c r="M345">
        <f t="shared" si="16"/>
        <v>44.2</v>
      </c>
      <c r="N345">
        <f t="shared" si="17"/>
        <v>75.8</v>
      </c>
      <c r="O345" cm="1">
        <f t="array" ref="O345">_xlfn.LET(_xlpm.cat, Greenleaf[[#This Row],[Product Category]], _xlpm.prices, _xlfn._xlws.FILTER(Greenleaf[Unit Price], (Greenleaf[Product Category]=_xlpm.cat)*(Greenleaf[Unit Price]&lt;&gt;"")), IFERROR(MEDIAN(_xlpm.prices), ""))</f>
        <v>12</v>
      </c>
      <c r="P345">
        <f>IF(Greenleaf[[#This Row],[Shipment Status]]="Returned",1,0)</f>
        <v>0</v>
      </c>
      <c r="Q345">
        <f>IF(Greenleaf[[#This Row],[Shipment Status]]="Delivered",1,0)</f>
        <v>1</v>
      </c>
    </row>
    <row r="346" spans="1:17" x14ac:dyDescent="0.45">
      <c r="A346" t="s">
        <v>646</v>
      </c>
      <c r="B346">
        <v>45409</v>
      </c>
      <c r="C346" t="s">
        <v>16</v>
      </c>
      <c r="D346" t="s">
        <v>17</v>
      </c>
      <c r="E346">
        <v>7</v>
      </c>
      <c r="F346">
        <v>10</v>
      </c>
      <c r="G346">
        <v>2.29</v>
      </c>
      <c r="H346" t="s">
        <v>647</v>
      </c>
      <c r="I346" t="s">
        <v>648</v>
      </c>
      <c r="J346" t="s">
        <v>20</v>
      </c>
      <c r="K346" t="s">
        <v>28</v>
      </c>
      <c r="L346">
        <f t="shared" si="15"/>
        <v>70</v>
      </c>
      <c r="M346">
        <f t="shared" si="16"/>
        <v>16.03</v>
      </c>
      <c r="N346">
        <f t="shared" si="17"/>
        <v>53.97</v>
      </c>
      <c r="O346" cm="1">
        <f t="array" ref="O346">_xlfn.LET(_xlpm.cat, Greenleaf[[#This Row],[Product Category]], _xlpm.prices, _xlfn._xlws.FILTER(Greenleaf[Unit Price], (Greenleaf[Product Category]=_xlpm.cat)*(Greenleaf[Unit Price]&lt;&gt;"")), IFERROR(MEDIAN(_xlpm.prices), ""))</f>
        <v>10</v>
      </c>
      <c r="P346">
        <f>IF(Greenleaf[[#This Row],[Shipment Status]]="Returned",1,0)</f>
        <v>0</v>
      </c>
      <c r="Q346">
        <f>IF(Greenleaf[[#This Row],[Shipment Status]]="Delivered",1,0)</f>
        <v>0</v>
      </c>
    </row>
    <row r="347" spans="1:17" x14ac:dyDescent="0.45">
      <c r="A347" t="s">
        <v>649</v>
      </c>
      <c r="B347">
        <v>45410</v>
      </c>
      <c r="C347" t="s">
        <v>49</v>
      </c>
      <c r="D347" t="s">
        <v>50</v>
      </c>
      <c r="E347">
        <v>6</v>
      </c>
      <c r="F347">
        <v>15</v>
      </c>
      <c r="G347">
        <v>5.4</v>
      </c>
      <c r="H347" t="s">
        <v>335</v>
      </c>
      <c r="I347" t="s">
        <v>333</v>
      </c>
      <c r="J347" t="s">
        <v>27</v>
      </c>
      <c r="K347" t="s">
        <v>59</v>
      </c>
      <c r="L347">
        <f t="shared" si="15"/>
        <v>90</v>
      </c>
      <c r="M347">
        <f t="shared" si="16"/>
        <v>32.400000000000006</v>
      </c>
      <c r="N347">
        <f t="shared" si="17"/>
        <v>57.599999999999994</v>
      </c>
      <c r="O347" cm="1">
        <f t="array" ref="O347">_xlfn.LET(_xlpm.cat, Greenleaf[[#This Row],[Product Category]], _xlpm.prices, _xlfn._xlws.FILTER(Greenleaf[Unit Price], (Greenleaf[Product Category]=_xlpm.cat)*(Greenleaf[Unit Price]&lt;&gt;"")), IFERROR(MEDIAN(_xlpm.prices), ""))</f>
        <v>15</v>
      </c>
      <c r="P347">
        <f>IF(Greenleaf[[#This Row],[Shipment Status]]="Returned",1,0)</f>
        <v>0</v>
      </c>
      <c r="Q347">
        <f>IF(Greenleaf[[#This Row],[Shipment Status]]="Delivered",1,0)</f>
        <v>1</v>
      </c>
    </row>
    <row r="348" spans="1:17" x14ac:dyDescent="0.45">
      <c r="A348" t="s">
        <v>650</v>
      </c>
      <c r="B348">
        <v>45410</v>
      </c>
      <c r="C348" t="s">
        <v>30</v>
      </c>
      <c r="D348" t="s">
        <v>31</v>
      </c>
      <c r="E348">
        <v>7</v>
      </c>
      <c r="F348">
        <v>40</v>
      </c>
      <c r="G348">
        <v>9.5</v>
      </c>
      <c r="H348" t="s">
        <v>286</v>
      </c>
      <c r="I348" t="s">
        <v>287</v>
      </c>
      <c r="J348" t="s">
        <v>47</v>
      </c>
      <c r="K348" t="s">
        <v>38</v>
      </c>
      <c r="L348">
        <f t="shared" si="15"/>
        <v>280</v>
      </c>
      <c r="M348">
        <f t="shared" si="16"/>
        <v>66.5</v>
      </c>
      <c r="N348">
        <f t="shared" si="17"/>
        <v>213.5</v>
      </c>
      <c r="O348" cm="1">
        <f t="array" ref="O348">_xlfn.LET(_xlpm.cat, Greenleaf[[#This Row],[Product Category]], _xlpm.prices, _xlfn._xlws.FILTER(Greenleaf[Unit Price], (Greenleaf[Product Category]=_xlpm.cat)*(Greenleaf[Unit Price]&lt;&gt;"")), IFERROR(MEDIAN(_xlpm.prices), ""))</f>
        <v>40</v>
      </c>
      <c r="P348">
        <f>IF(Greenleaf[[#This Row],[Shipment Status]]="Returned",1,0)</f>
        <v>0</v>
      </c>
      <c r="Q348">
        <f>IF(Greenleaf[[#This Row],[Shipment Status]]="Delivered",1,0)</f>
        <v>0</v>
      </c>
    </row>
    <row r="349" spans="1:17" x14ac:dyDescent="0.45">
      <c r="A349" t="s">
        <v>651</v>
      </c>
      <c r="B349">
        <v>45410</v>
      </c>
      <c r="C349" t="s">
        <v>30</v>
      </c>
      <c r="D349" t="s">
        <v>31</v>
      </c>
      <c r="E349">
        <v>7</v>
      </c>
      <c r="F349">
        <v>40</v>
      </c>
      <c r="G349">
        <v>13.33</v>
      </c>
      <c r="H349" t="s">
        <v>245</v>
      </c>
      <c r="I349" t="s">
        <v>100</v>
      </c>
      <c r="J349" t="s">
        <v>20</v>
      </c>
      <c r="K349" t="s">
        <v>59</v>
      </c>
      <c r="L349">
        <f t="shared" si="15"/>
        <v>280</v>
      </c>
      <c r="M349">
        <f t="shared" si="16"/>
        <v>93.31</v>
      </c>
      <c r="N349">
        <f t="shared" si="17"/>
        <v>186.69</v>
      </c>
      <c r="O349" cm="1">
        <f t="array" ref="O349">_xlfn.LET(_xlpm.cat, Greenleaf[[#This Row],[Product Category]], _xlpm.prices, _xlfn._xlws.FILTER(Greenleaf[Unit Price], (Greenleaf[Product Category]=_xlpm.cat)*(Greenleaf[Unit Price]&lt;&gt;"")), IFERROR(MEDIAN(_xlpm.prices), ""))</f>
        <v>40</v>
      </c>
      <c r="P349">
        <f>IF(Greenleaf[[#This Row],[Shipment Status]]="Returned",1,0)</f>
        <v>0</v>
      </c>
      <c r="Q349">
        <f>IF(Greenleaf[[#This Row],[Shipment Status]]="Delivered",1,0)</f>
        <v>0</v>
      </c>
    </row>
    <row r="350" spans="1:17" x14ac:dyDescent="0.45">
      <c r="A350" t="s">
        <v>652</v>
      </c>
      <c r="B350">
        <v>45410</v>
      </c>
      <c r="C350" t="s">
        <v>30</v>
      </c>
      <c r="D350" t="s">
        <v>31</v>
      </c>
      <c r="E350">
        <v>9</v>
      </c>
      <c r="F350">
        <v>40</v>
      </c>
      <c r="G350">
        <v>15.98</v>
      </c>
      <c r="H350" t="s">
        <v>598</v>
      </c>
      <c r="I350" t="s">
        <v>474</v>
      </c>
      <c r="J350" t="s">
        <v>42</v>
      </c>
      <c r="K350" t="s">
        <v>70</v>
      </c>
      <c r="L350">
        <f t="shared" si="15"/>
        <v>360</v>
      </c>
      <c r="M350">
        <f t="shared" si="16"/>
        <v>143.82</v>
      </c>
      <c r="N350">
        <f t="shared" si="17"/>
        <v>216.18</v>
      </c>
      <c r="O350" cm="1">
        <f t="array" ref="O350">_xlfn.LET(_xlpm.cat, Greenleaf[[#This Row],[Product Category]], _xlpm.prices, _xlfn._xlws.FILTER(Greenleaf[Unit Price], (Greenleaf[Product Category]=_xlpm.cat)*(Greenleaf[Unit Price]&lt;&gt;"")), IFERROR(MEDIAN(_xlpm.prices), ""))</f>
        <v>40</v>
      </c>
      <c r="P350">
        <f>IF(Greenleaf[[#This Row],[Shipment Status]]="Returned",1,0)</f>
        <v>1</v>
      </c>
      <c r="Q350">
        <f>IF(Greenleaf[[#This Row],[Shipment Status]]="Delivered",1,0)</f>
        <v>0</v>
      </c>
    </row>
    <row r="351" spans="1:17" x14ac:dyDescent="0.45">
      <c r="A351" t="s">
        <v>653</v>
      </c>
      <c r="B351">
        <v>45410</v>
      </c>
      <c r="C351" t="s">
        <v>23</v>
      </c>
      <c r="D351" t="s">
        <v>24</v>
      </c>
      <c r="E351">
        <v>3</v>
      </c>
      <c r="F351">
        <v>25</v>
      </c>
      <c r="G351">
        <v>8.76</v>
      </c>
      <c r="H351" t="s">
        <v>329</v>
      </c>
      <c r="I351" t="s">
        <v>195</v>
      </c>
      <c r="J351" t="s">
        <v>20</v>
      </c>
      <c r="K351" t="s">
        <v>43</v>
      </c>
      <c r="L351">
        <f t="shared" si="15"/>
        <v>75</v>
      </c>
      <c r="M351">
        <f t="shared" si="16"/>
        <v>26.28</v>
      </c>
      <c r="N351">
        <f t="shared" si="17"/>
        <v>48.72</v>
      </c>
      <c r="O351" cm="1">
        <f t="array" ref="O351">_xlfn.LET(_xlpm.cat, Greenleaf[[#This Row],[Product Category]], _xlpm.prices, _xlfn._xlws.FILTER(Greenleaf[Unit Price], (Greenleaf[Product Category]=_xlpm.cat)*(Greenleaf[Unit Price]&lt;&gt;"")), IFERROR(MEDIAN(_xlpm.prices), ""))</f>
        <v>25</v>
      </c>
      <c r="P351">
        <f>IF(Greenleaf[[#This Row],[Shipment Status]]="Returned",1,0)</f>
        <v>0</v>
      </c>
      <c r="Q351">
        <f>IF(Greenleaf[[#This Row],[Shipment Status]]="Delivered",1,0)</f>
        <v>0</v>
      </c>
    </row>
    <row r="352" spans="1:17" x14ac:dyDescent="0.45">
      <c r="A352" t="s">
        <v>654</v>
      </c>
      <c r="B352">
        <v>45410</v>
      </c>
      <c r="C352" t="s">
        <v>23</v>
      </c>
      <c r="D352" t="s">
        <v>24</v>
      </c>
      <c r="E352">
        <v>2</v>
      </c>
      <c r="F352">
        <v>25</v>
      </c>
      <c r="G352">
        <v>7.85</v>
      </c>
      <c r="H352" t="s">
        <v>145</v>
      </c>
      <c r="I352" t="s">
        <v>146</v>
      </c>
      <c r="J352" t="s">
        <v>27</v>
      </c>
      <c r="K352" t="s">
        <v>56</v>
      </c>
      <c r="L352">
        <f t="shared" si="15"/>
        <v>50</v>
      </c>
      <c r="M352">
        <f t="shared" si="16"/>
        <v>15.7</v>
      </c>
      <c r="N352">
        <f t="shared" si="17"/>
        <v>34.299999999999997</v>
      </c>
      <c r="O352" cm="1">
        <f t="array" ref="O352">_xlfn.LET(_xlpm.cat, Greenleaf[[#This Row],[Product Category]], _xlpm.prices, _xlfn._xlws.FILTER(Greenleaf[Unit Price], (Greenleaf[Product Category]=_xlpm.cat)*(Greenleaf[Unit Price]&lt;&gt;"")), IFERROR(MEDIAN(_xlpm.prices), ""))</f>
        <v>25</v>
      </c>
      <c r="P352">
        <f>IF(Greenleaf[[#This Row],[Shipment Status]]="Returned",1,0)</f>
        <v>0</v>
      </c>
      <c r="Q352">
        <f>IF(Greenleaf[[#This Row],[Shipment Status]]="Delivered",1,0)</f>
        <v>1</v>
      </c>
    </row>
    <row r="353" spans="1:17" x14ac:dyDescent="0.45">
      <c r="A353" t="s">
        <v>655</v>
      </c>
      <c r="B353">
        <v>45411</v>
      </c>
      <c r="C353" t="s">
        <v>49</v>
      </c>
      <c r="D353" t="s">
        <v>50</v>
      </c>
      <c r="E353">
        <v>10</v>
      </c>
      <c r="F353">
        <v>15</v>
      </c>
      <c r="G353">
        <v>3.96</v>
      </c>
      <c r="H353" t="s">
        <v>479</v>
      </c>
      <c r="I353" t="s">
        <v>480</v>
      </c>
      <c r="J353" t="s">
        <v>27</v>
      </c>
      <c r="K353" t="s">
        <v>28</v>
      </c>
      <c r="L353">
        <f t="shared" si="15"/>
        <v>150</v>
      </c>
      <c r="M353">
        <f t="shared" si="16"/>
        <v>39.6</v>
      </c>
      <c r="N353">
        <f t="shared" si="17"/>
        <v>110.4</v>
      </c>
      <c r="O353" cm="1">
        <f t="array" ref="O353">_xlfn.LET(_xlpm.cat, Greenleaf[[#This Row],[Product Category]], _xlpm.prices, _xlfn._xlws.FILTER(Greenleaf[Unit Price], (Greenleaf[Product Category]=_xlpm.cat)*(Greenleaf[Unit Price]&lt;&gt;"")), IFERROR(MEDIAN(_xlpm.prices), ""))</f>
        <v>15</v>
      </c>
      <c r="P353">
        <f>IF(Greenleaf[[#This Row],[Shipment Status]]="Returned",1,0)</f>
        <v>0</v>
      </c>
      <c r="Q353">
        <f>IF(Greenleaf[[#This Row],[Shipment Status]]="Delivered",1,0)</f>
        <v>1</v>
      </c>
    </row>
    <row r="354" spans="1:17" x14ac:dyDescent="0.45">
      <c r="A354" t="s">
        <v>656</v>
      </c>
      <c r="B354">
        <v>45411</v>
      </c>
      <c r="C354" t="s">
        <v>30</v>
      </c>
      <c r="D354" t="s">
        <v>31</v>
      </c>
      <c r="E354">
        <v>3</v>
      </c>
      <c r="F354">
        <v>40</v>
      </c>
      <c r="G354">
        <v>12.56</v>
      </c>
      <c r="H354" t="s">
        <v>169</v>
      </c>
      <c r="I354" t="s">
        <v>146</v>
      </c>
      <c r="J354" t="s">
        <v>27</v>
      </c>
      <c r="K354" t="s">
        <v>59</v>
      </c>
      <c r="L354">
        <f t="shared" si="15"/>
        <v>120</v>
      </c>
      <c r="M354">
        <f t="shared" si="16"/>
        <v>37.68</v>
      </c>
      <c r="N354">
        <f t="shared" si="17"/>
        <v>82.32</v>
      </c>
      <c r="O354" cm="1">
        <f t="array" ref="O354">_xlfn.LET(_xlpm.cat, Greenleaf[[#This Row],[Product Category]], _xlpm.prices, _xlfn._xlws.FILTER(Greenleaf[Unit Price], (Greenleaf[Product Category]=_xlpm.cat)*(Greenleaf[Unit Price]&lt;&gt;"")), IFERROR(MEDIAN(_xlpm.prices), ""))</f>
        <v>40</v>
      </c>
      <c r="P354">
        <f>IF(Greenleaf[[#This Row],[Shipment Status]]="Returned",1,0)</f>
        <v>0</v>
      </c>
      <c r="Q354">
        <f>IF(Greenleaf[[#This Row],[Shipment Status]]="Delivered",1,0)</f>
        <v>1</v>
      </c>
    </row>
    <row r="355" spans="1:17" x14ac:dyDescent="0.45">
      <c r="A355" t="s">
        <v>657</v>
      </c>
      <c r="B355">
        <v>45411</v>
      </c>
      <c r="C355" t="s">
        <v>16</v>
      </c>
      <c r="D355" t="s">
        <v>17</v>
      </c>
      <c r="E355">
        <v>5</v>
      </c>
      <c r="F355">
        <v>10</v>
      </c>
      <c r="G355">
        <v>2.34</v>
      </c>
      <c r="H355" t="s">
        <v>230</v>
      </c>
      <c r="I355" t="s">
        <v>225</v>
      </c>
      <c r="J355" t="s">
        <v>27</v>
      </c>
      <c r="K355" t="s">
        <v>34</v>
      </c>
      <c r="L355">
        <f t="shared" si="15"/>
        <v>50</v>
      </c>
      <c r="M355">
        <f t="shared" si="16"/>
        <v>11.7</v>
      </c>
      <c r="N355">
        <f t="shared" si="17"/>
        <v>38.299999999999997</v>
      </c>
      <c r="O355" cm="1">
        <f t="array" ref="O355">_xlfn.LET(_xlpm.cat, Greenleaf[[#This Row],[Product Category]], _xlpm.prices, _xlfn._xlws.FILTER(Greenleaf[Unit Price], (Greenleaf[Product Category]=_xlpm.cat)*(Greenleaf[Unit Price]&lt;&gt;"")), IFERROR(MEDIAN(_xlpm.prices), ""))</f>
        <v>10</v>
      </c>
      <c r="P355">
        <f>IF(Greenleaf[[#This Row],[Shipment Status]]="Returned",1,0)</f>
        <v>0</v>
      </c>
      <c r="Q355">
        <f>IF(Greenleaf[[#This Row],[Shipment Status]]="Delivered",1,0)</f>
        <v>1</v>
      </c>
    </row>
    <row r="356" spans="1:17" x14ac:dyDescent="0.45">
      <c r="A356" t="s">
        <v>658</v>
      </c>
      <c r="B356">
        <v>45412</v>
      </c>
      <c r="C356" t="s">
        <v>30</v>
      </c>
      <c r="D356" t="s">
        <v>31</v>
      </c>
      <c r="E356">
        <v>5</v>
      </c>
      <c r="F356">
        <v>40</v>
      </c>
      <c r="G356">
        <v>15.01</v>
      </c>
      <c r="H356" t="s">
        <v>169</v>
      </c>
      <c r="I356" t="s">
        <v>146</v>
      </c>
      <c r="J356" t="s">
        <v>47</v>
      </c>
      <c r="K356" t="s">
        <v>134</v>
      </c>
      <c r="L356">
        <f t="shared" si="15"/>
        <v>200</v>
      </c>
      <c r="M356">
        <f t="shared" si="16"/>
        <v>75.05</v>
      </c>
      <c r="N356">
        <f t="shared" si="17"/>
        <v>124.95</v>
      </c>
      <c r="O356" cm="1">
        <f t="array" ref="O356">_xlfn.LET(_xlpm.cat, Greenleaf[[#This Row],[Product Category]], _xlpm.prices, _xlfn._xlws.FILTER(Greenleaf[Unit Price], (Greenleaf[Product Category]=_xlpm.cat)*(Greenleaf[Unit Price]&lt;&gt;"")), IFERROR(MEDIAN(_xlpm.prices), ""))</f>
        <v>40</v>
      </c>
      <c r="P356">
        <f>IF(Greenleaf[[#This Row],[Shipment Status]]="Returned",1,0)</f>
        <v>0</v>
      </c>
      <c r="Q356">
        <f>IF(Greenleaf[[#This Row],[Shipment Status]]="Delivered",1,0)</f>
        <v>0</v>
      </c>
    </row>
    <row r="357" spans="1:17" x14ac:dyDescent="0.45">
      <c r="A357" t="s">
        <v>659</v>
      </c>
      <c r="B357">
        <v>45412</v>
      </c>
      <c r="C357" t="s">
        <v>23</v>
      </c>
      <c r="D357" t="s">
        <v>24</v>
      </c>
      <c r="E357">
        <v>3</v>
      </c>
      <c r="F357">
        <v>25</v>
      </c>
      <c r="G357">
        <v>5.86</v>
      </c>
      <c r="H357" t="s">
        <v>337</v>
      </c>
      <c r="I357" t="s">
        <v>183</v>
      </c>
      <c r="J357" t="s">
        <v>27</v>
      </c>
      <c r="K357" t="s">
        <v>43</v>
      </c>
      <c r="L357">
        <f t="shared" si="15"/>
        <v>75</v>
      </c>
      <c r="M357">
        <f t="shared" si="16"/>
        <v>17.580000000000002</v>
      </c>
      <c r="N357">
        <f t="shared" si="17"/>
        <v>57.42</v>
      </c>
      <c r="O357" cm="1">
        <f t="array" ref="O357">_xlfn.LET(_xlpm.cat, Greenleaf[[#This Row],[Product Category]], _xlpm.prices, _xlfn._xlws.FILTER(Greenleaf[Unit Price], (Greenleaf[Product Category]=_xlpm.cat)*(Greenleaf[Unit Price]&lt;&gt;"")), IFERROR(MEDIAN(_xlpm.prices), ""))</f>
        <v>25</v>
      </c>
      <c r="P357">
        <f>IF(Greenleaf[[#This Row],[Shipment Status]]="Returned",1,0)</f>
        <v>0</v>
      </c>
      <c r="Q357">
        <f>IF(Greenleaf[[#This Row],[Shipment Status]]="Delivered",1,0)</f>
        <v>1</v>
      </c>
    </row>
    <row r="358" spans="1:17" x14ac:dyDescent="0.45">
      <c r="A358" t="s">
        <v>660</v>
      </c>
      <c r="B358">
        <v>45412</v>
      </c>
      <c r="C358" t="s">
        <v>30</v>
      </c>
      <c r="D358" t="s">
        <v>31</v>
      </c>
      <c r="E358">
        <v>10</v>
      </c>
      <c r="F358">
        <v>40</v>
      </c>
      <c r="G358">
        <v>12.59</v>
      </c>
      <c r="H358" t="s">
        <v>578</v>
      </c>
      <c r="I358" t="s">
        <v>93</v>
      </c>
      <c r="J358" t="s">
        <v>27</v>
      </c>
      <c r="K358" t="s">
        <v>38</v>
      </c>
      <c r="L358">
        <f t="shared" si="15"/>
        <v>400</v>
      </c>
      <c r="M358">
        <f t="shared" si="16"/>
        <v>125.9</v>
      </c>
      <c r="N358">
        <f t="shared" si="17"/>
        <v>274.10000000000002</v>
      </c>
      <c r="O358" cm="1">
        <f t="array" ref="O358">_xlfn.LET(_xlpm.cat, Greenleaf[[#This Row],[Product Category]], _xlpm.prices, _xlfn._xlws.FILTER(Greenleaf[Unit Price], (Greenleaf[Product Category]=_xlpm.cat)*(Greenleaf[Unit Price]&lt;&gt;"")), IFERROR(MEDIAN(_xlpm.prices), ""))</f>
        <v>40</v>
      </c>
      <c r="P358">
        <f>IF(Greenleaf[[#This Row],[Shipment Status]]="Returned",1,0)</f>
        <v>0</v>
      </c>
      <c r="Q358">
        <f>IF(Greenleaf[[#This Row],[Shipment Status]]="Delivered",1,0)</f>
        <v>1</v>
      </c>
    </row>
    <row r="359" spans="1:17" x14ac:dyDescent="0.45">
      <c r="A359" t="s">
        <v>661</v>
      </c>
      <c r="B359">
        <v>45414</v>
      </c>
      <c r="C359" t="s">
        <v>23</v>
      </c>
      <c r="D359" t="s">
        <v>24</v>
      </c>
      <c r="E359">
        <v>2</v>
      </c>
      <c r="F359">
        <v>25</v>
      </c>
      <c r="G359">
        <v>8.5500000000000007</v>
      </c>
      <c r="H359" t="s">
        <v>662</v>
      </c>
      <c r="I359" t="s">
        <v>663</v>
      </c>
      <c r="J359" t="s">
        <v>20</v>
      </c>
      <c r="K359" t="s">
        <v>74</v>
      </c>
      <c r="L359">
        <f t="shared" si="15"/>
        <v>50</v>
      </c>
      <c r="M359">
        <f t="shared" si="16"/>
        <v>17.100000000000001</v>
      </c>
      <c r="N359">
        <f t="shared" si="17"/>
        <v>32.9</v>
      </c>
      <c r="O359" cm="1">
        <f t="array" ref="O359">_xlfn.LET(_xlpm.cat, Greenleaf[[#This Row],[Product Category]], _xlpm.prices, _xlfn._xlws.FILTER(Greenleaf[Unit Price], (Greenleaf[Product Category]=_xlpm.cat)*(Greenleaf[Unit Price]&lt;&gt;"")), IFERROR(MEDIAN(_xlpm.prices), ""))</f>
        <v>25</v>
      </c>
      <c r="P359">
        <f>IF(Greenleaf[[#This Row],[Shipment Status]]="Returned",1,0)</f>
        <v>0</v>
      </c>
      <c r="Q359">
        <f>IF(Greenleaf[[#This Row],[Shipment Status]]="Delivered",1,0)</f>
        <v>0</v>
      </c>
    </row>
    <row r="360" spans="1:17" x14ac:dyDescent="0.45">
      <c r="A360" t="s">
        <v>664</v>
      </c>
      <c r="B360">
        <v>45414</v>
      </c>
      <c r="C360" t="s">
        <v>66</v>
      </c>
      <c r="D360" t="s">
        <v>67</v>
      </c>
      <c r="E360">
        <v>1</v>
      </c>
      <c r="F360">
        <v>12</v>
      </c>
      <c r="G360">
        <v>3</v>
      </c>
      <c r="H360" t="s">
        <v>665</v>
      </c>
      <c r="I360" t="s">
        <v>666</v>
      </c>
      <c r="J360" t="s">
        <v>27</v>
      </c>
      <c r="K360" t="s">
        <v>43</v>
      </c>
      <c r="L360">
        <f t="shared" si="15"/>
        <v>12</v>
      </c>
      <c r="M360">
        <f t="shared" si="16"/>
        <v>3</v>
      </c>
      <c r="N360">
        <f t="shared" si="17"/>
        <v>9</v>
      </c>
      <c r="O360" cm="1">
        <f t="array" ref="O360">_xlfn.LET(_xlpm.cat, Greenleaf[[#This Row],[Product Category]], _xlpm.prices, _xlfn._xlws.FILTER(Greenleaf[Unit Price], (Greenleaf[Product Category]=_xlpm.cat)*(Greenleaf[Unit Price]&lt;&gt;"")), IFERROR(MEDIAN(_xlpm.prices), ""))</f>
        <v>12</v>
      </c>
      <c r="P360">
        <f>IF(Greenleaf[[#This Row],[Shipment Status]]="Returned",1,0)</f>
        <v>0</v>
      </c>
      <c r="Q360">
        <f>IF(Greenleaf[[#This Row],[Shipment Status]]="Delivered",1,0)</f>
        <v>1</v>
      </c>
    </row>
    <row r="361" spans="1:17" x14ac:dyDescent="0.45">
      <c r="A361" t="s">
        <v>667</v>
      </c>
      <c r="B361">
        <v>45414</v>
      </c>
      <c r="C361" t="s">
        <v>16</v>
      </c>
      <c r="D361" t="s">
        <v>17</v>
      </c>
      <c r="E361">
        <v>7</v>
      </c>
      <c r="F361">
        <v>10</v>
      </c>
      <c r="G361">
        <v>3.06</v>
      </c>
      <c r="H361" t="s">
        <v>668</v>
      </c>
      <c r="I361" t="s">
        <v>669</v>
      </c>
      <c r="J361" t="s">
        <v>27</v>
      </c>
      <c r="K361" t="s">
        <v>74</v>
      </c>
      <c r="L361">
        <f t="shared" si="15"/>
        <v>70</v>
      </c>
      <c r="M361">
        <f t="shared" si="16"/>
        <v>21.42</v>
      </c>
      <c r="N361">
        <f t="shared" si="17"/>
        <v>48.58</v>
      </c>
      <c r="O361" cm="1">
        <f t="array" ref="O361">_xlfn.LET(_xlpm.cat, Greenleaf[[#This Row],[Product Category]], _xlpm.prices, _xlfn._xlws.FILTER(Greenleaf[Unit Price], (Greenleaf[Product Category]=_xlpm.cat)*(Greenleaf[Unit Price]&lt;&gt;"")), IFERROR(MEDIAN(_xlpm.prices), ""))</f>
        <v>10</v>
      </c>
      <c r="P361">
        <f>IF(Greenleaf[[#This Row],[Shipment Status]]="Returned",1,0)</f>
        <v>0</v>
      </c>
      <c r="Q361">
        <f>IF(Greenleaf[[#This Row],[Shipment Status]]="Delivered",1,0)</f>
        <v>1</v>
      </c>
    </row>
    <row r="362" spans="1:17" x14ac:dyDescent="0.45">
      <c r="A362" t="s">
        <v>670</v>
      </c>
      <c r="B362">
        <v>45414</v>
      </c>
      <c r="C362" t="s">
        <v>30</v>
      </c>
      <c r="D362" t="s">
        <v>31</v>
      </c>
      <c r="E362">
        <v>9</v>
      </c>
      <c r="F362">
        <v>40</v>
      </c>
      <c r="G362">
        <v>9.19</v>
      </c>
      <c r="H362" t="s">
        <v>671</v>
      </c>
      <c r="I362" t="s">
        <v>672</v>
      </c>
      <c r="J362" t="s">
        <v>20</v>
      </c>
      <c r="K362" t="s">
        <v>21</v>
      </c>
      <c r="L362">
        <f t="shared" si="15"/>
        <v>360</v>
      </c>
      <c r="M362">
        <f t="shared" si="16"/>
        <v>82.71</v>
      </c>
      <c r="N362">
        <f t="shared" si="17"/>
        <v>277.29000000000002</v>
      </c>
      <c r="O362" cm="1">
        <f t="array" ref="O362">_xlfn.LET(_xlpm.cat, Greenleaf[[#This Row],[Product Category]], _xlpm.prices, _xlfn._xlws.FILTER(Greenleaf[Unit Price], (Greenleaf[Product Category]=_xlpm.cat)*(Greenleaf[Unit Price]&lt;&gt;"")), IFERROR(MEDIAN(_xlpm.prices), ""))</f>
        <v>40</v>
      </c>
      <c r="P362">
        <f>IF(Greenleaf[[#This Row],[Shipment Status]]="Returned",1,0)</f>
        <v>0</v>
      </c>
      <c r="Q362">
        <f>IF(Greenleaf[[#This Row],[Shipment Status]]="Delivered",1,0)</f>
        <v>0</v>
      </c>
    </row>
    <row r="363" spans="1:17" x14ac:dyDescent="0.45">
      <c r="A363" t="s">
        <v>673</v>
      </c>
      <c r="B363">
        <v>45415</v>
      </c>
      <c r="C363" t="s">
        <v>30</v>
      </c>
      <c r="D363" t="s">
        <v>31</v>
      </c>
      <c r="E363">
        <v>4</v>
      </c>
      <c r="F363">
        <v>40</v>
      </c>
      <c r="G363">
        <v>13.33</v>
      </c>
      <c r="H363" t="s">
        <v>674</v>
      </c>
      <c r="I363" t="s">
        <v>353</v>
      </c>
      <c r="J363" t="s">
        <v>42</v>
      </c>
      <c r="K363" t="s">
        <v>74</v>
      </c>
      <c r="L363">
        <f t="shared" si="15"/>
        <v>160</v>
      </c>
      <c r="M363">
        <f t="shared" si="16"/>
        <v>53.32</v>
      </c>
      <c r="N363">
        <f t="shared" si="17"/>
        <v>106.68</v>
      </c>
      <c r="O363" cm="1">
        <f t="array" ref="O363">_xlfn.LET(_xlpm.cat, Greenleaf[[#This Row],[Product Category]], _xlpm.prices, _xlfn._xlws.FILTER(Greenleaf[Unit Price], (Greenleaf[Product Category]=_xlpm.cat)*(Greenleaf[Unit Price]&lt;&gt;"")), IFERROR(MEDIAN(_xlpm.prices), ""))</f>
        <v>40</v>
      </c>
      <c r="P363">
        <f>IF(Greenleaf[[#This Row],[Shipment Status]]="Returned",1,0)</f>
        <v>1</v>
      </c>
      <c r="Q363">
        <f>IF(Greenleaf[[#This Row],[Shipment Status]]="Delivered",1,0)</f>
        <v>0</v>
      </c>
    </row>
    <row r="364" spans="1:17" x14ac:dyDescent="0.45">
      <c r="A364" t="s">
        <v>675</v>
      </c>
      <c r="B364">
        <v>45415</v>
      </c>
      <c r="C364" t="s">
        <v>30</v>
      </c>
      <c r="D364" t="s">
        <v>31</v>
      </c>
      <c r="E364">
        <v>1</v>
      </c>
      <c r="F364">
        <v>40</v>
      </c>
      <c r="G364">
        <v>9.2200000000000006</v>
      </c>
      <c r="H364" t="s">
        <v>332</v>
      </c>
      <c r="I364" t="s">
        <v>333</v>
      </c>
      <c r="J364" t="s">
        <v>27</v>
      </c>
      <c r="K364" t="s">
        <v>38</v>
      </c>
      <c r="L364">
        <f t="shared" si="15"/>
        <v>40</v>
      </c>
      <c r="M364">
        <f t="shared" si="16"/>
        <v>9.2200000000000006</v>
      </c>
      <c r="N364">
        <f t="shared" si="17"/>
        <v>30.78</v>
      </c>
      <c r="O364" cm="1">
        <f t="array" ref="O364">_xlfn.LET(_xlpm.cat, Greenleaf[[#This Row],[Product Category]], _xlpm.prices, _xlfn._xlws.FILTER(Greenleaf[Unit Price], (Greenleaf[Product Category]=_xlpm.cat)*(Greenleaf[Unit Price]&lt;&gt;"")), IFERROR(MEDIAN(_xlpm.prices), ""))</f>
        <v>40</v>
      </c>
      <c r="P364">
        <f>IF(Greenleaf[[#This Row],[Shipment Status]]="Returned",1,0)</f>
        <v>0</v>
      </c>
      <c r="Q364">
        <f>IF(Greenleaf[[#This Row],[Shipment Status]]="Delivered",1,0)</f>
        <v>1</v>
      </c>
    </row>
    <row r="365" spans="1:17" x14ac:dyDescent="0.45">
      <c r="A365" t="s">
        <v>676</v>
      </c>
      <c r="B365">
        <v>45415</v>
      </c>
      <c r="C365" t="s">
        <v>23</v>
      </c>
      <c r="D365" t="s">
        <v>24</v>
      </c>
      <c r="E365">
        <v>7</v>
      </c>
      <c r="F365">
        <v>25</v>
      </c>
      <c r="G365">
        <v>7.3</v>
      </c>
      <c r="H365" t="s">
        <v>145</v>
      </c>
      <c r="I365" t="s">
        <v>146</v>
      </c>
      <c r="J365" t="s">
        <v>27</v>
      </c>
      <c r="K365" t="s">
        <v>38</v>
      </c>
      <c r="L365">
        <f t="shared" si="15"/>
        <v>175</v>
      </c>
      <c r="M365">
        <f t="shared" si="16"/>
        <v>51.1</v>
      </c>
      <c r="N365">
        <f t="shared" si="17"/>
        <v>123.9</v>
      </c>
      <c r="O365" cm="1">
        <f t="array" ref="O365">_xlfn.LET(_xlpm.cat, Greenleaf[[#This Row],[Product Category]], _xlpm.prices, _xlfn._xlws.FILTER(Greenleaf[Unit Price], (Greenleaf[Product Category]=_xlpm.cat)*(Greenleaf[Unit Price]&lt;&gt;"")), IFERROR(MEDIAN(_xlpm.prices), ""))</f>
        <v>25</v>
      </c>
      <c r="P365">
        <f>IF(Greenleaf[[#This Row],[Shipment Status]]="Returned",1,0)</f>
        <v>0</v>
      </c>
      <c r="Q365">
        <f>IF(Greenleaf[[#This Row],[Shipment Status]]="Delivered",1,0)</f>
        <v>1</v>
      </c>
    </row>
    <row r="366" spans="1:17" x14ac:dyDescent="0.45">
      <c r="A366" t="s">
        <v>677</v>
      </c>
      <c r="B366">
        <v>45415</v>
      </c>
      <c r="C366" t="s">
        <v>49</v>
      </c>
      <c r="D366" t="s">
        <v>50</v>
      </c>
      <c r="E366">
        <v>4</v>
      </c>
      <c r="F366">
        <v>15</v>
      </c>
      <c r="G366">
        <v>3.43</v>
      </c>
      <c r="H366" t="s">
        <v>145</v>
      </c>
      <c r="I366" t="s">
        <v>146</v>
      </c>
      <c r="J366" t="s">
        <v>27</v>
      </c>
      <c r="K366" t="s">
        <v>70</v>
      </c>
      <c r="L366">
        <f t="shared" si="15"/>
        <v>60</v>
      </c>
      <c r="M366">
        <f t="shared" si="16"/>
        <v>13.72</v>
      </c>
      <c r="N366">
        <f t="shared" si="17"/>
        <v>46.28</v>
      </c>
      <c r="O366" cm="1">
        <f t="array" ref="O366">_xlfn.LET(_xlpm.cat, Greenleaf[[#This Row],[Product Category]], _xlpm.prices, _xlfn._xlws.FILTER(Greenleaf[Unit Price], (Greenleaf[Product Category]=_xlpm.cat)*(Greenleaf[Unit Price]&lt;&gt;"")), IFERROR(MEDIAN(_xlpm.prices), ""))</f>
        <v>15</v>
      </c>
      <c r="P366">
        <f>IF(Greenleaf[[#This Row],[Shipment Status]]="Returned",1,0)</f>
        <v>0</v>
      </c>
      <c r="Q366">
        <f>IF(Greenleaf[[#This Row],[Shipment Status]]="Delivered",1,0)</f>
        <v>1</v>
      </c>
    </row>
    <row r="367" spans="1:17" x14ac:dyDescent="0.45">
      <c r="A367" t="s">
        <v>678</v>
      </c>
      <c r="B367">
        <v>45415</v>
      </c>
      <c r="C367" t="s">
        <v>66</v>
      </c>
      <c r="D367" t="s">
        <v>67</v>
      </c>
      <c r="E367">
        <v>5</v>
      </c>
      <c r="F367">
        <v>12</v>
      </c>
      <c r="G367">
        <v>3.51</v>
      </c>
      <c r="H367" t="s">
        <v>36</v>
      </c>
      <c r="I367" t="s">
        <v>37</v>
      </c>
      <c r="J367" t="s">
        <v>47</v>
      </c>
      <c r="K367" t="s">
        <v>70</v>
      </c>
      <c r="L367">
        <f t="shared" si="15"/>
        <v>60</v>
      </c>
      <c r="M367">
        <f t="shared" si="16"/>
        <v>17.549999999999997</v>
      </c>
      <c r="N367">
        <f t="shared" si="17"/>
        <v>42.45</v>
      </c>
      <c r="O367" cm="1">
        <f t="array" ref="O367">_xlfn.LET(_xlpm.cat, Greenleaf[[#This Row],[Product Category]], _xlpm.prices, _xlfn._xlws.FILTER(Greenleaf[Unit Price], (Greenleaf[Product Category]=_xlpm.cat)*(Greenleaf[Unit Price]&lt;&gt;"")), IFERROR(MEDIAN(_xlpm.prices), ""))</f>
        <v>12</v>
      </c>
      <c r="P367">
        <f>IF(Greenleaf[[#This Row],[Shipment Status]]="Returned",1,0)</f>
        <v>0</v>
      </c>
      <c r="Q367">
        <f>IF(Greenleaf[[#This Row],[Shipment Status]]="Delivered",1,0)</f>
        <v>0</v>
      </c>
    </row>
    <row r="368" spans="1:17" x14ac:dyDescent="0.45">
      <c r="A368" t="s">
        <v>679</v>
      </c>
      <c r="B368">
        <v>45415</v>
      </c>
      <c r="C368" t="s">
        <v>49</v>
      </c>
      <c r="D368" t="s">
        <v>50</v>
      </c>
      <c r="E368">
        <v>8</v>
      </c>
      <c r="F368">
        <v>15</v>
      </c>
      <c r="G368">
        <v>4.95</v>
      </c>
      <c r="H368" t="s">
        <v>111</v>
      </c>
      <c r="I368" t="s">
        <v>112</v>
      </c>
      <c r="J368" t="s">
        <v>27</v>
      </c>
      <c r="K368" t="s">
        <v>134</v>
      </c>
      <c r="L368">
        <f t="shared" si="15"/>
        <v>120</v>
      </c>
      <c r="M368">
        <f t="shared" si="16"/>
        <v>39.6</v>
      </c>
      <c r="N368">
        <f t="shared" si="17"/>
        <v>80.400000000000006</v>
      </c>
      <c r="O368" cm="1">
        <f t="array" ref="O368">_xlfn.LET(_xlpm.cat, Greenleaf[[#This Row],[Product Category]], _xlpm.prices, _xlfn._xlws.FILTER(Greenleaf[Unit Price], (Greenleaf[Product Category]=_xlpm.cat)*(Greenleaf[Unit Price]&lt;&gt;"")), IFERROR(MEDIAN(_xlpm.prices), ""))</f>
        <v>15</v>
      </c>
      <c r="P368">
        <f>IF(Greenleaf[[#This Row],[Shipment Status]]="Returned",1,0)</f>
        <v>0</v>
      </c>
      <c r="Q368">
        <f>IF(Greenleaf[[#This Row],[Shipment Status]]="Delivered",1,0)</f>
        <v>1</v>
      </c>
    </row>
    <row r="369" spans="1:17" x14ac:dyDescent="0.45">
      <c r="A369" t="s">
        <v>680</v>
      </c>
      <c r="B369">
        <v>45416</v>
      </c>
      <c r="C369" t="s">
        <v>49</v>
      </c>
      <c r="D369" t="s">
        <v>50</v>
      </c>
      <c r="E369">
        <v>1</v>
      </c>
      <c r="F369">
        <v>15</v>
      </c>
      <c r="G369">
        <v>4</v>
      </c>
      <c r="H369" t="s">
        <v>282</v>
      </c>
      <c r="I369" t="s">
        <v>283</v>
      </c>
      <c r="J369" t="s">
        <v>47</v>
      </c>
      <c r="K369" t="s">
        <v>56</v>
      </c>
      <c r="L369">
        <f t="shared" si="15"/>
        <v>15</v>
      </c>
      <c r="M369">
        <f t="shared" si="16"/>
        <v>4</v>
      </c>
      <c r="N369">
        <f t="shared" si="17"/>
        <v>11</v>
      </c>
      <c r="O369" cm="1">
        <f t="array" ref="O369">_xlfn.LET(_xlpm.cat, Greenleaf[[#This Row],[Product Category]], _xlpm.prices, _xlfn._xlws.FILTER(Greenleaf[Unit Price], (Greenleaf[Product Category]=_xlpm.cat)*(Greenleaf[Unit Price]&lt;&gt;"")), IFERROR(MEDIAN(_xlpm.prices), ""))</f>
        <v>15</v>
      </c>
      <c r="P369">
        <f>IF(Greenleaf[[#This Row],[Shipment Status]]="Returned",1,0)</f>
        <v>0</v>
      </c>
      <c r="Q369">
        <f>IF(Greenleaf[[#This Row],[Shipment Status]]="Delivered",1,0)</f>
        <v>0</v>
      </c>
    </row>
    <row r="370" spans="1:17" x14ac:dyDescent="0.45">
      <c r="A370" t="s">
        <v>681</v>
      </c>
      <c r="B370">
        <v>45416</v>
      </c>
      <c r="C370" t="s">
        <v>23</v>
      </c>
      <c r="D370" t="s">
        <v>24</v>
      </c>
      <c r="E370">
        <v>3</v>
      </c>
      <c r="F370">
        <v>25</v>
      </c>
      <c r="G370">
        <v>5.04</v>
      </c>
      <c r="H370" t="s">
        <v>662</v>
      </c>
      <c r="I370" t="s">
        <v>663</v>
      </c>
      <c r="J370" t="s">
        <v>20</v>
      </c>
      <c r="K370" t="s">
        <v>56</v>
      </c>
      <c r="L370">
        <f t="shared" si="15"/>
        <v>75</v>
      </c>
      <c r="M370">
        <f t="shared" si="16"/>
        <v>15.120000000000001</v>
      </c>
      <c r="N370">
        <f t="shared" si="17"/>
        <v>59.879999999999995</v>
      </c>
      <c r="O370" cm="1">
        <f t="array" ref="O370">_xlfn.LET(_xlpm.cat, Greenleaf[[#This Row],[Product Category]], _xlpm.prices, _xlfn._xlws.FILTER(Greenleaf[Unit Price], (Greenleaf[Product Category]=_xlpm.cat)*(Greenleaf[Unit Price]&lt;&gt;"")), IFERROR(MEDIAN(_xlpm.prices), ""))</f>
        <v>25</v>
      </c>
      <c r="P370">
        <f>IF(Greenleaf[[#This Row],[Shipment Status]]="Returned",1,0)</f>
        <v>0</v>
      </c>
      <c r="Q370">
        <f>IF(Greenleaf[[#This Row],[Shipment Status]]="Delivered",1,0)</f>
        <v>0</v>
      </c>
    </row>
    <row r="371" spans="1:17" x14ac:dyDescent="0.45">
      <c r="A371" t="s">
        <v>682</v>
      </c>
      <c r="B371">
        <v>45416</v>
      </c>
      <c r="C371" t="s">
        <v>66</v>
      </c>
      <c r="D371" t="s">
        <v>67</v>
      </c>
      <c r="E371">
        <v>3</v>
      </c>
      <c r="F371">
        <v>12</v>
      </c>
      <c r="G371">
        <v>4.1399999999999997</v>
      </c>
      <c r="H371" t="s">
        <v>573</v>
      </c>
      <c r="I371" t="s">
        <v>574</v>
      </c>
      <c r="J371" t="s">
        <v>20</v>
      </c>
      <c r="K371" t="s">
        <v>59</v>
      </c>
      <c r="L371">
        <f t="shared" si="15"/>
        <v>36</v>
      </c>
      <c r="M371">
        <f t="shared" si="16"/>
        <v>12.419999999999998</v>
      </c>
      <c r="N371">
        <f t="shared" si="17"/>
        <v>23.580000000000002</v>
      </c>
      <c r="O371" cm="1">
        <f t="array" ref="O371">_xlfn.LET(_xlpm.cat, Greenleaf[[#This Row],[Product Category]], _xlpm.prices, _xlfn._xlws.FILTER(Greenleaf[Unit Price], (Greenleaf[Product Category]=_xlpm.cat)*(Greenleaf[Unit Price]&lt;&gt;"")), IFERROR(MEDIAN(_xlpm.prices), ""))</f>
        <v>12</v>
      </c>
      <c r="P371">
        <f>IF(Greenleaf[[#This Row],[Shipment Status]]="Returned",1,0)</f>
        <v>0</v>
      </c>
      <c r="Q371">
        <f>IF(Greenleaf[[#This Row],[Shipment Status]]="Delivered",1,0)</f>
        <v>0</v>
      </c>
    </row>
    <row r="372" spans="1:17" x14ac:dyDescent="0.45">
      <c r="A372" t="s">
        <v>683</v>
      </c>
      <c r="B372">
        <v>45417</v>
      </c>
      <c r="C372" t="s">
        <v>23</v>
      </c>
      <c r="D372" t="s">
        <v>24</v>
      </c>
      <c r="E372">
        <v>2</v>
      </c>
      <c r="F372">
        <v>25</v>
      </c>
      <c r="G372">
        <v>9.6199999999999992</v>
      </c>
      <c r="H372" t="s">
        <v>684</v>
      </c>
      <c r="I372" t="s">
        <v>357</v>
      </c>
      <c r="J372" t="s">
        <v>20</v>
      </c>
      <c r="K372" t="s">
        <v>43</v>
      </c>
      <c r="L372">
        <f t="shared" si="15"/>
        <v>50</v>
      </c>
      <c r="M372">
        <f t="shared" si="16"/>
        <v>19.239999999999998</v>
      </c>
      <c r="N372">
        <f t="shared" si="17"/>
        <v>30.76</v>
      </c>
      <c r="O372" cm="1">
        <f t="array" ref="O372">_xlfn.LET(_xlpm.cat, Greenleaf[[#This Row],[Product Category]], _xlpm.prices, _xlfn._xlws.FILTER(Greenleaf[Unit Price], (Greenleaf[Product Category]=_xlpm.cat)*(Greenleaf[Unit Price]&lt;&gt;"")), IFERROR(MEDIAN(_xlpm.prices), ""))</f>
        <v>25</v>
      </c>
      <c r="P372">
        <f>IF(Greenleaf[[#This Row],[Shipment Status]]="Returned",1,0)</f>
        <v>0</v>
      </c>
      <c r="Q372">
        <f>IF(Greenleaf[[#This Row],[Shipment Status]]="Delivered",1,0)</f>
        <v>0</v>
      </c>
    </row>
    <row r="373" spans="1:17" x14ac:dyDescent="0.45">
      <c r="A373" t="s">
        <v>685</v>
      </c>
      <c r="B373">
        <v>45417</v>
      </c>
      <c r="C373" t="s">
        <v>30</v>
      </c>
      <c r="D373" t="s">
        <v>31</v>
      </c>
      <c r="E373">
        <v>6</v>
      </c>
      <c r="F373">
        <v>40</v>
      </c>
      <c r="G373">
        <v>15.42</v>
      </c>
      <c r="H373" t="s">
        <v>40</v>
      </c>
      <c r="I373" t="s">
        <v>41</v>
      </c>
      <c r="J373" t="s">
        <v>27</v>
      </c>
      <c r="K373" t="s">
        <v>43</v>
      </c>
      <c r="L373">
        <f t="shared" si="15"/>
        <v>240</v>
      </c>
      <c r="M373">
        <f t="shared" si="16"/>
        <v>92.52</v>
      </c>
      <c r="N373">
        <f t="shared" si="17"/>
        <v>147.48000000000002</v>
      </c>
      <c r="O373" cm="1">
        <f t="array" ref="O373">_xlfn.LET(_xlpm.cat, Greenleaf[[#This Row],[Product Category]], _xlpm.prices, _xlfn._xlws.FILTER(Greenleaf[Unit Price], (Greenleaf[Product Category]=_xlpm.cat)*(Greenleaf[Unit Price]&lt;&gt;"")), IFERROR(MEDIAN(_xlpm.prices), ""))</f>
        <v>40</v>
      </c>
      <c r="P373">
        <f>IF(Greenleaf[[#This Row],[Shipment Status]]="Returned",1,0)</f>
        <v>0</v>
      </c>
      <c r="Q373">
        <f>IF(Greenleaf[[#This Row],[Shipment Status]]="Delivered",1,0)</f>
        <v>1</v>
      </c>
    </row>
    <row r="374" spans="1:17" x14ac:dyDescent="0.45">
      <c r="A374" t="s">
        <v>686</v>
      </c>
      <c r="B374">
        <v>45417</v>
      </c>
      <c r="C374" t="s">
        <v>16</v>
      </c>
      <c r="D374" t="s">
        <v>17</v>
      </c>
      <c r="E374">
        <v>9</v>
      </c>
      <c r="F374">
        <v>10</v>
      </c>
      <c r="G374">
        <v>3.13</v>
      </c>
      <c r="H374" t="s">
        <v>337</v>
      </c>
      <c r="I374" t="s">
        <v>183</v>
      </c>
      <c r="J374" t="s">
        <v>27</v>
      </c>
      <c r="K374" t="s">
        <v>38</v>
      </c>
      <c r="L374">
        <f t="shared" si="15"/>
        <v>90</v>
      </c>
      <c r="M374">
        <f t="shared" si="16"/>
        <v>28.169999999999998</v>
      </c>
      <c r="N374">
        <f t="shared" si="17"/>
        <v>61.83</v>
      </c>
      <c r="O374" cm="1">
        <f t="array" ref="O374">_xlfn.LET(_xlpm.cat, Greenleaf[[#This Row],[Product Category]], _xlpm.prices, _xlfn._xlws.FILTER(Greenleaf[Unit Price], (Greenleaf[Product Category]=_xlpm.cat)*(Greenleaf[Unit Price]&lt;&gt;"")), IFERROR(MEDIAN(_xlpm.prices), ""))</f>
        <v>10</v>
      </c>
      <c r="P374">
        <f>IF(Greenleaf[[#This Row],[Shipment Status]]="Returned",1,0)</f>
        <v>0</v>
      </c>
      <c r="Q374">
        <f>IF(Greenleaf[[#This Row],[Shipment Status]]="Delivered",1,0)</f>
        <v>1</v>
      </c>
    </row>
    <row r="375" spans="1:17" x14ac:dyDescent="0.45">
      <c r="A375" t="s">
        <v>687</v>
      </c>
      <c r="B375">
        <v>45417</v>
      </c>
      <c r="C375" t="s">
        <v>49</v>
      </c>
      <c r="D375" t="s">
        <v>50</v>
      </c>
      <c r="E375">
        <v>10</v>
      </c>
      <c r="F375">
        <v>15</v>
      </c>
      <c r="G375">
        <v>4.9800000000000004</v>
      </c>
      <c r="H375" t="s">
        <v>36</v>
      </c>
      <c r="I375" t="s">
        <v>37</v>
      </c>
      <c r="J375" t="s">
        <v>27</v>
      </c>
      <c r="K375" t="s">
        <v>38</v>
      </c>
      <c r="L375">
        <f t="shared" si="15"/>
        <v>150</v>
      </c>
      <c r="M375">
        <f t="shared" si="16"/>
        <v>49.800000000000004</v>
      </c>
      <c r="N375">
        <f t="shared" si="17"/>
        <v>100.19999999999999</v>
      </c>
      <c r="O375" cm="1">
        <f t="array" ref="O375">_xlfn.LET(_xlpm.cat, Greenleaf[[#This Row],[Product Category]], _xlpm.prices, _xlfn._xlws.FILTER(Greenleaf[Unit Price], (Greenleaf[Product Category]=_xlpm.cat)*(Greenleaf[Unit Price]&lt;&gt;"")), IFERROR(MEDIAN(_xlpm.prices), ""))</f>
        <v>15</v>
      </c>
      <c r="P375">
        <f>IF(Greenleaf[[#This Row],[Shipment Status]]="Returned",1,0)</f>
        <v>0</v>
      </c>
      <c r="Q375">
        <f>IF(Greenleaf[[#This Row],[Shipment Status]]="Delivered",1,0)</f>
        <v>1</v>
      </c>
    </row>
    <row r="376" spans="1:17" x14ac:dyDescent="0.45">
      <c r="A376" t="s">
        <v>688</v>
      </c>
      <c r="B376">
        <v>45418</v>
      </c>
      <c r="C376" t="s">
        <v>23</v>
      </c>
      <c r="D376" t="s">
        <v>24</v>
      </c>
      <c r="E376">
        <v>2</v>
      </c>
      <c r="F376">
        <v>25</v>
      </c>
      <c r="G376">
        <v>9.25</v>
      </c>
      <c r="H376" t="s">
        <v>40</v>
      </c>
      <c r="I376" t="s">
        <v>41</v>
      </c>
      <c r="J376" t="s">
        <v>47</v>
      </c>
      <c r="K376" t="s">
        <v>28</v>
      </c>
      <c r="L376">
        <f t="shared" si="15"/>
        <v>50</v>
      </c>
      <c r="M376">
        <f t="shared" si="16"/>
        <v>18.5</v>
      </c>
      <c r="N376">
        <f t="shared" si="17"/>
        <v>31.5</v>
      </c>
      <c r="O376" cm="1">
        <f t="array" ref="O376">_xlfn.LET(_xlpm.cat, Greenleaf[[#This Row],[Product Category]], _xlpm.prices, _xlfn._xlws.FILTER(Greenleaf[Unit Price], (Greenleaf[Product Category]=_xlpm.cat)*(Greenleaf[Unit Price]&lt;&gt;"")), IFERROR(MEDIAN(_xlpm.prices), ""))</f>
        <v>25</v>
      </c>
      <c r="P376">
        <f>IF(Greenleaf[[#This Row],[Shipment Status]]="Returned",1,0)</f>
        <v>0</v>
      </c>
      <c r="Q376">
        <f>IF(Greenleaf[[#This Row],[Shipment Status]]="Delivered",1,0)</f>
        <v>0</v>
      </c>
    </row>
    <row r="377" spans="1:17" x14ac:dyDescent="0.45">
      <c r="A377" t="s">
        <v>689</v>
      </c>
      <c r="B377">
        <v>45419</v>
      </c>
      <c r="C377" t="s">
        <v>66</v>
      </c>
      <c r="D377" t="s">
        <v>67</v>
      </c>
      <c r="E377">
        <v>4</v>
      </c>
      <c r="F377">
        <v>12</v>
      </c>
      <c r="G377">
        <v>4.3600000000000003</v>
      </c>
      <c r="H377" t="s">
        <v>424</v>
      </c>
      <c r="I377" t="s">
        <v>192</v>
      </c>
      <c r="J377" t="s">
        <v>47</v>
      </c>
      <c r="K377" t="s">
        <v>38</v>
      </c>
      <c r="L377">
        <f t="shared" si="15"/>
        <v>48</v>
      </c>
      <c r="M377">
        <f t="shared" si="16"/>
        <v>17.440000000000001</v>
      </c>
      <c r="N377">
        <f t="shared" si="17"/>
        <v>30.56</v>
      </c>
      <c r="O377" cm="1">
        <f t="array" ref="O377">_xlfn.LET(_xlpm.cat, Greenleaf[[#This Row],[Product Category]], _xlpm.prices, _xlfn._xlws.FILTER(Greenleaf[Unit Price], (Greenleaf[Product Category]=_xlpm.cat)*(Greenleaf[Unit Price]&lt;&gt;"")), IFERROR(MEDIAN(_xlpm.prices), ""))</f>
        <v>12</v>
      </c>
      <c r="P377">
        <f>IF(Greenleaf[[#This Row],[Shipment Status]]="Returned",1,0)</f>
        <v>0</v>
      </c>
      <c r="Q377">
        <f>IF(Greenleaf[[#This Row],[Shipment Status]]="Delivered",1,0)</f>
        <v>0</v>
      </c>
    </row>
    <row r="378" spans="1:17" x14ac:dyDescent="0.45">
      <c r="A378" t="s">
        <v>690</v>
      </c>
      <c r="B378">
        <v>45419</v>
      </c>
      <c r="C378" t="s">
        <v>23</v>
      </c>
      <c r="D378" t="s">
        <v>24</v>
      </c>
      <c r="E378">
        <v>7</v>
      </c>
      <c r="F378">
        <v>25</v>
      </c>
      <c r="G378">
        <v>5.6</v>
      </c>
      <c r="H378" t="s">
        <v>691</v>
      </c>
      <c r="I378" t="s">
        <v>692</v>
      </c>
      <c r="J378" t="s">
        <v>20</v>
      </c>
      <c r="K378" t="s">
        <v>28</v>
      </c>
      <c r="L378">
        <f t="shared" si="15"/>
        <v>175</v>
      </c>
      <c r="M378">
        <f t="shared" si="16"/>
        <v>39.199999999999996</v>
      </c>
      <c r="N378">
        <f t="shared" si="17"/>
        <v>135.80000000000001</v>
      </c>
      <c r="O378" cm="1">
        <f t="array" ref="O378">_xlfn.LET(_xlpm.cat, Greenleaf[[#This Row],[Product Category]], _xlpm.prices, _xlfn._xlws.FILTER(Greenleaf[Unit Price], (Greenleaf[Product Category]=_xlpm.cat)*(Greenleaf[Unit Price]&lt;&gt;"")), IFERROR(MEDIAN(_xlpm.prices), ""))</f>
        <v>25</v>
      </c>
      <c r="P378">
        <f>IF(Greenleaf[[#This Row],[Shipment Status]]="Returned",1,0)</f>
        <v>0</v>
      </c>
      <c r="Q378">
        <f>IF(Greenleaf[[#This Row],[Shipment Status]]="Delivered",1,0)</f>
        <v>0</v>
      </c>
    </row>
    <row r="379" spans="1:17" x14ac:dyDescent="0.45">
      <c r="A379" t="s">
        <v>693</v>
      </c>
      <c r="B379">
        <v>45419</v>
      </c>
      <c r="C379" t="s">
        <v>30</v>
      </c>
      <c r="D379" t="s">
        <v>31</v>
      </c>
      <c r="E379">
        <v>5</v>
      </c>
      <c r="F379">
        <v>40</v>
      </c>
      <c r="G379">
        <v>13.32</v>
      </c>
      <c r="H379" t="s">
        <v>279</v>
      </c>
      <c r="I379" t="s">
        <v>280</v>
      </c>
      <c r="J379" t="s">
        <v>27</v>
      </c>
      <c r="K379" t="s">
        <v>70</v>
      </c>
      <c r="L379">
        <f t="shared" si="15"/>
        <v>200</v>
      </c>
      <c r="M379">
        <f t="shared" si="16"/>
        <v>66.599999999999994</v>
      </c>
      <c r="N379">
        <f t="shared" si="17"/>
        <v>133.4</v>
      </c>
      <c r="O379" cm="1">
        <f t="array" ref="O379">_xlfn.LET(_xlpm.cat, Greenleaf[[#This Row],[Product Category]], _xlpm.prices, _xlfn._xlws.FILTER(Greenleaf[Unit Price], (Greenleaf[Product Category]=_xlpm.cat)*(Greenleaf[Unit Price]&lt;&gt;"")), IFERROR(MEDIAN(_xlpm.prices), ""))</f>
        <v>40</v>
      </c>
      <c r="P379">
        <f>IF(Greenleaf[[#This Row],[Shipment Status]]="Returned",1,0)</f>
        <v>0</v>
      </c>
      <c r="Q379">
        <f>IF(Greenleaf[[#This Row],[Shipment Status]]="Delivered",1,0)</f>
        <v>1</v>
      </c>
    </row>
    <row r="380" spans="1:17" x14ac:dyDescent="0.45">
      <c r="A380" t="s">
        <v>694</v>
      </c>
      <c r="B380">
        <v>45419</v>
      </c>
      <c r="C380" t="s">
        <v>66</v>
      </c>
      <c r="D380" t="s">
        <v>67</v>
      </c>
      <c r="E380">
        <v>7</v>
      </c>
      <c r="F380">
        <v>12</v>
      </c>
      <c r="G380">
        <v>3.05</v>
      </c>
      <c r="H380" t="s">
        <v>321</v>
      </c>
      <c r="I380" t="s">
        <v>322</v>
      </c>
      <c r="J380" t="s">
        <v>27</v>
      </c>
      <c r="K380" t="s">
        <v>34</v>
      </c>
      <c r="L380">
        <f t="shared" si="15"/>
        <v>84</v>
      </c>
      <c r="M380">
        <f t="shared" si="16"/>
        <v>21.349999999999998</v>
      </c>
      <c r="N380">
        <f t="shared" si="17"/>
        <v>62.650000000000006</v>
      </c>
      <c r="O380" cm="1">
        <f t="array" ref="O380">_xlfn.LET(_xlpm.cat, Greenleaf[[#This Row],[Product Category]], _xlpm.prices, _xlfn._xlws.FILTER(Greenleaf[Unit Price], (Greenleaf[Product Category]=_xlpm.cat)*(Greenleaf[Unit Price]&lt;&gt;"")), IFERROR(MEDIAN(_xlpm.prices), ""))</f>
        <v>12</v>
      </c>
      <c r="P380">
        <f>IF(Greenleaf[[#This Row],[Shipment Status]]="Returned",1,0)</f>
        <v>0</v>
      </c>
      <c r="Q380">
        <f>IF(Greenleaf[[#This Row],[Shipment Status]]="Delivered",1,0)</f>
        <v>1</v>
      </c>
    </row>
    <row r="381" spans="1:17" x14ac:dyDescent="0.45">
      <c r="A381" t="s">
        <v>695</v>
      </c>
      <c r="B381">
        <v>45420</v>
      </c>
      <c r="C381" t="s">
        <v>66</v>
      </c>
      <c r="D381" t="s">
        <v>67</v>
      </c>
      <c r="E381">
        <v>8</v>
      </c>
      <c r="F381">
        <v>12</v>
      </c>
      <c r="G381">
        <v>4.37</v>
      </c>
      <c r="H381" t="s">
        <v>641</v>
      </c>
      <c r="I381" t="s">
        <v>319</v>
      </c>
      <c r="J381" t="s">
        <v>27</v>
      </c>
      <c r="K381" t="s">
        <v>21</v>
      </c>
      <c r="L381">
        <f t="shared" si="15"/>
        <v>96</v>
      </c>
      <c r="M381">
        <f t="shared" si="16"/>
        <v>34.96</v>
      </c>
      <c r="N381">
        <f t="shared" si="17"/>
        <v>61.04</v>
      </c>
      <c r="O381" cm="1">
        <f t="array" ref="O381">_xlfn.LET(_xlpm.cat, Greenleaf[[#This Row],[Product Category]], _xlpm.prices, _xlfn._xlws.FILTER(Greenleaf[Unit Price], (Greenleaf[Product Category]=_xlpm.cat)*(Greenleaf[Unit Price]&lt;&gt;"")), IFERROR(MEDIAN(_xlpm.prices), ""))</f>
        <v>12</v>
      </c>
      <c r="P381">
        <f>IF(Greenleaf[[#This Row],[Shipment Status]]="Returned",1,0)</f>
        <v>0</v>
      </c>
      <c r="Q381">
        <f>IF(Greenleaf[[#This Row],[Shipment Status]]="Delivered",1,0)</f>
        <v>1</v>
      </c>
    </row>
    <row r="382" spans="1:17" x14ac:dyDescent="0.45">
      <c r="A382" t="s">
        <v>696</v>
      </c>
      <c r="B382">
        <v>45420</v>
      </c>
      <c r="C382" t="s">
        <v>30</v>
      </c>
      <c r="D382" t="s">
        <v>31</v>
      </c>
      <c r="E382">
        <v>2</v>
      </c>
      <c r="F382">
        <v>40</v>
      </c>
      <c r="G382">
        <v>13.53</v>
      </c>
      <c r="H382" t="s">
        <v>139</v>
      </c>
      <c r="I382" t="s">
        <v>140</v>
      </c>
      <c r="J382" t="s">
        <v>27</v>
      </c>
      <c r="K382" t="s">
        <v>70</v>
      </c>
      <c r="L382">
        <f t="shared" si="15"/>
        <v>80</v>
      </c>
      <c r="M382">
        <f t="shared" si="16"/>
        <v>27.06</v>
      </c>
      <c r="N382">
        <f t="shared" si="17"/>
        <v>52.94</v>
      </c>
      <c r="O382" cm="1">
        <f t="array" ref="O382">_xlfn.LET(_xlpm.cat, Greenleaf[[#This Row],[Product Category]], _xlpm.prices, _xlfn._xlws.FILTER(Greenleaf[Unit Price], (Greenleaf[Product Category]=_xlpm.cat)*(Greenleaf[Unit Price]&lt;&gt;"")), IFERROR(MEDIAN(_xlpm.prices), ""))</f>
        <v>40</v>
      </c>
      <c r="P382">
        <f>IF(Greenleaf[[#This Row],[Shipment Status]]="Returned",1,0)</f>
        <v>0</v>
      </c>
      <c r="Q382">
        <f>IF(Greenleaf[[#This Row],[Shipment Status]]="Delivered",1,0)</f>
        <v>1</v>
      </c>
    </row>
    <row r="383" spans="1:17" x14ac:dyDescent="0.45">
      <c r="A383" t="s">
        <v>697</v>
      </c>
      <c r="B383">
        <v>45421</v>
      </c>
      <c r="C383" t="s">
        <v>30</v>
      </c>
      <c r="D383" t="s">
        <v>31</v>
      </c>
      <c r="E383">
        <v>6</v>
      </c>
      <c r="F383">
        <v>40</v>
      </c>
      <c r="G383">
        <v>13.84</v>
      </c>
      <c r="H383" t="s">
        <v>305</v>
      </c>
      <c r="I383" t="s">
        <v>210</v>
      </c>
      <c r="J383" t="s">
        <v>27</v>
      </c>
      <c r="K383" t="s">
        <v>74</v>
      </c>
      <c r="L383">
        <f t="shared" si="15"/>
        <v>240</v>
      </c>
      <c r="M383">
        <f t="shared" si="16"/>
        <v>83.039999999999992</v>
      </c>
      <c r="N383">
        <f t="shared" si="17"/>
        <v>156.96</v>
      </c>
      <c r="O383" cm="1">
        <f t="array" ref="O383">_xlfn.LET(_xlpm.cat, Greenleaf[[#This Row],[Product Category]], _xlpm.prices, _xlfn._xlws.FILTER(Greenleaf[Unit Price], (Greenleaf[Product Category]=_xlpm.cat)*(Greenleaf[Unit Price]&lt;&gt;"")), IFERROR(MEDIAN(_xlpm.prices), ""))</f>
        <v>40</v>
      </c>
      <c r="P383">
        <f>IF(Greenleaf[[#This Row],[Shipment Status]]="Returned",1,0)</f>
        <v>0</v>
      </c>
      <c r="Q383">
        <f>IF(Greenleaf[[#This Row],[Shipment Status]]="Delivered",1,0)</f>
        <v>1</v>
      </c>
    </row>
    <row r="384" spans="1:17" x14ac:dyDescent="0.45">
      <c r="A384" t="s">
        <v>698</v>
      </c>
      <c r="B384">
        <v>45421</v>
      </c>
      <c r="C384" t="s">
        <v>16</v>
      </c>
      <c r="D384" t="s">
        <v>17</v>
      </c>
      <c r="E384">
        <v>8</v>
      </c>
      <c r="F384">
        <v>10</v>
      </c>
      <c r="G384">
        <v>2.94</v>
      </c>
      <c r="H384" t="s">
        <v>321</v>
      </c>
      <c r="I384" t="s">
        <v>322</v>
      </c>
      <c r="J384" t="s">
        <v>27</v>
      </c>
      <c r="K384" t="s">
        <v>59</v>
      </c>
      <c r="L384">
        <f t="shared" si="15"/>
        <v>80</v>
      </c>
      <c r="M384">
        <f t="shared" si="16"/>
        <v>23.52</v>
      </c>
      <c r="N384">
        <f t="shared" si="17"/>
        <v>56.480000000000004</v>
      </c>
      <c r="O384" cm="1">
        <f t="array" ref="O384">_xlfn.LET(_xlpm.cat, Greenleaf[[#This Row],[Product Category]], _xlpm.prices, _xlfn._xlws.FILTER(Greenleaf[Unit Price], (Greenleaf[Product Category]=_xlpm.cat)*(Greenleaf[Unit Price]&lt;&gt;"")), IFERROR(MEDIAN(_xlpm.prices), ""))</f>
        <v>10</v>
      </c>
      <c r="P384">
        <f>IF(Greenleaf[[#This Row],[Shipment Status]]="Returned",1,0)</f>
        <v>0</v>
      </c>
      <c r="Q384">
        <f>IF(Greenleaf[[#This Row],[Shipment Status]]="Delivered",1,0)</f>
        <v>1</v>
      </c>
    </row>
    <row r="385" spans="1:17" x14ac:dyDescent="0.45">
      <c r="A385" t="s">
        <v>699</v>
      </c>
      <c r="B385">
        <v>45421</v>
      </c>
      <c r="C385" t="s">
        <v>16</v>
      </c>
      <c r="D385" t="s">
        <v>17</v>
      </c>
      <c r="E385">
        <v>9</v>
      </c>
      <c r="F385">
        <v>10</v>
      </c>
      <c r="G385">
        <v>2.81</v>
      </c>
      <c r="H385" t="s">
        <v>684</v>
      </c>
      <c r="I385" t="s">
        <v>357</v>
      </c>
      <c r="J385" t="s">
        <v>20</v>
      </c>
      <c r="K385" t="s">
        <v>28</v>
      </c>
      <c r="L385">
        <f t="shared" si="15"/>
        <v>90</v>
      </c>
      <c r="M385">
        <f t="shared" si="16"/>
        <v>25.29</v>
      </c>
      <c r="N385">
        <f t="shared" si="17"/>
        <v>64.710000000000008</v>
      </c>
      <c r="O385" cm="1">
        <f t="array" ref="O385">_xlfn.LET(_xlpm.cat, Greenleaf[[#This Row],[Product Category]], _xlpm.prices, _xlfn._xlws.FILTER(Greenleaf[Unit Price], (Greenleaf[Product Category]=_xlpm.cat)*(Greenleaf[Unit Price]&lt;&gt;"")), IFERROR(MEDIAN(_xlpm.prices), ""))</f>
        <v>10</v>
      </c>
      <c r="P385">
        <f>IF(Greenleaf[[#This Row],[Shipment Status]]="Returned",1,0)</f>
        <v>0</v>
      </c>
      <c r="Q385">
        <f>IF(Greenleaf[[#This Row],[Shipment Status]]="Delivered",1,0)</f>
        <v>0</v>
      </c>
    </row>
    <row r="386" spans="1:17" x14ac:dyDescent="0.45">
      <c r="A386" t="s">
        <v>700</v>
      </c>
      <c r="B386">
        <v>45422</v>
      </c>
      <c r="C386" t="s">
        <v>49</v>
      </c>
      <c r="D386" t="s">
        <v>50</v>
      </c>
      <c r="E386">
        <v>1</v>
      </c>
      <c r="F386">
        <v>15</v>
      </c>
      <c r="G386">
        <v>4.66</v>
      </c>
      <c r="H386" t="s">
        <v>102</v>
      </c>
      <c r="I386" t="s">
        <v>97</v>
      </c>
      <c r="J386" t="s">
        <v>27</v>
      </c>
      <c r="K386" t="s">
        <v>43</v>
      </c>
      <c r="L386">
        <f t="shared" ref="L386:L449" si="18">E386*F386</f>
        <v>15</v>
      </c>
      <c r="M386">
        <f t="shared" ref="M386:M449" si="19">E386*G386</f>
        <v>4.66</v>
      </c>
      <c r="N386">
        <f t="shared" ref="N386:N449" si="20">L386-M386</f>
        <v>10.34</v>
      </c>
      <c r="O386" cm="1">
        <f t="array" ref="O386">_xlfn.LET(_xlpm.cat, Greenleaf[[#This Row],[Product Category]], _xlpm.prices, _xlfn._xlws.FILTER(Greenleaf[Unit Price], (Greenleaf[Product Category]=_xlpm.cat)*(Greenleaf[Unit Price]&lt;&gt;"")), IFERROR(MEDIAN(_xlpm.prices), ""))</f>
        <v>15</v>
      </c>
      <c r="P386">
        <f>IF(Greenleaf[[#This Row],[Shipment Status]]="Returned",1,0)</f>
        <v>0</v>
      </c>
      <c r="Q386">
        <f>IF(Greenleaf[[#This Row],[Shipment Status]]="Delivered",1,0)</f>
        <v>1</v>
      </c>
    </row>
    <row r="387" spans="1:17" x14ac:dyDescent="0.45">
      <c r="A387" t="s">
        <v>701</v>
      </c>
      <c r="B387">
        <v>45422</v>
      </c>
      <c r="C387" t="s">
        <v>16</v>
      </c>
      <c r="D387" t="s">
        <v>17</v>
      </c>
      <c r="E387">
        <v>3</v>
      </c>
      <c r="F387">
        <v>10</v>
      </c>
      <c r="G387">
        <v>3.02</v>
      </c>
      <c r="H387" t="s">
        <v>674</v>
      </c>
      <c r="I387" t="s">
        <v>353</v>
      </c>
      <c r="J387" t="s">
        <v>20</v>
      </c>
      <c r="K387" t="s">
        <v>59</v>
      </c>
      <c r="L387">
        <f t="shared" si="18"/>
        <v>30</v>
      </c>
      <c r="M387">
        <f t="shared" si="19"/>
        <v>9.06</v>
      </c>
      <c r="N387">
        <f t="shared" si="20"/>
        <v>20.939999999999998</v>
      </c>
      <c r="O387" cm="1">
        <f t="array" ref="O387">_xlfn.LET(_xlpm.cat, Greenleaf[[#This Row],[Product Category]], _xlpm.prices, _xlfn._xlws.FILTER(Greenleaf[Unit Price], (Greenleaf[Product Category]=_xlpm.cat)*(Greenleaf[Unit Price]&lt;&gt;"")), IFERROR(MEDIAN(_xlpm.prices), ""))</f>
        <v>10</v>
      </c>
      <c r="P387">
        <f>IF(Greenleaf[[#This Row],[Shipment Status]]="Returned",1,0)</f>
        <v>0</v>
      </c>
      <c r="Q387">
        <f>IF(Greenleaf[[#This Row],[Shipment Status]]="Delivered",1,0)</f>
        <v>0</v>
      </c>
    </row>
    <row r="388" spans="1:17" x14ac:dyDescent="0.45">
      <c r="A388" t="s">
        <v>702</v>
      </c>
      <c r="B388">
        <v>45422</v>
      </c>
      <c r="C388" t="s">
        <v>49</v>
      </c>
      <c r="D388" t="s">
        <v>50</v>
      </c>
      <c r="E388">
        <v>6</v>
      </c>
      <c r="F388">
        <v>15</v>
      </c>
      <c r="G388">
        <v>4.8</v>
      </c>
      <c r="H388" t="s">
        <v>703</v>
      </c>
      <c r="I388" t="s">
        <v>198</v>
      </c>
      <c r="J388" t="s">
        <v>27</v>
      </c>
      <c r="K388" t="s">
        <v>134</v>
      </c>
      <c r="L388">
        <f t="shared" si="18"/>
        <v>90</v>
      </c>
      <c r="M388">
        <f t="shared" si="19"/>
        <v>28.799999999999997</v>
      </c>
      <c r="N388">
        <f t="shared" si="20"/>
        <v>61.2</v>
      </c>
      <c r="O388" cm="1">
        <f t="array" ref="O388">_xlfn.LET(_xlpm.cat, Greenleaf[[#This Row],[Product Category]], _xlpm.prices, _xlfn._xlws.FILTER(Greenleaf[Unit Price], (Greenleaf[Product Category]=_xlpm.cat)*(Greenleaf[Unit Price]&lt;&gt;"")), IFERROR(MEDIAN(_xlpm.prices), ""))</f>
        <v>15</v>
      </c>
      <c r="P388">
        <f>IF(Greenleaf[[#This Row],[Shipment Status]]="Returned",1,0)</f>
        <v>0</v>
      </c>
      <c r="Q388">
        <f>IF(Greenleaf[[#This Row],[Shipment Status]]="Delivered",1,0)</f>
        <v>1</v>
      </c>
    </row>
    <row r="389" spans="1:17" x14ac:dyDescent="0.45">
      <c r="A389" t="s">
        <v>704</v>
      </c>
      <c r="B389">
        <v>45422</v>
      </c>
      <c r="C389" t="s">
        <v>30</v>
      </c>
      <c r="D389" t="s">
        <v>31</v>
      </c>
      <c r="E389">
        <v>9</v>
      </c>
      <c r="F389">
        <v>40</v>
      </c>
      <c r="G389">
        <v>14.62</v>
      </c>
      <c r="H389" t="s">
        <v>418</v>
      </c>
      <c r="I389" t="s">
        <v>105</v>
      </c>
      <c r="J389" t="s">
        <v>42</v>
      </c>
      <c r="K389" t="s">
        <v>59</v>
      </c>
      <c r="L389">
        <f t="shared" si="18"/>
        <v>360</v>
      </c>
      <c r="M389">
        <f t="shared" si="19"/>
        <v>131.57999999999998</v>
      </c>
      <c r="N389">
        <f t="shared" si="20"/>
        <v>228.42000000000002</v>
      </c>
      <c r="O389" cm="1">
        <f t="array" ref="O389">_xlfn.LET(_xlpm.cat, Greenleaf[[#This Row],[Product Category]], _xlpm.prices, _xlfn._xlws.FILTER(Greenleaf[Unit Price], (Greenleaf[Product Category]=_xlpm.cat)*(Greenleaf[Unit Price]&lt;&gt;"")), IFERROR(MEDIAN(_xlpm.prices), ""))</f>
        <v>40</v>
      </c>
      <c r="P389">
        <f>IF(Greenleaf[[#This Row],[Shipment Status]]="Returned",1,0)</f>
        <v>1</v>
      </c>
      <c r="Q389">
        <f>IF(Greenleaf[[#This Row],[Shipment Status]]="Delivered",1,0)</f>
        <v>0</v>
      </c>
    </row>
    <row r="390" spans="1:17" x14ac:dyDescent="0.45">
      <c r="A390" t="s">
        <v>705</v>
      </c>
      <c r="B390">
        <v>45423</v>
      </c>
      <c r="C390" t="s">
        <v>49</v>
      </c>
      <c r="D390" t="s">
        <v>50</v>
      </c>
      <c r="E390">
        <v>5</v>
      </c>
      <c r="F390">
        <v>15</v>
      </c>
      <c r="G390">
        <v>3.13</v>
      </c>
      <c r="H390" t="s">
        <v>124</v>
      </c>
      <c r="I390" t="s">
        <v>125</v>
      </c>
      <c r="J390" t="s">
        <v>27</v>
      </c>
      <c r="K390" t="s">
        <v>59</v>
      </c>
      <c r="L390">
        <f t="shared" si="18"/>
        <v>75</v>
      </c>
      <c r="M390">
        <f t="shared" si="19"/>
        <v>15.649999999999999</v>
      </c>
      <c r="N390">
        <f t="shared" si="20"/>
        <v>59.35</v>
      </c>
      <c r="O390" cm="1">
        <f t="array" ref="O390">_xlfn.LET(_xlpm.cat, Greenleaf[[#This Row],[Product Category]], _xlpm.prices, _xlfn._xlws.FILTER(Greenleaf[Unit Price], (Greenleaf[Product Category]=_xlpm.cat)*(Greenleaf[Unit Price]&lt;&gt;"")), IFERROR(MEDIAN(_xlpm.prices), ""))</f>
        <v>15</v>
      </c>
      <c r="P390">
        <f>IF(Greenleaf[[#This Row],[Shipment Status]]="Returned",1,0)</f>
        <v>0</v>
      </c>
      <c r="Q390">
        <f>IF(Greenleaf[[#This Row],[Shipment Status]]="Delivered",1,0)</f>
        <v>1</v>
      </c>
    </row>
    <row r="391" spans="1:17" x14ac:dyDescent="0.45">
      <c r="A391" t="s">
        <v>706</v>
      </c>
      <c r="B391">
        <v>45423</v>
      </c>
      <c r="C391" t="s">
        <v>30</v>
      </c>
      <c r="D391" t="s">
        <v>31</v>
      </c>
      <c r="E391">
        <v>1</v>
      </c>
      <c r="F391">
        <v>40</v>
      </c>
      <c r="G391">
        <v>13.15</v>
      </c>
      <c r="H391" t="s">
        <v>337</v>
      </c>
      <c r="I391" t="s">
        <v>183</v>
      </c>
      <c r="J391" t="s">
        <v>27</v>
      </c>
      <c r="K391" t="s">
        <v>21</v>
      </c>
      <c r="L391">
        <f t="shared" si="18"/>
        <v>40</v>
      </c>
      <c r="M391">
        <f t="shared" si="19"/>
        <v>13.15</v>
      </c>
      <c r="N391">
        <f t="shared" si="20"/>
        <v>26.85</v>
      </c>
      <c r="O391" cm="1">
        <f t="array" ref="O391">_xlfn.LET(_xlpm.cat, Greenleaf[[#This Row],[Product Category]], _xlpm.prices, _xlfn._xlws.FILTER(Greenleaf[Unit Price], (Greenleaf[Product Category]=_xlpm.cat)*(Greenleaf[Unit Price]&lt;&gt;"")), IFERROR(MEDIAN(_xlpm.prices), ""))</f>
        <v>40</v>
      </c>
      <c r="P391">
        <f>IF(Greenleaf[[#This Row],[Shipment Status]]="Returned",1,0)</f>
        <v>0</v>
      </c>
      <c r="Q391">
        <f>IF(Greenleaf[[#This Row],[Shipment Status]]="Delivered",1,0)</f>
        <v>1</v>
      </c>
    </row>
    <row r="392" spans="1:17" x14ac:dyDescent="0.45">
      <c r="A392" t="s">
        <v>707</v>
      </c>
      <c r="B392">
        <v>45423</v>
      </c>
      <c r="C392" t="s">
        <v>30</v>
      </c>
      <c r="D392" t="s">
        <v>31</v>
      </c>
      <c r="E392">
        <v>9</v>
      </c>
      <c r="F392">
        <v>40</v>
      </c>
      <c r="G392">
        <v>13.31</v>
      </c>
      <c r="H392" t="s">
        <v>332</v>
      </c>
      <c r="I392" t="s">
        <v>333</v>
      </c>
      <c r="J392" t="s">
        <v>27</v>
      </c>
      <c r="K392" t="s">
        <v>56</v>
      </c>
      <c r="L392">
        <f t="shared" si="18"/>
        <v>360</v>
      </c>
      <c r="M392">
        <f t="shared" si="19"/>
        <v>119.79</v>
      </c>
      <c r="N392">
        <f t="shared" si="20"/>
        <v>240.20999999999998</v>
      </c>
      <c r="O392" cm="1">
        <f t="array" ref="O392">_xlfn.LET(_xlpm.cat, Greenleaf[[#This Row],[Product Category]], _xlpm.prices, _xlfn._xlws.FILTER(Greenleaf[Unit Price], (Greenleaf[Product Category]=_xlpm.cat)*(Greenleaf[Unit Price]&lt;&gt;"")), IFERROR(MEDIAN(_xlpm.prices), ""))</f>
        <v>40</v>
      </c>
      <c r="P392">
        <f>IF(Greenleaf[[#This Row],[Shipment Status]]="Returned",1,0)</f>
        <v>0</v>
      </c>
      <c r="Q392">
        <f>IF(Greenleaf[[#This Row],[Shipment Status]]="Delivered",1,0)</f>
        <v>1</v>
      </c>
    </row>
    <row r="393" spans="1:17" x14ac:dyDescent="0.45">
      <c r="A393" t="s">
        <v>708</v>
      </c>
      <c r="B393">
        <v>45423</v>
      </c>
      <c r="C393" t="s">
        <v>66</v>
      </c>
      <c r="D393" t="s">
        <v>67</v>
      </c>
      <c r="E393">
        <v>10</v>
      </c>
      <c r="F393">
        <v>12</v>
      </c>
      <c r="G393">
        <v>3.7</v>
      </c>
      <c r="H393" t="s">
        <v>124</v>
      </c>
      <c r="I393" t="s">
        <v>125</v>
      </c>
      <c r="J393" t="s">
        <v>27</v>
      </c>
      <c r="K393" t="s">
        <v>43</v>
      </c>
      <c r="L393">
        <f t="shared" si="18"/>
        <v>120</v>
      </c>
      <c r="M393">
        <f t="shared" si="19"/>
        <v>37</v>
      </c>
      <c r="N393">
        <f t="shared" si="20"/>
        <v>83</v>
      </c>
      <c r="O393" cm="1">
        <f t="array" ref="O393">_xlfn.LET(_xlpm.cat, Greenleaf[[#This Row],[Product Category]], _xlpm.prices, _xlfn._xlws.FILTER(Greenleaf[Unit Price], (Greenleaf[Product Category]=_xlpm.cat)*(Greenleaf[Unit Price]&lt;&gt;"")), IFERROR(MEDIAN(_xlpm.prices), ""))</f>
        <v>12</v>
      </c>
      <c r="P393">
        <f>IF(Greenleaf[[#This Row],[Shipment Status]]="Returned",1,0)</f>
        <v>0</v>
      </c>
      <c r="Q393">
        <f>IF(Greenleaf[[#This Row],[Shipment Status]]="Delivered",1,0)</f>
        <v>1</v>
      </c>
    </row>
    <row r="394" spans="1:17" x14ac:dyDescent="0.45">
      <c r="A394" t="s">
        <v>709</v>
      </c>
      <c r="B394">
        <v>45423</v>
      </c>
      <c r="C394" t="s">
        <v>16</v>
      </c>
      <c r="D394" t="s">
        <v>17</v>
      </c>
      <c r="E394">
        <v>3</v>
      </c>
      <c r="F394">
        <v>10</v>
      </c>
      <c r="G394">
        <v>3.68</v>
      </c>
      <c r="H394" t="s">
        <v>241</v>
      </c>
      <c r="I394" t="s">
        <v>242</v>
      </c>
      <c r="J394" t="s">
        <v>47</v>
      </c>
      <c r="K394" t="s">
        <v>134</v>
      </c>
      <c r="L394">
        <f t="shared" si="18"/>
        <v>30</v>
      </c>
      <c r="M394">
        <f t="shared" si="19"/>
        <v>11.040000000000001</v>
      </c>
      <c r="N394">
        <f t="shared" si="20"/>
        <v>18.96</v>
      </c>
      <c r="O394" cm="1">
        <f t="array" ref="O394">_xlfn.LET(_xlpm.cat, Greenleaf[[#This Row],[Product Category]], _xlpm.prices, _xlfn._xlws.FILTER(Greenleaf[Unit Price], (Greenleaf[Product Category]=_xlpm.cat)*(Greenleaf[Unit Price]&lt;&gt;"")), IFERROR(MEDIAN(_xlpm.prices), ""))</f>
        <v>10</v>
      </c>
      <c r="P394">
        <f>IF(Greenleaf[[#This Row],[Shipment Status]]="Returned",1,0)</f>
        <v>0</v>
      </c>
      <c r="Q394">
        <f>IF(Greenleaf[[#This Row],[Shipment Status]]="Delivered",1,0)</f>
        <v>0</v>
      </c>
    </row>
    <row r="395" spans="1:17" x14ac:dyDescent="0.45">
      <c r="A395" t="s">
        <v>710</v>
      </c>
      <c r="B395">
        <v>45424</v>
      </c>
      <c r="C395" t="s">
        <v>23</v>
      </c>
      <c r="D395" t="s">
        <v>24</v>
      </c>
      <c r="E395">
        <v>7</v>
      </c>
      <c r="F395">
        <v>25</v>
      </c>
      <c r="G395">
        <v>5.54</v>
      </c>
      <c r="H395" t="s">
        <v>51</v>
      </c>
      <c r="I395" t="s">
        <v>52</v>
      </c>
      <c r="J395" t="s">
        <v>27</v>
      </c>
      <c r="K395" t="s">
        <v>21</v>
      </c>
      <c r="L395">
        <f t="shared" si="18"/>
        <v>175</v>
      </c>
      <c r="M395">
        <f t="shared" si="19"/>
        <v>38.78</v>
      </c>
      <c r="N395">
        <f t="shared" si="20"/>
        <v>136.22</v>
      </c>
      <c r="O395" cm="1">
        <f t="array" ref="O395">_xlfn.LET(_xlpm.cat, Greenleaf[[#This Row],[Product Category]], _xlpm.prices, _xlfn._xlws.FILTER(Greenleaf[Unit Price], (Greenleaf[Product Category]=_xlpm.cat)*(Greenleaf[Unit Price]&lt;&gt;"")), IFERROR(MEDIAN(_xlpm.prices), ""))</f>
        <v>25</v>
      </c>
      <c r="P395">
        <f>IF(Greenleaf[[#This Row],[Shipment Status]]="Returned",1,0)</f>
        <v>0</v>
      </c>
      <c r="Q395">
        <f>IF(Greenleaf[[#This Row],[Shipment Status]]="Delivered",1,0)</f>
        <v>1</v>
      </c>
    </row>
    <row r="396" spans="1:17" x14ac:dyDescent="0.45">
      <c r="A396" t="s">
        <v>711</v>
      </c>
      <c r="B396">
        <v>45424</v>
      </c>
      <c r="C396" t="s">
        <v>49</v>
      </c>
      <c r="D396" t="s">
        <v>50</v>
      </c>
      <c r="E396">
        <v>2</v>
      </c>
      <c r="F396">
        <v>15</v>
      </c>
      <c r="G396">
        <v>3.17</v>
      </c>
      <c r="H396" t="s">
        <v>96</v>
      </c>
      <c r="I396" t="s">
        <v>97</v>
      </c>
      <c r="J396" t="s">
        <v>20</v>
      </c>
      <c r="K396" t="s">
        <v>74</v>
      </c>
      <c r="L396">
        <f t="shared" si="18"/>
        <v>30</v>
      </c>
      <c r="M396">
        <f t="shared" si="19"/>
        <v>6.34</v>
      </c>
      <c r="N396">
        <f t="shared" si="20"/>
        <v>23.66</v>
      </c>
      <c r="O396" cm="1">
        <f t="array" ref="O396">_xlfn.LET(_xlpm.cat, Greenleaf[[#This Row],[Product Category]], _xlpm.prices, _xlfn._xlws.FILTER(Greenleaf[Unit Price], (Greenleaf[Product Category]=_xlpm.cat)*(Greenleaf[Unit Price]&lt;&gt;"")), IFERROR(MEDIAN(_xlpm.prices), ""))</f>
        <v>15</v>
      </c>
      <c r="P396">
        <f>IF(Greenleaf[[#This Row],[Shipment Status]]="Returned",1,0)</f>
        <v>0</v>
      </c>
      <c r="Q396">
        <f>IF(Greenleaf[[#This Row],[Shipment Status]]="Delivered",1,0)</f>
        <v>0</v>
      </c>
    </row>
    <row r="397" spans="1:17" x14ac:dyDescent="0.45">
      <c r="A397" t="s">
        <v>712</v>
      </c>
      <c r="B397">
        <v>45424</v>
      </c>
      <c r="C397" t="s">
        <v>30</v>
      </c>
      <c r="D397" t="s">
        <v>31</v>
      </c>
      <c r="E397">
        <v>8</v>
      </c>
      <c r="F397">
        <v>40</v>
      </c>
      <c r="G397">
        <v>13.61</v>
      </c>
      <c r="H397" t="s">
        <v>662</v>
      </c>
      <c r="I397" t="s">
        <v>663</v>
      </c>
      <c r="J397" t="s">
        <v>27</v>
      </c>
      <c r="K397" t="s">
        <v>134</v>
      </c>
      <c r="L397">
        <f t="shared" si="18"/>
        <v>320</v>
      </c>
      <c r="M397">
        <f t="shared" si="19"/>
        <v>108.88</v>
      </c>
      <c r="N397">
        <f t="shared" si="20"/>
        <v>211.12</v>
      </c>
      <c r="O397" cm="1">
        <f t="array" ref="O397">_xlfn.LET(_xlpm.cat, Greenleaf[[#This Row],[Product Category]], _xlpm.prices, _xlfn._xlws.FILTER(Greenleaf[Unit Price], (Greenleaf[Product Category]=_xlpm.cat)*(Greenleaf[Unit Price]&lt;&gt;"")), IFERROR(MEDIAN(_xlpm.prices), ""))</f>
        <v>40</v>
      </c>
      <c r="P397">
        <f>IF(Greenleaf[[#This Row],[Shipment Status]]="Returned",1,0)</f>
        <v>0</v>
      </c>
      <c r="Q397">
        <f>IF(Greenleaf[[#This Row],[Shipment Status]]="Delivered",1,0)</f>
        <v>1</v>
      </c>
    </row>
    <row r="398" spans="1:17" x14ac:dyDescent="0.45">
      <c r="A398" t="s">
        <v>713</v>
      </c>
      <c r="B398">
        <v>45425</v>
      </c>
      <c r="C398" t="s">
        <v>16</v>
      </c>
      <c r="D398" t="s">
        <v>17</v>
      </c>
      <c r="E398">
        <v>1</v>
      </c>
      <c r="F398">
        <v>10</v>
      </c>
      <c r="G398">
        <v>2.72</v>
      </c>
      <c r="H398" t="s">
        <v>578</v>
      </c>
      <c r="I398" t="s">
        <v>93</v>
      </c>
      <c r="J398" t="s">
        <v>42</v>
      </c>
      <c r="K398" t="s">
        <v>21</v>
      </c>
      <c r="L398">
        <f t="shared" si="18"/>
        <v>10</v>
      </c>
      <c r="M398">
        <f t="shared" si="19"/>
        <v>2.72</v>
      </c>
      <c r="N398">
        <f t="shared" si="20"/>
        <v>7.2799999999999994</v>
      </c>
      <c r="O398" cm="1">
        <f t="array" ref="O398">_xlfn.LET(_xlpm.cat, Greenleaf[[#This Row],[Product Category]], _xlpm.prices, _xlfn._xlws.FILTER(Greenleaf[Unit Price], (Greenleaf[Product Category]=_xlpm.cat)*(Greenleaf[Unit Price]&lt;&gt;"")), IFERROR(MEDIAN(_xlpm.prices), ""))</f>
        <v>10</v>
      </c>
      <c r="P398">
        <f>IF(Greenleaf[[#This Row],[Shipment Status]]="Returned",1,0)</f>
        <v>1</v>
      </c>
      <c r="Q398">
        <f>IF(Greenleaf[[#This Row],[Shipment Status]]="Delivered",1,0)</f>
        <v>0</v>
      </c>
    </row>
    <row r="399" spans="1:17" x14ac:dyDescent="0.45">
      <c r="A399" t="s">
        <v>714</v>
      </c>
      <c r="B399">
        <v>45425</v>
      </c>
      <c r="C399" t="s">
        <v>16</v>
      </c>
      <c r="D399" t="s">
        <v>17</v>
      </c>
      <c r="E399">
        <v>3</v>
      </c>
      <c r="F399">
        <v>10</v>
      </c>
      <c r="G399">
        <v>2.4700000000000002</v>
      </c>
      <c r="H399" t="s">
        <v>282</v>
      </c>
      <c r="I399" t="s">
        <v>283</v>
      </c>
      <c r="J399" t="s">
        <v>27</v>
      </c>
      <c r="K399" t="s">
        <v>28</v>
      </c>
      <c r="L399">
        <f t="shared" si="18"/>
        <v>30</v>
      </c>
      <c r="M399">
        <f t="shared" si="19"/>
        <v>7.41</v>
      </c>
      <c r="N399">
        <f t="shared" si="20"/>
        <v>22.59</v>
      </c>
      <c r="O399" cm="1">
        <f t="array" ref="O399">_xlfn.LET(_xlpm.cat, Greenleaf[[#This Row],[Product Category]], _xlpm.prices, _xlfn._xlws.FILTER(Greenleaf[Unit Price], (Greenleaf[Product Category]=_xlpm.cat)*(Greenleaf[Unit Price]&lt;&gt;"")), IFERROR(MEDIAN(_xlpm.prices), ""))</f>
        <v>10</v>
      </c>
      <c r="P399">
        <f>IF(Greenleaf[[#This Row],[Shipment Status]]="Returned",1,0)</f>
        <v>0</v>
      </c>
      <c r="Q399">
        <f>IF(Greenleaf[[#This Row],[Shipment Status]]="Delivered",1,0)</f>
        <v>1</v>
      </c>
    </row>
    <row r="400" spans="1:17" x14ac:dyDescent="0.45">
      <c r="A400" t="s">
        <v>715</v>
      </c>
      <c r="B400">
        <v>45426</v>
      </c>
      <c r="C400" t="s">
        <v>49</v>
      </c>
      <c r="D400" t="s">
        <v>50</v>
      </c>
      <c r="E400">
        <v>6</v>
      </c>
      <c r="F400">
        <v>15</v>
      </c>
      <c r="G400">
        <v>5.97</v>
      </c>
      <c r="H400" t="s">
        <v>45</v>
      </c>
      <c r="I400" t="s">
        <v>46</v>
      </c>
      <c r="J400" t="s">
        <v>27</v>
      </c>
      <c r="K400" t="s">
        <v>74</v>
      </c>
      <c r="L400">
        <f t="shared" si="18"/>
        <v>90</v>
      </c>
      <c r="M400">
        <f t="shared" si="19"/>
        <v>35.82</v>
      </c>
      <c r="N400">
        <f t="shared" si="20"/>
        <v>54.18</v>
      </c>
      <c r="O400" cm="1">
        <f t="array" ref="O400">_xlfn.LET(_xlpm.cat, Greenleaf[[#This Row],[Product Category]], _xlpm.prices, _xlfn._xlws.FILTER(Greenleaf[Unit Price], (Greenleaf[Product Category]=_xlpm.cat)*(Greenleaf[Unit Price]&lt;&gt;"")), IFERROR(MEDIAN(_xlpm.prices), ""))</f>
        <v>15</v>
      </c>
      <c r="P400">
        <f>IF(Greenleaf[[#This Row],[Shipment Status]]="Returned",1,0)</f>
        <v>0</v>
      </c>
      <c r="Q400">
        <f>IF(Greenleaf[[#This Row],[Shipment Status]]="Delivered",1,0)</f>
        <v>1</v>
      </c>
    </row>
    <row r="401" spans="1:17" x14ac:dyDescent="0.45">
      <c r="A401" t="s">
        <v>716</v>
      </c>
      <c r="B401">
        <v>45426</v>
      </c>
      <c r="C401" t="s">
        <v>16</v>
      </c>
      <c r="D401" t="s">
        <v>17</v>
      </c>
      <c r="E401">
        <v>7</v>
      </c>
      <c r="F401">
        <v>10</v>
      </c>
      <c r="G401">
        <v>2.06</v>
      </c>
      <c r="H401" t="s">
        <v>174</v>
      </c>
      <c r="I401" t="s">
        <v>112</v>
      </c>
      <c r="J401" t="s">
        <v>27</v>
      </c>
      <c r="K401" t="s">
        <v>38</v>
      </c>
      <c r="L401">
        <f t="shared" si="18"/>
        <v>70</v>
      </c>
      <c r="M401">
        <f t="shared" si="19"/>
        <v>14.42</v>
      </c>
      <c r="N401">
        <f t="shared" si="20"/>
        <v>55.58</v>
      </c>
      <c r="O401" cm="1">
        <f t="array" ref="O401">_xlfn.LET(_xlpm.cat, Greenleaf[[#This Row],[Product Category]], _xlpm.prices, _xlfn._xlws.FILTER(Greenleaf[Unit Price], (Greenleaf[Product Category]=_xlpm.cat)*(Greenleaf[Unit Price]&lt;&gt;"")), IFERROR(MEDIAN(_xlpm.prices), ""))</f>
        <v>10</v>
      </c>
      <c r="P401">
        <f>IF(Greenleaf[[#This Row],[Shipment Status]]="Returned",1,0)</f>
        <v>0</v>
      </c>
      <c r="Q401">
        <f>IF(Greenleaf[[#This Row],[Shipment Status]]="Delivered",1,0)</f>
        <v>1</v>
      </c>
    </row>
    <row r="402" spans="1:17" x14ac:dyDescent="0.45">
      <c r="A402" t="s">
        <v>717</v>
      </c>
      <c r="B402">
        <v>45426</v>
      </c>
      <c r="C402" t="s">
        <v>30</v>
      </c>
      <c r="D402" t="s">
        <v>31</v>
      </c>
      <c r="E402">
        <v>3</v>
      </c>
      <c r="F402">
        <v>40</v>
      </c>
      <c r="G402">
        <v>9.3000000000000007</v>
      </c>
      <c r="H402" t="s">
        <v>221</v>
      </c>
      <c r="I402" t="s">
        <v>222</v>
      </c>
      <c r="J402" t="s">
        <v>27</v>
      </c>
      <c r="K402" t="s">
        <v>43</v>
      </c>
      <c r="L402">
        <f t="shared" si="18"/>
        <v>120</v>
      </c>
      <c r="M402">
        <f t="shared" si="19"/>
        <v>27.900000000000002</v>
      </c>
      <c r="N402">
        <f t="shared" si="20"/>
        <v>92.1</v>
      </c>
      <c r="O402" cm="1">
        <f t="array" ref="O402">_xlfn.LET(_xlpm.cat, Greenleaf[[#This Row],[Product Category]], _xlpm.prices, _xlfn._xlws.FILTER(Greenleaf[Unit Price], (Greenleaf[Product Category]=_xlpm.cat)*(Greenleaf[Unit Price]&lt;&gt;"")), IFERROR(MEDIAN(_xlpm.prices), ""))</f>
        <v>40</v>
      </c>
      <c r="P402">
        <f>IF(Greenleaf[[#This Row],[Shipment Status]]="Returned",1,0)</f>
        <v>0</v>
      </c>
      <c r="Q402">
        <f>IF(Greenleaf[[#This Row],[Shipment Status]]="Delivered",1,0)</f>
        <v>1</v>
      </c>
    </row>
    <row r="403" spans="1:17" x14ac:dyDescent="0.45">
      <c r="A403" t="s">
        <v>718</v>
      </c>
      <c r="B403">
        <v>45426</v>
      </c>
      <c r="C403" t="s">
        <v>23</v>
      </c>
      <c r="D403" t="s">
        <v>24</v>
      </c>
      <c r="E403">
        <v>9</v>
      </c>
      <c r="F403">
        <v>25</v>
      </c>
      <c r="G403">
        <v>8.24</v>
      </c>
      <c r="H403" t="s">
        <v>241</v>
      </c>
      <c r="I403" t="s">
        <v>242</v>
      </c>
      <c r="J403" t="s">
        <v>20</v>
      </c>
      <c r="K403" t="s">
        <v>70</v>
      </c>
      <c r="L403">
        <f t="shared" si="18"/>
        <v>225</v>
      </c>
      <c r="M403">
        <f t="shared" si="19"/>
        <v>74.16</v>
      </c>
      <c r="N403">
        <f t="shared" si="20"/>
        <v>150.84</v>
      </c>
      <c r="O403" cm="1">
        <f t="array" ref="O403">_xlfn.LET(_xlpm.cat, Greenleaf[[#This Row],[Product Category]], _xlpm.prices, _xlfn._xlws.FILTER(Greenleaf[Unit Price], (Greenleaf[Product Category]=_xlpm.cat)*(Greenleaf[Unit Price]&lt;&gt;"")), IFERROR(MEDIAN(_xlpm.prices), ""))</f>
        <v>25</v>
      </c>
      <c r="P403">
        <f>IF(Greenleaf[[#This Row],[Shipment Status]]="Returned",1,0)</f>
        <v>0</v>
      </c>
      <c r="Q403">
        <f>IF(Greenleaf[[#This Row],[Shipment Status]]="Delivered",1,0)</f>
        <v>0</v>
      </c>
    </row>
    <row r="404" spans="1:17" x14ac:dyDescent="0.45">
      <c r="A404" t="s">
        <v>719</v>
      </c>
      <c r="B404">
        <v>45426</v>
      </c>
      <c r="C404" t="s">
        <v>66</v>
      </c>
      <c r="D404" t="s">
        <v>67</v>
      </c>
      <c r="E404">
        <v>2</v>
      </c>
      <c r="F404">
        <v>12</v>
      </c>
      <c r="G404">
        <v>4.5999999999999996</v>
      </c>
      <c r="H404" t="s">
        <v>502</v>
      </c>
      <c r="I404" t="s">
        <v>280</v>
      </c>
      <c r="J404" t="s">
        <v>27</v>
      </c>
      <c r="K404" t="s">
        <v>28</v>
      </c>
      <c r="L404">
        <f t="shared" si="18"/>
        <v>24</v>
      </c>
      <c r="M404">
        <f t="shared" si="19"/>
        <v>9.1999999999999993</v>
      </c>
      <c r="N404">
        <f t="shared" si="20"/>
        <v>14.8</v>
      </c>
      <c r="O404" cm="1">
        <f t="array" ref="O404">_xlfn.LET(_xlpm.cat, Greenleaf[[#This Row],[Product Category]], _xlpm.prices, _xlfn._xlws.FILTER(Greenleaf[Unit Price], (Greenleaf[Product Category]=_xlpm.cat)*(Greenleaf[Unit Price]&lt;&gt;"")), IFERROR(MEDIAN(_xlpm.prices), ""))</f>
        <v>12</v>
      </c>
      <c r="P404">
        <f>IF(Greenleaf[[#This Row],[Shipment Status]]="Returned",1,0)</f>
        <v>0</v>
      </c>
      <c r="Q404">
        <f>IF(Greenleaf[[#This Row],[Shipment Status]]="Delivered",1,0)</f>
        <v>1</v>
      </c>
    </row>
    <row r="405" spans="1:17" x14ac:dyDescent="0.45">
      <c r="A405" t="s">
        <v>720</v>
      </c>
      <c r="B405">
        <v>45426</v>
      </c>
      <c r="C405" t="s">
        <v>30</v>
      </c>
      <c r="D405" t="s">
        <v>31</v>
      </c>
      <c r="E405">
        <v>4</v>
      </c>
      <c r="F405">
        <v>40</v>
      </c>
      <c r="G405">
        <v>14.68</v>
      </c>
      <c r="H405" t="s">
        <v>368</v>
      </c>
      <c r="I405" t="s">
        <v>369</v>
      </c>
      <c r="J405" t="s">
        <v>27</v>
      </c>
      <c r="K405" t="s">
        <v>34</v>
      </c>
      <c r="L405">
        <f t="shared" si="18"/>
        <v>160</v>
      </c>
      <c r="M405">
        <f t="shared" si="19"/>
        <v>58.72</v>
      </c>
      <c r="N405">
        <f t="shared" si="20"/>
        <v>101.28</v>
      </c>
      <c r="O405" cm="1">
        <f t="array" ref="O405">_xlfn.LET(_xlpm.cat, Greenleaf[[#This Row],[Product Category]], _xlpm.prices, _xlfn._xlws.FILTER(Greenleaf[Unit Price], (Greenleaf[Product Category]=_xlpm.cat)*(Greenleaf[Unit Price]&lt;&gt;"")), IFERROR(MEDIAN(_xlpm.prices), ""))</f>
        <v>40</v>
      </c>
      <c r="P405">
        <f>IF(Greenleaf[[#This Row],[Shipment Status]]="Returned",1,0)</f>
        <v>0</v>
      </c>
      <c r="Q405">
        <f>IF(Greenleaf[[#This Row],[Shipment Status]]="Delivered",1,0)</f>
        <v>1</v>
      </c>
    </row>
    <row r="406" spans="1:17" x14ac:dyDescent="0.45">
      <c r="A406" t="s">
        <v>721</v>
      </c>
      <c r="B406">
        <v>45426</v>
      </c>
      <c r="C406" t="s">
        <v>66</v>
      </c>
      <c r="D406" t="s">
        <v>67</v>
      </c>
      <c r="E406">
        <v>6</v>
      </c>
      <c r="F406">
        <v>12</v>
      </c>
      <c r="G406">
        <v>3.84</v>
      </c>
      <c r="H406" t="s">
        <v>108</v>
      </c>
      <c r="I406" t="s">
        <v>109</v>
      </c>
      <c r="J406" t="s">
        <v>42</v>
      </c>
      <c r="K406" t="s">
        <v>70</v>
      </c>
      <c r="L406">
        <f t="shared" si="18"/>
        <v>72</v>
      </c>
      <c r="M406">
        <f t="shared" si="19"/>
        <v>23.04</v>
      </c>
      <c r="N406">
        <f t="shared" si="20"/>
        <v>48.96</v>
      </c>
      <c r="O406" cm="1">
        <f t="array" ref="O406">_xlfn.LET(_xlpm.cat, Greenleaf[[#This Row],[Product Category]], _xlpm.prices, _xlfn._xlws.FILTER(Greenleaf[Unit Price], (Greenleaf[Product Category]=_xlpm.cat)*(Greenleaf[Unit Price]&lt;&gt;"")), IFERROR(MEDIAN(_xlpm.prices), ""))</f>
        <v>12</v>
      </c>
      <c r="P406">
        <f>IF(Greenleaf[[#This Row],[Shipment Status]]="Returned",1,0)</f>
        <v>1</v>
      </c>
      <c r="Q406">
        <f>IF(Greenleaf[[#This Row],[Shipment Status]]="Delivered",1,0)</f>
        <v>0</v>
      </c>
    </row>
    <row r="407" spans="1:17" x14ac:dyDescent="0.45">
      <c r="A407" t="s">
        <v>722</v>
      </c>
      <c r="B407">
        <v>45427</v>
      </c>
      <c r="C407" t="s">
        <v>30</v>
      </c>
      <c r="D407" t="s">
        <v>31</v>
      </c>
      <c r="E407">
        <v>7</v>
      </c>
      <c r="F407">
        <v>40</v>
      </c>
      <c r="G407">
        <v>11.74</v>
      </c>
      <c r="H407" t="s">
        <v>108</v>
      </c>
      <c r="I407" t="s">
        <v>109</v>
      </c>
      <c r="J407" t="s">
        <v>27</v>
      </c>
      <c r="K407" t="s">
        <v>43</v>
      </c>
      <c r="L407">
        <f t="shared" si="18"/>
        <v>280</v>
      </c>
      <c r="M407">
        <f t="shared" si="19"/>
        <v>82.18</v>
      </c>
      <c r="N407">
        <f t="shared" si="20"/>
        <v>197.82</v>
      </c>
      <c r="O407" cm="1">
        <f t="array" ref="O407">_xlfn.LET(_xlpm.cat, Greenleaf[[#This Row],[Product Category]], _xlpm.prices, _xlfn._xlws.FILTER(Greenleaf[Unit Price], (Greenleaf[Product Category]=_xlpm.cat)*(Greenleaf[Unit Price]&lt;&gt;"")), IFERROR(MEDIAN(_xlpm.prices), ""))</f>
        <v>40</v>
      </c>
      <c r="P407">
        <f>IF(Greenleaf[[#This Row],[Shipment Status]]="Returned",1,0)</f>
        <v>0</v>
      </c>
      <c r="Q407">
        <f>IF(Greenleaf[[#This Row],[Shipment Status]]="Delivered",1,0)</f>
        <v>1</v>
      </c>
    </row>
    <row r="408" spans="1:17" x14ac:dyDescent="0.45">
      <c r="A408" t="s">
        <v>723</v>
      </c>
      <c r="B408">
        <v>45428</v>
      </c>
      <c r="C408" t="s">
        <v>16</v>
      </c>
      <c r="D408" t="s">
        <v>17</v>
      </c>
      <c r="E408">
        <v>2</v>
      </c>
      <c r="F408">
        <v>10</v>
      </c>
      <c r="G408">
        <v>2.6</v>
      </c>
      <c r="H408" t="s">
        <v>102</v>
      </c>
      <c r="I408" t="s">
        <v>97</v>
      </c>
      <c r="J408" t="s">
        <v>27</v>
      </c>
      <c r="K408" t="s">
        <v>43</v>
      </c>
      <c r="L408">
        <f t="shared" si="18"/>
        <v>20</v>
      </c>
      <c r="M408">
        <f t="shared" si="19"/>
        <v>5.2</v>
      </c>
      <c r="N408">
        <f t="shared" si="20"/>
        <v>14.8</v>
      </c>
      <c r="O408" cm="1">
        <f t="array" ref="O408">_xlfn.LET(_xlpm.cat, Greenleaf[[#This Row],[Product Category]], _xlpm.prices, _xlfn._xlws.FILTER(Greenleaf[Unit Price], (Greenleaf[Product Category]=_xlpm.cat)*(Greenleaf[Unit Price]&lt;&gt;"")), IFERROR(MEDIAN(_xlpm.prices), ""))</f>
        <v>10</v>
      </c>
      <c r="P408">
        <f>IF(Greenleaf[[#This Row],[Shipment Status]]="Returned",1,0)</f>
        <v>0</v>
      </c>
      <c r="Q408">
        <f>IF(Greenleaf[[#This Row],[Shipment Status]]="Delivered",1,0)</f>
        <v>1</v>
      </c>
    </row>
    <row r="409" spans="1:17" x14ac:dyDescent="0.45">
      <c r="A409" t="s">
        <v>724</v>
      </c>
      <c r="B409">
        <v>45428</v>
      </c>
      <c r="C409" t="s">
        <v>23</v>
      </c>
      <c r="D409" t="s">
        <v>24</v>
      </c>
      <c r="E409">
        <v>6</v>
      </c>
      <c r="F409">
        <v>25</v>
      </c>
      <c r="G409">
        <v>5.69</v>
      </c>
      <c r="H409" t="s">
        <v>51</v>
      </c>
      <c r="I409" t="s">
        <v>52</v>
      </c>
      <c r="J409" t="s">
        <v>27</v>
      </c>
      <c r="K409" t="s">
        <v>43</v>
      </c>
      <c r="L409">
        <f t="shared" si="18"/>
        <v>150</v>
      </c>
      <c r="M409">
        <f t="shared" si="19"/>
        <v>34.14</v>
      </c>
      <c r="N409">
        <f t="shared" si="20"/>
        <v>115.86</v>
      </c>
      <c r="O409" cm="1">
        <f t="array" ref="O409">_xlfn.LET(_xlpm.cat, Greenleaf[[#This Row],[Product Category]], _xlpm.prices, _xlfn._xlws.FILTER(Greenleaf[Unit Price], (Greenleaf[Product Category]=_xlpm.cat)*(Greenleaf[Unit Price]&lt;&gt;"")), IFERROR(MEDIAN(_xlpm.prices), ""))</f>
        <v>25</v>
      </c>
      <c r="P409">
        <f>IF(Greenleaf[[#This Row],[Shipment Status]]="Returned",1,0)</f>
        <v>0</v>
      </c>
      <c r="Q409">
        <f>IF(Greenleaf[[#This Row],[Shipment Status]]="Delivered",1,0)</f>
        <v>1</v>
      </c>
    </row>
    <row r="410" spans="1:17" x14ac:dyDescent="0.45">
      <c r="A410" t="s">
        <v>725</v>
      </c>
      <c r="B410">
        <v>45428</v>
      </c>
      <c r="C410" t="s">
        <v>23</v>
      </c>
      <c r="D410" t="s">
        <v>24</v>
      </c>
      <c r="E410">
        <v>10</v>
      </c>
      <c r="F410">
        <v>25</v>
      </c>
      <c r="G410">
        <v>9.11</v>
      </c>
      <c r="H410" t="s">
        <v>424</v>
      </c>
      <c r="I410" t="s">
        <v>192</v>
      </c>
      <c r="J410" t="s">
        <v>27</v>
      </c>
      <c r="K410" t="s">
        <v>28</v>
      </c>
      <c r="L410">
        <f t="shared" si="18"/>
        <v>250</v>
      </c>
      <c r="M410">
        <f t="shared" si="19"/>
        <v>91.1</v>
      </c>
      <c r="N410">
        <f t="shared" si="20"/>
        <v>158.9</v>
      </c>
      <c r="O410" cm="1">
        <f t="array" ref="O410">_xlfn.LET(_xlpm.cat, Greenleaf[[#This Row],[Product Category]], _xlpm.prices, _xlfn._xlws.FILTER(Greenleaf[Unit Price], (Greenleaf[Product Category]=_xlpm.cat)*(Greenleaf[Unit Price]&lt;&gt;"")), IFERROR(MEDIAN(_xlpm.prices), ""))</f>
        <v>25</v>
      </c>
      <c r="P410">
        <f>IF(Greenleaf[[#This Row],[Shipment Status]]="Returned",1,0)</f>
        <v>0</v>
      </c>
      <c r="Q410">
        <f>IF(Greenleaf[[#This Row],[Shipment Status]]="Delivered",1,0)</f>
        <v>1</v>
      </c>
    </row>
    <row r="411" spans="1:17" x14ac:dyDescent="0.45">
      <c r="A411" t="s">
        <v>726</v>
      </c>
      <c r="B411">
        <v>45429</v>
      </c>
      <c r="C411" t="s">
        <v>30</v>
      </c>
      <c r="D411" t="s">
        <v>31</v>
      </c>
      <c r="E411">
        <v>8</v>
      </c>
      <c r="F411">
        <v>40</v>
      </c>
      <c r="G411">
        <v>14.14</v>
      </c>
      <c r="H411" t="s">
        <v>378</v>
      </c>
      <c r="I411" t="s">
        <v>379</v>
      </c>
      <c r="J411" t="s">
        <v>20</v>
      </c>
      <c r="K411" t="s">
        <v>38</v>
      </c>
      <c r="L411">
        <f t="shared" si="18"/>
        <v>320</v>
      </c>
      <c r="M411">
        <f t="shared" si="19"/>
        <v>113.12</v>
      </c>
      <c r="N411">
        <f t="shared" si="20"/>
        <v>206.88</v>
      </c>
      <c r="O411" cm="1">
        <f t="array" ref="O411">_xlfn.LET(_xlpm.cat, Greenleaf[[#This Row],[Product Category]], _xlpm.prices, _xlfn._xlws.FILTER(Greenleaf[Unit Price], (Greenleaf[Product Category]=_xlpm.cat)*(Greenleaf[Unit Price]&lt;&gt;"")), IFERROR(MEDIAN(_xlpm.prices), ""))</f>
        <v>40</v>
      </c>
      <c r="P411">
        <f>IF(Greenleaf[[#This Row],[Shipment Status]]="Returned",1,0)</f>
        <v>0</v>
      </c>
      <c r="Q411">
        <f>IF(Greenleaf[[#This Row],[Shipment Status]]="Delivered",1,0)</f>
        <v>0</v>
      </c>
    </row>
    <row r="412" spans="1:17" x14ac:dyDescent="0.45">
      <c r="A412" t="s">
        <v>727</v>
      </c>
      <c r="B412">
        <v>45430</v>
      </c>
      <c r="C412" t="s">
        <v>16</v>
      </c>
      <c r="D412" t="s">
        <v>17</v>
      </c>
      <c r="E412">
        <v>8</v>
      </c>
      <c r="F412">
        <v>10</v>
      </c>
      <c r="G412">
        <v>3.2</v>
      </c>
      <c r="H412" t="s">
        <v>191</v>
      </c>
      <c r="I412" t="s">
        <v>192</v>
      </c>
      <c r="J412" t="s">
        <v>42</v>
      </c>
      <c r="K412" t="s">
        <v>56</v>
      </c>
      <c r="L412">
        <f t="shared" si="18"/>
        <v>80</v>
      </c>
      <c r="M412">
        <f t="shared" si="19"/>
        <v>25.6</v>
      </c>
      <c r="N412">
        <f t="shared" si="20"/>
        <v>54.4</v>
      </c>
      <c r="O412" cm="1">
        <f t="array" ref="O412">_xlfn.LET(_xlpm.cat, Greenleaf[[#This Row],[Product Category]], _xlpm.prices, _xlfn._xlws.FILTER(Greenleaf[Unit Price], (Greenleaf[Product Category]=_xlpm.cat)*(Greenleaf[Unit Price]&lt;&gt;"")), IFERROR(MEDIAN(_xlpm.prices), ""))</f>
        <v>10</v>
      </c>
      <c r="P412">
        <f>IF(Greenleaf[[#This Row],[Shipment Status]]="Returned",1,0)</f>
        <v>1</v>
      </c>
      <c r="Q412">
        <f>IF(Greenleaf[[#This Row],[Shipment Status]]="Delivered",1,0)</f>
        <v>0</v>
      </c>
    </row>
    <row r="413" spans="1:17" x14ac:dyDescent="0.45">
      <c r="A413" t="s">
        <v>728</v>
      </c>
      <c r="B413">
        <v>45430</v>
      </c>
      <c r="C413" t="s">
        <v>49</v>
      </c>
      <c r="D413" t="s">
        <v>50</v>
      </c>
      <c r="E413">
        <v>8</v>
      </c>
      <c r="F413">
        <v>15</v>
      </c>
      <c r="G413">
        <v>5.1100000000000003</v>
      </c>
      <c r="H413" t="s">
        <v>612</v>
      </c>
      <c r="I413" t="s">
        <v>210</v>
      </c>
      <c r="J413" t="s">
        <v>20</v>
      </c>
      <c r="K413" t="s">
        <v>134</v>
      </c>
      <c r="L413">
        <f t="shared" si="18"/>
        <v>120</v>
      </c>
      <c r="M413">
        <f t="shared" si="19"/>
        <v>40.880000000000003</v>
      </c>
      <c r="N413">
        <f t="shared" si="20"/>
        <v>79.12</v>
      </c>
      <c r="O413" cm="1">
        <f t="array" ref="O413">_xlfn.LET(_xlpm.cat, Greenleaf[[#This Row],[Product Category]], _xlpm.prices, _xlfn._xlws.FILTER(Greenleaf[Unit Price], (Greenleaf[Product Category]=_xlpm.cat)*(Greenleaf[Unit Price]&lt;&gt;"")), IFERROR(MEDIAN(_xlpm.prices), ""))</f>
        <v>15</v>
      </c>
      <c r="P413">
        <f>IF(Greenleaf[[#This Row],[Shipment Status]]="Returned",1,0)</f>
        <v>0</v>
      </c>
      <c r="Q413">
        <f>IF(Greenleaf[[#This Row],[Shipment Status]]="Delivered",1,0)</f>
        <v>0</v>
      </c>
    </row>
    <row r="414" spans="1:17" x14ac:dyDescent="0.45">
      <c r="A414" t="s">
        <v>729</v>
      </c>
      <c r="B414">
        <v>45430</v>
      </c>
      <c r="C414" t="s">
        <v>49</v>
      </c>
      <c r="D414" t="s">
        <v>50</v>
      </c>
      <c r="E414">
        <v>1</v>
      </c>
      <c r="F414">
        <v>15</v>
      </c>
      <c r="G414">
        <v>3.13</v>
      </c>
      <c r="H414" t="s">
        <v>194</v>
      </c>
      <c r="I414" t="s">
        <v>195</v>
      </c>
      <c r="J414" t="s">
        <v>27</v>
      </c>
      <c r="K414" t="s">
        <v>43</v>
      </c>
      <c r="L414">
        <f t="shared" si="18"/>
        <v>15</v>
      </c>
      <c r="M414">
        <f t="shared" si="19"/>
        <v>3.13</v>
      </c>
      <c r="N414">
        <f t="shared" si="20"/>
        <v>11.870000000000001</v>
      </c>
      <c r="O414" cm="1">
        <f t="array" ref="O414">_xlfn.LET(_xlpm.cat, Greenleaf[[#This Row],[Product Category]], _xlpm.prices, _xlfn._xlws.FILTER(Greenleaf[Unit Price], (Greenleaf[Product Category]=_xlpm.cat)*(Greenleaf[Unit Price]&lt;&gt;"")), IFERROR(MEDIAN(_xlpm.prices), ""))</f>
        <v>15</v>
      </c>
      <c r="P414">
        <f>IF(Greenleaf[[#This Row],[Shipment Status]]="Returned",1,0)</f>
        <v>0</v>
      </c>
      <c r="Q414">
        <f>IF(Greenleaf[[#This Row],[Shipment Status]]="Delivered",1,0)</f>
        <v>1</v>
      </c>
    </row>
    <row r="415" spans="1:17" x14ac:dyDescent="0.45">
      <c r="A415" t="s">
        <v>730</v>
      </c>
      <c r="B415">
        <v>45430</v>
      </c>
      <c r="C415" t="s">
        <v>23</v>
      </c>
      <c r="D415" t="s">
        <v>24</v>
      </c>
      <c r="E415">
        <v>3</v>
      </c>
      <c r="F415">
        <v>25</v>
      </c>
      <c r="G415">
        <v>5.8</v>
      </c>
      <c r="H415" t="s">
        <v>731</v>
      </c>
      <c r="I415" t="s">
        <v>732</v>
      </c>
      <c r="J415" t="s">
        <v>27</v>
      </c>
      <c r="K415" t="s">
        <v>74</v>
      </c>
      <c r="L415">
        <f t="shared" si="18"/>
        <v>75</v>
      </c>
      <c r="M415">
        <f t="shared" si="19"/>
        <v>17.399999999999999</v>
      </c>
      <c r="N415">
        <f t="shared" si="20"/>
        <v>57.6</v>
      </c>
      <c r="O415" cm="1">
        <f t="array" ref="O415">_xlfn.LET(_xlpm.cat, Greenleaf[[#This Row],[Product Category]], _xlpm.prices, _xlfn._xlws.FILTER(Greenleaf[Unit Price], (Greenleaf[Product Category]=_xlpm.cat)*(Greenleaf[Unit Price]&lt;&gt;"")), IFERROR(MEDIAN(_xlpm.prices), ""))</f>
        <v>25</v>
      </c>
      <c r="P415">
        <f>IF(Greenleaf[[#This Row],[Shipment Status]]="Returned",1,0)</f>
        <v>0</v>
      </c>
      <c r="Q415">
        <f>IF(Greenleaf[[#This Row],[Shipment Status]]="Delivered",1,0)</f>
        <v>1</v>
      </c>
    </row>
    <row r="416" spans="1:17" x14ac:dyDescent="0.45">
      <c r="A416" t="s">
        <v>733</v>
      </c>
      <c r="B416">
        <v>45430</v>
      </c>
      <c r="C416" t="s">
        <v>16</v>
      </c>
      <c r="D416" t="s">
        <v>17</v>
      </c>
      <c r="E416">
        <v>10</v>
      </c>
      <c r="F416">
        <v>10</v>
      </c>
      <c r="G416">
        <v>3.45</v>
      </c>
      <c r="H416" t="s">
        <v>734</v>
      </c>
      <c r="I416" t="s">
        <v>663</v>
      </c>
      <c r="J416" t="s">
        <v>27</v>
      </c>
      <c r="K416" t="s">
        <v>59</v>
      </c>
      <c r="L416">
        <f t="shared" si="18"/>
        <v>100</v>
      </c>
      <c r="M416">
        <f t="shared" si="19"/>
        <v>34.5</v>
      </c>
      <c r="N416">
        <f t="shared" si="20"/>
        <v>65.5</v>
      </c>
      <c r="O416" cm="1">
        <f t="array" ref="O416">_xlfn.LET(_xlpm.cat, Greenleaf[[#This Row],[Product Category]], _xlpm.prices, _xlfn._xlws.FILTER(Greenleaf[Unit Price], (Greenleaf[Product Category]=_xlpm.cat)*(Greenleaf[Unit Price]&lt;&gt;"")), IFERROR(MEDIAN(_xlpm.prices), ""))</f>
        <v>10</v>
      </c>
      <c r="P416">
        <f>IF(Greenleaf[[#This Row],[Shipment Status]]="Returned",1,0)</f>
        <v>0</v>
      </c>
      <c r="Q416">
        <f>IF(Greenleaf[[#This Row],[Shipment Status]]="Delivered",1,0)</f>
        <v>1</v>
      </c>
    </row>
    <row r="417" spans="1:17" x14ac:dyDescent="0.45">
      <c r="A417" t="s">
        <v>735</v>
      </c>
      <c r="B417">
        <v>45431</v>
      </c>
      <c r="C417" t="s">
        <v>30</v>
      </c>
      <c r="D417" t="s">
        <v>31</v>
      </c>
      <c r="E417">
        <v>8</v>
      </c>
      <c r="F417">
        <v>40</v>
      </c>
      <c r="G417">
        <v>11.29</v>
      </c>
      <c r="H417" t="s">
        <v>82</v>
      </c>
      <c r="I417" t="s">
        <v>83</v>
      </c>
      <c r="J417" t="s">
        <v>47</v>
      </c>
      <c r="K417" t="s">
        <v>70</v>
      </c>
      <c r="L417">
        <f t="shared" si="18"/>
        <v>320</v>
      </c>
      <c r="M417">
        <f t="shared" si="19"/>
        <v>90.32</v>
      </c>
      <c r="N417">
        <f t="shared" si="20"/>
        <v>229.68</v>
      </c>
      <c r="O417" cm="1">
        <f t="array" ref="O417">_xlfn.LET(_xlpm.cat, Greenleaf[[#This Row],[Product Category]], _xlpm.prices, _xlfn._xlws.FILTER(Greenleaf[Unit Price], (Greenleaf[Product Category]=_xlpm.cat)*(Greenleaf[Unit Price]&lt;&gt;"")), IFERROR(MEDIAN(_xlpm.prices), ""))</f>
        <v>40</v>
      </c>
      <c r="P417">
        <f>IF(Greenleaf[[#This Row],[Shipment Status]]="Returned",1,0)</f>
        <v>0</v>
      </c>
      <c r="Q417">
        <f>IF(Greenleaf[[#This Row],[Shipment Status]]="Delivered",1,0)</f>
        <v>0</v>
      </c>
    </row>
    <row r="418" spans="1:17" x14ac:dyDescent="0.45">
      <c r="A418" t="s">
        <v>736</v>
      </c>
      <c r="B418">
        <v>45431</v>
      </c>
      <c r="C418" t="s">
        <v>66</v>
      </c>
      <c r="D418" t="s">
        <v>67</v>
      </c>
      <c r="E418">
        <v>6</v>
      </c>
      <c r="F418">
        <v>12</v>
      </c>
      <c r="G418">
        <v>3.5</v>
      </c>
      <c r="H418" t="s">
        <v>428</v>
      </c>
      <c r="I418" t="s">
        <v>429</v>
      </c>
      <c r="J418" t="s">
        <v>27</v>
      </c>
      <c r="K418" t="s">
        <v>56</v>
      </c>
      <c r="L418">
        <f t="shared" si="18"/>
        <v>72</v>
      </c>
      <c r="M418">
        <f t="shared" si="19"/>
        <v>21</v>
      </c>
      <c r="N418">
        <f t="shared" si="20"/>
        <v>51</v>
      </c>
      <c r="O418" cm="1">
        <f t="array" ref="O418">_xlfn.LET(_xlpm.cat, Greenleaf[[#This Row],[Product Category]], _xlpm.prices, _xlfn._xlws.FILTER(Greenleaf[Unit Price], (Greenleaf[Product Category]=_xlpm.cat)*(Greenleaf[Unit Price]&lt;&gt;"")), IFERROR(MEDIAN(_xlpm.prices), ""))</f>
        <v>12</v>
      </c>
      <c r="P418">
        <f>IF(Greenleaf[[#This Row],[Shipment Status]]="Returned",1,0)</f>
        <v>0</v>
      </c>
      <c r="Q418">
        <f>IF(Greenleaf[[#This Row],[Shipment Status]]="Delivered",1,0)</f>
        <v>1</v>
      </c>
    </row>
    <row r="419" spans="1:17" x14ac:dyDescent="0.45">
      <c r="A419" t="s">
        <v>737</v>
      </c>
      <c r="B419">
        <v>45431</v>
      </c>
      <c r="C419" t="s">
        <v>49</v>
      </c>
      <c r="D419" t="s">
        <v>50</v>
      </c>
      <c r="E419">
        <v>8</v>
      </c>
      <c r="F419">
        <v>15</v>
      </c>
      <c r="G419">
        <v>5.56</v>
      </c>
      <c r="H419" t="s">
        <v>216</v>
      </c>
      <c r="I419" t="s">
        <v>217</v>
      </c>
      <c r="J419" t="s">
        <v>20</v>
      </c>
      <c r="K419" t="s">
        <v>56</v>
      </c>
      <c r="L419">
        <f t="shared" si="18"/>
        <v>120</v>
      </c>
      <c r="M419">
        <f t="shared" si="19"/>
        <v>44.48</v>
      </c>
      <c r="N419">
        <f t="shared" si="20"/>
        <v>75.52000000000001</v>
      </c>
      <c r="O419" cm="1">
        <f t="array" ref="O419">_xlfn.LET(_xlpm.cat, Greenleaf[[#This Row],[Product Category]], _xlpm.prices, _xlfn._xlws.FILTER(Greenleaf[Unit Price], (Greenleaf[Product Category]=_xlpm.cat)*(Greenleaf[Unit Price]&lt;&gt;"")), IFERROR(MEDIAN(_xlpm.prices), ""))</f>
        <v>15</v>
      </c>
      <c r="P419">
        <f>IF(Greenleaf[[#This Row],[Shipment Status]]="Returned",1,0)</f>
        <v>0</v>
      </c>
      <c r="Q419">
        <f>IF(Greenleaf[[#This Row],[Shipment Status]]="Delivered",1,0)</f>
        <v>0</v>
      </c>
    </row>
    <row r="420" spans="1:17" x14ac:dyDescent="0.45">
      <c r="A420" t="s">
        <v>738</v>
      </c>
      <c r="B420">
        <v>45431</v>
      </c>
      <c r="C420" t="s">
        <v>66</v>
      </c>
      <c r="D420" t="s">
        <v>67</v>
      </c>
      <c r="E420">
        <v>3</v>
      </c>
      <c r="F420">
        <v>12</v>
      </c>
      <c r="G420">
        <v>3.51</v>
      </c>
      <c r="H420" t="s">
        <v>476</v>
      </c>
      <c r="I420" t="s">
        <v>477</v>
      </c>
      <c r="J420" t="s">
        <v>27</v>
      </c>
      <c r="K420" t="s">
        <v>43</v>
      </c>
      <c r="L420">
        <f t="shared" si="18"/>
        <v>36</v>
      </c>
      <c r="M420">
        <f t="shared" si="19"/>
        <v>10.53</v>
      </c>
      <c r="N420">
        <f t="shared" si="20"/>
        <v>25.47</v>
      </c>
      <c r="O420" cm="1">
        <f t="array" ref="O420">_xlfn.LET(_xlpm.cat, Greenleaf[[#This Row],[Product Category]], _xlpm.prices, _xlfn._xlws.FILTER(Greenleaf[Unit Price], (Greenleaf[Product Category]=_xlpm.cat)*(Greenleaf[Unit Price]&lt;&gt;"")), IFERROR(MEDIAN(_xlpm.prices), ""))</f>
        <v>12</v>
      </c>
      <c r="P420">
        <f>IF(Greenleaf[[#This Row],[Shipment Status]]="Returned",1,0)</f>
        <v>0</v>
      </c>
      <c r="Q420">
        <f>IF(Greenleaf[[#This Row],[Shipment Status]]="Delivered",1,0)</f>
        <v>1</v>
      </c>
    </row>
    <row r="421" spans="1:17" x14ac:dyDescent="0.45">
      <c r="A421" t="s">
        <v>739</v>
      </c>
      <c r="B421">
        <v>45431</v>
      </c>
      <c r="C421" t="s">
        <v>23</v>
      </c>
      <c r="D421" t="s">
        <v>24</v>
      </c>
      <c r="E421">
        <v>6</v>
      </c>
      <c r="F421">
        <v>25</v>
      </c>
      <c r="G421">
        <v>6.75</v>
      </c>
      <c r="H421" t="s">
        <v>96</v>
      </c>
      <c r="I421" t="s">
        <v>97</v>
      </c>
      <c r="J421" t="s">
        <v>20</v>
      </c>
      <c r="K421" t="s">
        <v>59</v>
      </c>
      <c r="L421">
        <f t="shared" si="18"/>
        <v>150</v>
      </c>
      <c r="M421">
        <f t="shared" si="19"/>
        <v>40.5</v>
      </c>
      <c r="N421">
        <f t="shared" si="20"/>
        <v>109.5</v>
      </c>
      <c r="O421" cm="1">
        <f t="array" ref="O421">_xlfn.LET(_xlpm.cat, Greenleaf[[#This Row],[Product Category]], _xlpm.prices, _xlfn._xlws.FILTER(Greenleaf[Unit Price], (Greenleaf[Product Category]=_xlpm.cat)*(Greenleaf[Unit Price]&lt;&gt;"")), IFERROR(MEDIAN(_xlpm.prices), ""))</f>
        <v>25</v>
      </c>
      <c r="P421">
        <f>IF(Greenleaf[[#This Row],[Shipment Status]]="Returned",1,0)</f>
        <v>0</v>
      </c>
      <c r="Q421">
        <f>IF(Greenleaf[[#This Row],[Shipment Status]]="Delivered",1,0)</f>
        <v>0</v>
      </c>
    </row>
    <row r="422" spans="1:17" x14ac:dyDescent="0.45">
      <c r="A422" t="s">
        <v>740</v>
      </c>
      <c r="B422">
        <v>45432</v>
      </c>
      <c r="C422" t="s">
        <v>66</v>
      </c>
      <c r="D422" t="s">
        <v>67</v>
      </c>
      <c r="E422">
        <v>1</v>
      </c>
      <c r="F422">
        <v>12</v>
      </c>
      <c r="G422">
        <v>4</v>
      </c>
      <c r="H422" t="s">
        <v>72</v>
      </c>
      <c r="I422" t="s">
        <v>73</v>
      </c>
      <c r="J422" t="s">
        <v>20</v>
      </c>
      <c r="K422" t="s">
        <v>59</v>
      </c>
      <c r="L422">
        <f t="shared" si="18"/>
        <v>12</v>
      </c>
      <c r="M422">
        <f t="shared" si="19"/>
        <v>4</v>
      </c>
      <c r="N422">
        <f t="shared" si="20"/>
        <v>8</v>
      </c>
      <c r="O422" cm="1">
        <f t="array" ref="O422">_xlfn.LET(_xlpm.cat, Greenleaf[[#This Row],[Product Category]], _xlpm.prices, _xlfn._xlws.FILTER(Greenleaf[Unit Price], (Greenleaf[Product Category]=_xlpm.cat)*(Greenleaf[Unit Price]&lt;&gt;"")), IFERROR(MEDIAN(_xlpm.prices), ""))</f>
        <v>12</v>
      </c>
      <c r="P422">
        <f>IF(Greenleaf[[#This Row],[Shipment Status]]="Returned",1,0)</f>
        <v>0</v>
      </c>
      <c r="Q422">
        <f>IF(Greenleaf[[#This Row],[Shipment Status]]="Delivered",1,0)</f>
        <v>0</v>
      </c>
    </row>
    <row r="423" spans="1:17" x14ac:dyDescent="0.45">
      <c r="A423" t="s">
        <v>741</v>
      </c>
      <c r="B423">
        <v>45433</v>
      </c>
      <c r="C423" t="s">
        <v>30</v>
      </c>
      <c r="D423" t="s">
        <v>31</v>
      </c>
      <c r="E423">
        <v>7</v>
      </c>
      <c r="F423">
        <v>40</v>
      </c>
      <c r="G423">
        <v>14.84</v>
      </c>
      <c r="H423" t="s">
        <v>373</v>
      </c>
      <c r="I423" t="s">
        <v>374</v>
      </c>
      <c r="J423" t="s">
        <v>27</v>
      </c>
      <c r="K423" t="s">
        <v>70</v>
      </c>
      <c r="L423">
        <f t="shared" si="18"/>
        <v>280</v>
      </c>
      <c r="M423">
        <f t="shared" si="19"/>
        <v>103.88</v>
      </c>
      <c r="N423">
        <f t="shared" si="20"/>
        <v>176.12</v>
      </c>
      <c r="O423" cm="1">
        <f t="array" ref="O423">_xlfn.LET(_xlpm.cat, Greenleaf[[#This Row],[Product Category]], _xlpm.prices, _xlfn._xlws.FILTER(Greenleaf[Unit Price], (Greenleaf[Product Category]=_xlpm.cat)*(Greenleaf[Unit Price]&lt;&gt;"")), IFERROR(MEDIAN(_xlpm.prices), ""))</f>
        <v>40</v>
      </c>
      <c r="P423">
        <f>IF(Greenleaf[[#This Row],[Shipment Status]]="Returned",1,0)</f>
        <v>0</v>
      </c>
      <c r="Q423">
        <f>IF(Greenleaf[[#This Row],[Shipment Status]]="Delivered",1,0)</f>
        <v>1</v>
      </c>
    </row>
    <row r="424" spans="1:17" x14ac:dyDescent="0.45">
      <c r="A424" t="s">
        <v>742</v>
      </c>
      <c r="B424">
        <v>45433</v>
      </c>
      <c r="C424" t="s">
        <v>30</v>
      </c>
      <c r="D424" t="s">
        <v>31</v>
      </c>
      <c r="E424">
        <v>5</v>
      </c>
      <c r="F424">
        <v>40</v>
      </c>
      <c r="G424">
        <v>10.58</v>
      </c>
      <c r="H424" t="s">
        <v>743</v>
      </c>
      <c r="I424" t="s">
        <v>69</v>
      </c>
      <c r="J424" t="s">
        <v>27</v>
      </c>
      <c r="K424" t="s">
        <v>43</v>
      </c>
      <c r="L424">
        <f t="shared" si="18"/>
        <v>200</v>
      </c>
      <c r="M424">
        <f t="shared" si="19"/>
        <v>52.9</v>
      </c>
      <c r="N424">
        <f t="shared" si="20"/>
        <v>147.1</v>
      </c>
      <c r="O424" cm="1">
        <f t="array" ref="O424">_xlfn.LET(_xlpm.cat, Greenleaf[[#This Row],[Product Category]], _xlpm.prices, _xlfn._xlws.FILTER(Greenleaf[Unit Price], (Greenleaf[Product Category]=_xlpm.cat)*(Greenleaf[Unit Price]&lt;&gt;"")), IFERROR(MEDIAN(_xlpm.prices), ""))</f>
        <v>40</v>
      </c>
      <c r="P424">
        <f>IF(Greenleaf[[#This Row],[Shipment Status]]="Returned",1,0)</f>
        <v>0</v>
      </c>
      <c r="Q424">
        <f>IF(Greenleaf[[#This Row],[Shipment Status]]="Delivered",1,0)</f>
        <v>1</v>
      </c>
    </row>
    <row r="425" spans="1:17" x14ac:dyDescent="0.45">
      <c r="A425" t="s">
        <v>744</v>
      </c>
      <c r="B425">
        <v>45433</v>
      </c>
      <c r="C425" t="s">
        <v>49</v>
      </c>
      <c r="D425" t="s">
        <v>50</v>
      </c>
      <c r="E425">
        <v>9</v>
      </c>
      <c r="F425">
        <v>15</v>
      </c>
      <c r="G425">
        <v>5.77</v>
      </c>
      <c r="H425" t="s">
        <v>216</v>
      </c>
      <c r="I425" t="s">
        <v>217</v>
      </c>
      <c r="J425" t="s">
        <v>27</v>
      </c>
      <c r="K425" t="s">
        <v>21</v>
      </c>
      <c r="L425">
        <f t="shared" si="18"/>
        <v>135</v>
      </c>
      <c r="M425">
        <f t="shared" si="19"/>
        <v>51.929999999999993</v>
      </c>
      <c r="N425">
        <f t="shared" si="20"/>
        <v>83.070000000000007</v>
      </c>
      <c r="O425" cm="1">
        <f t="array" ref="O425">_xlfn.LET(_xlpm.cat, Greenleaf[[#This Row],[Product Category]], _xlpm.prices, _xlfn._xlws.FILTER(Greenleaf[Unit Price], (Greenleaf[Product Category]=_xlpm.cat)*(Greenleaf[Unit Price]&lt;&gt;"")), IFERROR(MEDIAN(_xlpm.prices), ""))</f>
        <v>15</v>
      </c>
      <c r="P425">
        <f>IF(Greenleaf[[#This Row],[Shipment Status]]="Returned",1,0)</f>
        <v>0</v>
      </c>
      <c r="Q425">
        <f>IF(Greenleaf[[#This Row],[Shipment Status]]="Delivered",1,0)</f>
        <v>1</v>
      </c>
    </row>
    <row r="426" spans="1:17" x14ac:dyDescent="0.45">
      <c r="A426" t="s">
        <v>745</v>
      </c>
      <c r="B426">
        <v>45434</v>
      </c>
      <c r="C426" t="s">
        <v>49</v>
      </c>
      <c r="D426" t="s">
        <v>50</v>
      </c>
      <c r="E426">
        <v>5</v>
      </c>
      <c r="F426">
        <v>15</v>
      </c>
      <c r="G426">
        <v>5.92</v>
      </c>
      <c r="H426" t="s">
        <v>510</v>
      </c>
      <c r="I426" t="s">
        <v>511</v>
      </c>
      <c r="J426" t="s">
        <v>27</v>
      </c>
      <c r="K426" t="s">
        <v>74</v>
      </c>
      <c r="L426">
        <f t="shared" si="18"/>
        <v>75</v>
      </c>
      <c r="M426">
        <f t="shared" si="19"/>
        <v>29.6</v>
      </c>
      <c r="N426">
        <f t="shared" si="20"/>
        <v>45.4</v>
      </c>
      <c r="O426" cm="1">
        <f t="array" ref="O426">_xlfn.LET(_xlpm.cat, Greenleaf[[#This Row],[Product Category]], _xlpm.prices, _xlfn._xlws.FILTER(Greenleaf[Unit Price], (Greenleaf[Product Category]=_xlpm.cat)*(Greenleaf[Unit Price]&lt;&gt;"")), IFERROR(MEDIAN(_xlpm.prices), ""))</f>
        <v>15</v>
      </c>
      <c r="P426">
        <f>IF(Greenleaf[[#This Row],[Shipment Status]]="Returned",1,0)</f>
        <v>0</v>
      </c>
      <c r="Q426">
        <f>IF(Greenleaf[[#This Row],[Shipment Status]]="Delivered",1,0)</f>
        <v>1</v>
      </c>
    </row>
    <row r="427" spans="1:17" x14ac:dyDescent="0.45">
      <c r="A427" t="s">
        <v>746</v>
      </c>
      <c r="B427">
        <v>45435</v>
      </c>
      <c r="C427" t="s">
        <v>30</v>
      </c>
      <c r="D427" t="s">
        <v>31</v>
      </c>
      <c r="E427">
        <v>9</v>
      </c>
      <c r="F427">
        <v>40</v>
      </c>
      <c r="G427">
        <v>10.53</v>
      </c>
      <c r="H427" t="s">
        <v>439</v>
      </c>
      <c r="I427" t="s">
        <v>440</v>
      </c>
      <c r="J427" t="s">
        <v>20</v>
      </c>
      <c r="K427" t="s">
        <v>21</v>
      </c>
      <c r="L427">
        <f t="shared" si="18"/>
        <v>360</v>
      </c>
      <c r="M427">
        <f t="shared" si="19"/>
        <v>94.77</v>
      </c>
      <c r="N427">
        <f t="shared" si="20"/>
        <v>265.23</v>
      </c>
      <c r="O427" cm="1">
        <f t="array" ref="O427">_xlfn.LET(_xlpm.cat, Greenleaf[[#This Row],[Product Category]], _xlpm.prices, _xlfn._xlws.FILTER(Greenleaf[Unit Price], (Greenleaf[Product Category]=_xlpm.cat)*(Greenleaf[Unit Price]&lt;&gt;"")), IFERROR(MEDIAN(_xlpm.prices), ""))</f>
        <v>40</v>
      </c>
      <c r="P427">
        <f>IF(Greenleaf[[#This Row],[Shipment Status]]="Returned",1,0)</f>
        <v>0</v>
      </c>
      <c r="Q427">
        <f>IF(Greenleaf[[#This Row],[Shipment Status]]="Delivered",1,0)</f>
        <v>0</v>
      </c>
    </row>
    <row r="428" spans="1:17" x14ac:dyDescent="0.45">
      <c r="A428" t="s">
        <v>747</v>
      </c>
      <c r="B428">
        <v>45435</v>
      </c>
      <c r="C428" t="s">
        <v>49</v>
      </c>
      <c r="D428" t="s">
        <v>50</v>
      </c>
      <c r="E428">
        <v>10</v>
      </c>
      <c r="F428">
        <v>15</v>
      </c>
      <c r="G428">
        <v>3.43</v>
      </c>
      <c r="H428" t="s">
        <v>748</v>
      </c>
      <c r="I428" t="s">
        <v>749</v>
      </c>
      <c r="J428" t="s">
        <v>27</v>
      </c>
      <c r="K428" t="s">
        <v>43</v>
      </c>
      <c r="L428">
        <f t="shared" si="18"/>
        <v>150</v>
      </c>
      <c r="M428">
        <f t="shared" si="19"/>
        <v>34.300000000000004</v>
      </c>
      <c r="N428">
        <f t="shared" si="20"/>
        <v>115.69999999999999</v>
      </c>
      <c r="O428" cm="1">
        <f t="array" ref="O428">_xlfn.LET(_xlpm.cat, Greenleaf[[#This Row],[Product Category]], _xlpm.prices, _xlfn._xlws.FILTER(Greenleaf[Unit Price], (Greenleaf[Product Category]=_xlpm.cat)*(Greenleaf[Unit Price]&lt;&gt;"")), IFERROR(MEDIAN(_xlpm.prices), ""))</f>
        <v>15</v>
      </c>
      <c r="P428">
        <f>IF(Greenleaf[[#This Row],[Shipment Status]]="Returned",1,0)</f>
        <v>0</v>
      </c>
      <c r="Q428">
        <f>IF(Greenleaf[[#This Row],[Shipment Status]]="Delivered",1,0)</f>
        <v>1</v>
      </c>
    </row>
    <row r="429" spans="1:17" x14ac:dyDescent="0.45">
      <c r="A429" t="s">
        <v>750</v>
      </c>
      <c r="B429">
        <v>45435</v>
      </c>
      <c r="C429" t="s">
        <v>30</v>
      </c>
      <c r="D429" t="s">
        <v>31</v>
      </c>
      <c r="E429">
        <v>1</v>
      </c>
      <c r="F429">
        <v>40</v>
      </c>
      <c r="G429">
        <v>12.59</v>
      </c>
      <c r="H429" t="s">
        <v>457</v>
      </c>
      <c r="I429" t="s">
        <v>458</v>
      </c>
      <c r="J429" t="s">
        <v>27</v>
      </c>
      <c r="K429" t="s">
        <v>59</v>
      </c>
      <c r="L429">
        <f t="shared" si="18"/>
        <v>40</v>
      </c>
      <c r="M429">
        <f t="shared" si="19"/>
        <v>12.59</v>
      </c>
      <c r="N429">
        <f t="shared" si="20"/>
        <v>27.41</v>
      </c>
      <c r="O429" cm="1">
        <f t="array" ref="O429">_xlfn.LET(_xlpm.cat, Greenleaf[[#This Row],[Product Category]], _xlpm.prices, _xlfn._xlws.FILTER(Greenleaf[Unit Price], (Greenleaf[Product Category]=_xlpm.cat)*(Greenleaf[Unit Price]&lt;&gt;"")), IFERROR(MEDIAN(_xlpm.prices), ""))</f>
        <v>40</v>
      </c>
      <c r="P429">
        <f>IF(Greenleaf[[#This Row],[Shipment Status]]="Returned",1,0)</f>
        <v>0</v>
      </c>
      <c r="Q429">
        <f>IF(Greenleaf[[#This Row],[Shipment Status]]="Delivered",1,0)</f>
        <v>1</v>
      </c>
    </row>
    <row r="430" spans="1:17" x14ac:dyDescent="0.45">
      <c r="A430" t="s">
        <v>751</v>
      </c>
      <c r="B430">
        <v>45435</v>
      </c>
      <c r="C430" t="s">
        <v>66</v>
      </c>
      <c r="D430" t="s">
        <v>67</v>
      </c>
      <c r="E430">
        <v>3</v>
      </c>
      <c r="F430">
        <v>12</v>
      </c>
      <c r="G430">
        <v>3.18</v>
      </c>
      <c r="H430" t="s">
        <v>344</v>
      </c>
      <c r="I430" t="s">
        <v>277</v>
      </c>
      <c r="J430" t="s">
        <v>27</v>
      </c>
      <c r="K430" t="s">
        <v>34</v>
      </c>
      <c r="L430">
        <f t="shared" si="18"/>
        <v>36</v>
      </c>
      <c r="M430">
        <f t="shared" si="19"/>
        <v>9.5400000000000009</v>
      </c>
      <c r="N430">
        <f t="shared" si="20"/>
        <v>26.46</v>
      </c>
      <c r="O430" cm="1">
        <f t="array" ref="O430">_xlfn.LET(_xlpm.cat, Greenleaf[[#This Row],[Product Category]], _xlpm.prices, _xlfn._xlws.FILTER(Greenleaf[Unit Price], (Greenleaf[Product Category]=_xlpm.cat)*(Greenleaf[Unit Price]&lt;&gt;"")), IFERROR(MEDIAN(_xlpm.prices), ""))</f>
        <v>12</v>
      </c>
      <c r="P430">
        <f>IF(Greenleaf[[#This Row],[Shipment Status]]="Returned",1,0)</f>
        <v>0</v>
      </c>
      <c r="Q430">
        <f>IF(Greenleaf[[#This Row],[Shipment Status]]="Delivered",1,0)</f>
        <v>1</v>
      </c>
    </row>
    <row r="431" spans="1:17" x14ac:dyDescent="0.45">
      <c r="A431" t="s">
        <v>752</v>
      </c>
      <c r="B431">
        <v>45435</v>
      </c>
      <c r="C431" t="s">
        <v>30</v>
      </c>
      <c r="D431" t="s">
        <v>31</v>
      </c>
      <c r="E431">
        <v>9</v>
      </c>
      <c r="F431">
        <v>40</v>
      </c>
      <c r="G431">
        <v>8.0399999999999991</v>
      </c>
      <c r="H431" t="s">
        <v>517</v>
      </c>
      <c r="I431" t="s">
        <v>518</v>
      </c>
      <c r="J431" t="s">
        <v>47</v>
      </c>
      <c r="K431" t="s">
        <v>70</v>
      </c>
      <c r="L431">
        <f t="shared" si="18"/>
        <v>360</v>
      </c>
      <c r="M431">
        <f t="shared" si="19"/>
        <v>72.359999999999985</v>
      </c>
      <c r="N431">
        <f t="shared" si="20"/>
        <v>287.64</v>
      </c>
      <c r="O431" cm="1">
        <f t="array" ref="O431">_xlfn.LET(_xlpm.cat, Greenleaf[[#This Row],[Product Category]], _xlpm.prices, _xlfn._xlws.FILTER(Greenleaf[Unit Price], (Greenleaf[Product Category]=_xlpm.cat)*(Greenleaf[Unit Price]&lt;&gt;"")), IFERROR(MEDIAN(_xlpm.prices), ""))</f>
        <v>40</v>
      </c>
      <c r="P431">
        <f>IF(Greenleaf[[#This Row],[Shipment Status]]="Returned",1,0)</f>
        <v>0</v>
      </c>
      <c r="Q431">
        <f>IF(Greenleaf[[#This Row],[Shipment Status]]="Delivered",1,0)</f>
        <v>0</v>
      </c>
    </row>
    <row r="432" spans="1:17" x14ac:dyDescent="0.45">
      <c r="A432" t="s">
        <v>753</v>
      </c>
      <c r="B432">
        <v>45436</v>
      </c>
      <c r="C432" t="s">
        <v>23</v>
      </c>
      <c r="D432" t="s">
        <v>24</v>
      </c>
      <c r="E432">
        <v>6</v>
      </c>
      <c r="F432">
        <v>25</v>
      </c>
      <c r="G432">
        <v>6.37</v>
      </c>
      <c r="H432" t="s">
        <v>54</v>
      </c>
      <c r="I432" t="s">
        <v>55</v>
      </c>
      <c r="J432" t="s">
        <v>20</v>
      </c>
      <c r="K432" t="s">
        <v>28</v>
      </c>
      <c r="L432">
        <f t="shared" si="18"/>
        <v>150</v>
      </c>
      <c r="M432">
        <f t="shared" si="19"/>
        <v>38.22</v>
      </c>
      <c r="N432">
        <f t="shared" si="20"/>
        <v>111.78</v>
      </c>
      <c r="O432" cm="1">
        <f t="array" ref="O432">_xlfn.LET(_xlpm.cat, Greenleaf[[#This Row],[Product Category]], _xlpm.prices, _xlfn._xlws.FILTER(Greenleaf[Unit Price], (Greenleaf[Product Category]=_xlpm.cat)*(Greenleaf[Unit Price]&lt;&gt;"")), IFERROR(MEDIAN(_xlpm.prices), ""))</f>
        <v>25</v>
      </c>
      <c r="P432">
        <f>IF(Greenleaf[[#This Row],[Shipment Status]]="Returned",1,0)</f>
        <v>0</v>
      </c>
      <c r="Q432">
        <f>IF(Greenleaf[[#This Row],[Shipment Status]]="Delivered",1,0)</f>
        <v>0</v>
      </c>
    </row>
    <row r="433" spans="1:17" x14ac:dyDescent="0.45">
      <c r="A433" t="s">
        <v>754</v>
      </c>
      <c r="B433">
        <v>45436</v>
      </c>
      <c r="C433" t="s">
        <v>23</v>
      </c>
      <c r="D433" t="s">
        <v>24</v>
      </c>
      <c r="E433">
        <v>2</v>
      </c>
      <c r="F433">
        <v>25</v>
      </c>
      <c r="G433">
        <v>9.68</v>
      </c>
      <c r="H433" t="s">
        <v>734</v>
      </c>
      <c r="I433" t="s">
        <v>663</v>
      </c>
      <c r="J433" t="s">
        <v>20</v>
      </c>
      <c r="K433" t="s">
        <v>34</v>
      </c>
      <c r="L433">
        <f t="shared" si="18"/>
        <v>50</v>
      </c>
      <c r="M433">
        <f t="shared" si="19"/>
        <v>19.36</v>
      </c>
      <c r="N433">
        <f t="shared" si="20"/>
        <v>30.64</v>
      </c>
      <c r="O433" cm="1">
        <f t="array" ref="O433">_xlfn.LET(_xlpm.cat, Greenleaf[[#This Row],[Product Category]], _xlpm.prices, _xlfn._xlws.FILTER(Greenleaf[Unit Price], (Greenleaf[Product Category]=_xlpm.cat)*(Greenleaf[Unit Price]&lt;&gt;"")), IFERROR(MEDIAN(_xlpm.prices), ""))</f>
        <v>25</v>
      </c>
      <c r="P433">
        <f>IF(Greenleaf[[#This Row],[Shipment Status]]="Returned",1,0)</f>
        <v>0</v>
      </c>
      <c r="Q433">
        <f>IF(Greenleaf[[#This Row],[Shipment Status]]="Delivered",1,0)</f>
        <v>0</v>
      </c>
    </row>
    <row r="434" spans="1:17" x14ac:dyDescent="0.45">
      <c r="A434" t="s">
        <v>755</v>
      </c>
      <c r="B434">
        <v>45437</v>
      </c>
      <c r="C434" t="s">
        <v>23</v>
      </c>
      <c r="D434" t="s">
        <v>24</v>
      </c>
      <c r="E434">
        <v>4</v>
      </c>
      <c r="F434">
        <v>25</v>
      </c>
      <c r="G434">
        <v>6.63</v>
      </c>
      <c r="H434" t="s">
        <v>671</v>
      </c>
      <c r="I434" t="s">
        <v>672</v>
      </c>
      <c r="J434" t="s">
        <v>20</v>
      </c>
      <c r="K434" t="s">
        <v>43</v>
      </c>
      <c r="L434">
        <f t="shared" si="18"/>
        <v>100</v>
      </c>
      <c r="M434">
        <f t="shared" si="19"/>
        <v>26.52</v>
      </c>
      <c r="N434">
        <f t="shared" si="20"/>
        <v>73.48</v>
      </c>
      <c r="O434" cm="1">
        <f t="array" ref="O434">_xlfn.LET(_xlpm.cat, Greenleaf[[#This Row],[Product Category]], _xlpm.prices, _xlfn._xlws.FILTER(Greenleaf[Unit Price], (Greenleaf[Product Category]=_xlpm.cat)*(Greenleaf[Unit Price]&lt;&gt;"")), IFERROR(MEDIAN(_xlpm.prices), ""))</f>
        <v>25</v>
      </c>
      <c r="P434">
        <f>IF(Greenleaf[[#This Row],[Shipment Status]]="Returned",1,0)</f>
        <v>0</v>
      </c>
      <c r="Q434">
        <f>IF(Greenleaf[[#This Row],[Shipment Status]]="Delivered",1,0)</f>
        <v>0</v>
      </c>
    </row>
    <row r="435" spans="1:17" x14ac:dyDescent="0.45">
      <c r="A435" t="s">
        <v>756</v>
      </c>
      <c r="B435">
        <v>45437</v>
      </c>
      <c r="C435" t="s">
        <v>49</v>
      </c>
      <c r="D435" t="s">
        <v>50</v>
      </c>
      <c r="E435">
        <v>5</v>
      </c>
      <c r="F435">
        <v>15</v>
      </c>
      <c r="G435">
        <v>5.99</v>
      </c>
      <c r="H435" t="s">
        <v>565</v>
      </c>
      <c r="I435" t="s">
        <v>566</v>
      </c>
      <c r="J435" t="s">
        <v>27</v>
      </c>
      <c r="K435" t="s">
        <v>56</v>
      </c>
      <c r="L435">
        <f t="shared" si="18"/>
        <v>75</v>
      </c>
      <c r="M435">
        <f t="shared" si="19"/>
        <v>29.950000000000003</v>
      </c>
      <c r="N435">
        <f t="shared" si="20"/>
        <v>45.05</v>
      </c>
      <c r="O435" cm="1">
        <f t="array" ref="O435">_xlfn.LET(_xlpm.cat, Greenleaf[[#This Row],[Product Category]], _xlpm.prices, _xlfn._xlws.FILTER(Greenleaf[Unit Price], (Greenleaf[Product Category]=_xlpm.cat)*(Greenleaf[Unit Price]&lt;&gt;"")), IFERROR(MEDIAN(_xlpm.prices), ""))</f>
        <v>15</v>
      </c>
      <c r="P435">
        <f>IF(Greenleaf[[#This Row],[Shipment Status]]="Returned",1,0)</f>
        <v>0</v>
      </c>
      <c r="Q435">
        <f>IF(Greenleaf[[#This Row],[Shipment Status]]="Delivered",1,0)</f>
        <v>1</v>
      </c>
    </row>
    <row r="436" spans="1:17" x14ac:dyDescent="0.45">
      <c r="A436" t="s">
        <v>757</v>
      </c>
      <c r="B436">
        <v>45437</v>
      </c>
      <c r="C436" t="s">
        <v>49</v>
      </c>
      <c r="D436" t="s">
        <v>50</v>
      </c>
      <c r="E436">
        <v>8</v>
      </c>
      <c r="F436">
        <v>15</v>
      </c>
      <c r="G436">
        <v>4.1100000000000003</v>
      </c>
      <c r="H436" t="s">
        <v>127</v>
      </c>
      <c r="I436" t="s">
        <v>128</v>
      </c>
      <c r="J436" t="s">
        <v>42</v>
      </c>
      <c r="K436" t="s">
        <v>21</v>
      </c>
      <c r="L436">
        <f t="shared" si="18"/>
        <v>120</v>
      </c>
      <c r="M436">
        <f t="shared" si="19"/>
        <v>32.880000000000003</v>
      </c>
      <c r="N436">
        <f t="shared" si="20"/>
        <v>87.12</v>
      </c>
      <c r="O436" cm="1">
        <f t="array" ref="O436">_xlfn.LET(_xlpm.cat, Greenleaf[[#This Row],[Product Category]], _xlpm.prices, _xlfn._xlws.FILTER(Greenleaf[Unit Price], (Greenleaf[Product Category]=_xlpm.cat)*(Greenleaf[Unit Price]&lt;&gt;"")), IFERROR(MEDIAN(_xlpm.prices), ""))</f>
        <v>15</v>
      </c>
      <c r="P436">
        <f>IF(Greenleaf[[#This Row],[Shipment Status]]="Returned",1,0)</f>
        <v>1</v>
      </c>
      <c r="Q436">
        <f>IF(Greenleaf[[#This Row],[Shipment Status]]="Delivered",1,0)</f>
        <v>0</v>
      </c>
    </row>
    <row r="437" spans="1:17" x14ac:dyDescent="0.45">
      <c r="A437" t="s">
        <v>758</v>
      </c>
      <c r="B437">
        <v>45438</v>
      </c>
      <c r="C437" t="s">
        <v>16</v>
      </c>
      <c r="D437" t="s">
        <v>17</v>
      </c>
      <c r="E437">
        <v>1</v>
      </c>
      <c r="F437">
        <v>10</v>
      </c>
      <c r="G437">
        <v>2.81</v>
      </c>
      <c r="H437" t="s">
        <v>238</v>
      </c>
      <c r="I437" t="s">
        <v>239</v>
      </c>
      <c r="J437" t="s">
        <v>27</v>
      </c>
      <c r="K437" t="s">
        <v>21</v>
      </c>
      <c r="L437">
        <f t="shared" si="18"/>
        <v>10</v>
      </c>
      <c r="M437">
        <f t="shared" si="19"/>
        <v>2.81</v>
      </c>
      <c r="N437">
        <f t="shared" si="20"/>
        <v>7.1899999999999995</v>
      </c>
      <c r="O437" cm="1">
        <f t="array" ref="O437">_xlfn.LET(_xlpm.cat, Greenleaf[[#This Row],[Product Category]], _xlpm.prices, _xlfn._xlws.FILTER(Greenleaf[Unit Price], (Greenleaf[Product Category]=_xlpm.cat)*(Greenleaf[Unit Price]&lt;&gt;"")), IFERROR(MEDIAN(_xlpm.prices), ""))</f>
        <v>10</v>
      </c>
      <c r="P437">
        <f>IF(Greenleaf[[#This Row],[Shipment Status]]="Returned",1,0)</f>
        <v>0</v>
      </c>
      <c r="Q437">
        <f>IF(Greenleaf[[#This Row],[Shipment Status]]="Delivered",1,0)</f>
        <v>1</v>
      </c>
    </row>
    <row r="438" spans="1:17" x14ac:dyDescent="0.45">
      <c r="A438" t="s">
        <v>759</v>
      </c>
      <c r="B438">
        <v>45439</v>
      </c>
      <c r="C438" t="s">
        <v>30</v>
      </c>
      <c r="D438" t="s">
        <v>31</v>
      </c>
      <c r="E438">
        <v>5</v>
      </c>
      <c r="F438">
        <v>40</v>
      </c>
      <c r="G438">
        <v>9.7200000000000006</v>
      </c>
      <c r="H438" t="s">
        <v>200</v>
      </c>
      <c r="I438" t="s">
        <v>201</v>
      </c>
      <c r="J438" t="s">
        <v>47</v>
      </c>
      <c r="K438" t="s">
        <v>70</v>
      </c>
      <c r="L438">
        <f t="shared" si="18"/>
        <v>200</v>
      </c>
      <c r="M438">
        <f t="shared" si="19"/>
        <v>48.6</v>
      </c>
      <c r="N438">
        <f t="shared" si="20"/>
        <v>151.4</v>
      </c>
      <c r="O438" cm="1">
        <f t="array" ref="O438">_xlfn.LET(_xlpm.cat, Greenleaf[[#This Row],[Product Category]], _xlpm.prices, _xlfn._xlws.FILTER(Greenleaf[Unit Price], (Greenleaf[Product Category]=_xlpm.cat)*(Greenleaf[Unit Price]&lt;&gt;"")), IFERROR(MEDIAN(_xlpm.prices), ""))</f>
        <v>40</v>
      </c>
      <c r="P438">
        <f>IF(Greenleaf[[#This Row],[Shipment Status]]="Returned",1,0)</f>
        <v>0</v>
      </c>
      <c r="Q438">
        <f>IF(Greenleaf[[#This Row],[Shipment Status]]="Delivered",1,0)</f>
        <v>0</v>
      </c>
    </row>
    <row r="439" spans="1:17" x14ac:dyDescent="0.45">
      <c r="A439" t="s">
        <v>760</v>
      </c>
      <c r="B439">
        <v>45439</v>
      </c>
      <c r="C439" t="s">
        <v>66</v>
      </c>
      <c r="D439" t="s">
        <v>67</v>
      </c>
      <c r="E439">
        <v>8</v>
      </c>
      <c r="F439">
        <v>12</v>
      </c>
      <c r="G439">
        <v>4.46</v>
      </c>
      <c r="H439" t="s">
        <v>188</v>
      </c>
      <c r="I439" t="s">
        <v>189</v>
      </c>
      <c r="J439" t="s">
        <v>47</v>
      </c>
      <c r="K439" t="s">
        <v>134</v>
      </c>
      <c r="L439">
        <f t="shared" si="18"/>
        <v>96</v>
      </c>
      <c r="M439">
        <f t="shared" si="19"/>
        <v>35.68</v>
      </c>
      <c r="N439">
        <f t="shared" si="20"/>
        <v>60.32</v>
      </c>
      <c r="O439" cm="1">
        <f t="array" ref="O439">_xlfn.LET(_xlpm.cat, Greenleaf[[#This Row],[Product Category]], _xlpm.prices, _xlfn._xlws.FILTER(Greenleaf[Unit Price], (Greenleaf[Product Category]=_xlpm.cat)*(Greenleaf[Unit Price]&lt;&gt;"")), IFERROR(MEDIAN(_xlpm.prices), ""))</f>
        <v>12</v>
      </c>
      <c r="P439">
        <f>IF(Greenleaf[[#This Row],[Shipment Status]]="Returned",1,0)</f>
        <v>0</v>
      </c>
      <c r="Q439">
        <f>IF(Greenleaf[[#This Row],[Shipment Status]]="Delivered",1,0)</f>
        <v>0</v>
      </c>
    </row>
    <row r="440" spans="1:17" x14ac:dyDescent="0.45">
      <c r="A440" t="s">
        <v>761</v>
      </c>
      <c r="B440">
        <v>45440</v>
      </c>
      <c r="C440" t="s">
        <v>23</v>
      </c>
      <c r="D440" t="s">
        <v>24</v>
      </c>
      <c r="E440">
        <v>5</v>
      </c>
      <c r="F440">
        <v>25</v>
      </c>
      <c r="G440">
        <v>7.88</v>
      </c>
      <c r="H440" t="s">
        <v>743</v>
      </c>
      <c r="I440" t="s">
        <v>69</v>
      </c>
      <c r="J440" t="s">
        <v>27</v>
      </c>
      <c r="K440" t="s">
        <v>70</v>
      </c>
      <c r="L440">
        <f t="shared" si="18"/>
        <v>125</v>
      </c>
      <c r="M440">
        <f t="shared" si="19"/>
        <v>39.4</v>
      </c>
      <c r="N440">
        <f t="shared" si="20"/>
        <v>85.6</v>
      </c>
      <c r="O440" cm="1">
        <f t="array" ref="O440">_xlfn.LET(_xlpm.cat, Greenleaf[[#This Row],[Product Category]], _xlpm.prices, _xlfn._xlws.FILTER(Greenleaf[Unit Price], (Greenleaf[Product Category]=_xlpm.cat)*(Greenleaf[Unit Price]&lt;&gt;"")), IFERROR(MEDIAN(_xlpm.prices), ""))</f>
        <v>25</v>
      </c>
      <c r="P440">
        <f>IF(Greenleaf[[#This Row],[Shipment Status]]="Returned",1,0)</f>
        <v>0</v>
      </c>
      <c r="Q440">
        <f>IF(Greenleaf[[#This Row],[Shipment Status]]="Delivered",1,0)</f>
        <v>1</v>
      </c>
    </row>
    <row r="441" spans="1:17" x14ac:dyDescent="0.45">
      <c r="A441" t="s">
        <v>762</v>
      </c>
      <c r="B441">
        <v>45440</v>
      </c>
      <c r="C441" t="s">
        <v>49</v>
      </c>
      <c r="D441" t="s">
        <v>50</v>
      </c>
      <c r="E441">
        <v>1</v>
      </c>
      <c r="F441">
        <v>15</v>
      </c>
      <c r="G441">
        <v>4.3499999999999996</v>
      </c>
      <c r="H441" t="s">
        <v>763</v>
      </c>
      <c r="I441" t="s">
        <v>210</v>
      </c>
      <c r="J441" t="s">
        <v>27</v>
      </c>
      <c r="K441" t="s">
        <v>34</v>
      </c>
      <c r="L441">
        <f t="shared" si="18"/>
        <v>15</v>
      </c>
      <c r="M441">
        <f t="shared" si="19"/>
        <v>4.3499999999999996</v>
      </c>
      <c r="N441">
        <f t="shared" si="20"/>
        <v>10.65</v>
      </c>
      <c r="O441" cm="1">
        <f t="array" ref="O441">_xlfn.LET(_xlpm.cat, Greenleaf[[#This Row],[Product Category]], _xlpm.prices, _xlfn._xlws.FILTER(Greenleaf[Unit Price], (Greenleaf[Product Category]=_xlpm.cat)*(Greenleaf[Unit Price]&lt;&gt;"")), IFERROR(MEDIAN(_xlpm.prices), ""))</f>
        <v>15</v>
      </c>
      <c r="P441">
        <f>IF(Greenleaf[[#This Row],[Shipment Status]]="Returned",1,0)</f>
        <v>0</v>
      </c>
      <c r="Q441">
        <f>IF(Greenleaf[[#This Row],[Shipment Status]]="Delivered",1,0)</f>
        <v>1</v>
      </c>
    </row>
    <row r="442" spans="1:17" x14ac:dyDescent="0.45">
      <c r="A442" t="s">
        <v>764</v>
      </c>
      <c r="B442">
        <v>45440</v>
      </c>
      <c r="C442" t="s">
        <v>23</v>
      </c>
      <c r="D442" t="s">
        <v>24</v>
      </c>
      <c r="E442">
        <v>2</v>
      </c>
      <c r="F442">
        <v>25</v>
      </c>
      <c r="G442">
        <v>6.85</v>
      </c>
      <c r="H442" t="s">
        <v>203</v>
      </c>
      <c r="I442" t="s">
        <v>204</v>
      </c>
      <c r="J442" t="s">
        <v>20</v>
      </c>
      <c r="K442" t="s">
        <v>70</v>
      </c>
      <c r="L442">
        <f t="shared" si="18"/>
        <v>50</v>
      </c>
      <c r="M442">
        <f t="shared" si="19"/>
        <v>13.7</v>
      </c>
      <c r="N442">
        <f t="shared" si="20"/>
        <v>36.299999999999997</v>
      </c>
      <c r="O442" cm="1">
        <f t="array" ref="O442">_xlfn.LET(_xlpm.cat, Greenleaf[[#This Row],[Product Category]], _xlpm.prices, _xlfn._xlws.FILTER(Greenleaf[Unit Price], (Greenleaf[Product Category]=_xlpm.cat)*(Greenleaf[Unit Price]&lt;&gt;"")), IFERROR(MEDIAN(_xlpm.prices), ""))</f>
        <v>25</v>
      </c>
      <c r="P442">
        <f>IF(Greenleaf[[#This Row],[Shipment Status]]="Returned",1,0)</f>
        <v>0</v>
      </c>
      <c r="Q442">
        <f>IF(Greenleaf[[#This Row],[Shipment Status]]="Delivered",1,0)</f>
        <v>0</v>
      </c>
    </row>
    <row r="443" spans="1:17" x14ac:dyDescent="0.45">
      <c r="A443" t="s">
        <v>765</v>
      </c>
      <c r="B443">
        <v>45440</v>
      </c>
      <c r="C443" t="s">
        <v>66</v>
      </c>
      <c r="D443" t="s">
        <v>67</v>
      </c>
      <c r="E443">
        <v>9</v>
      </c>
      <c r="F443">
        <v>12</v>
      </c>
      <c r="G443">
        <v>4.32</v>
      </c>
      <c r="H443" t="s">
        <v>766</v>
      </c>
      <c r="I443" t="s">
        <v>767</v>
      </c>
      <c r="J443" t="s">
        <v>27</v>
      </c>
      <c r="K443" t="s">
        <v>28</v>
      </c>
      <c r="L443">
        <f t="shared" si="18"/>
        <v>108</v>
      </c>
      <c r="M443">
        <f t="shared" si="19"/>
        <v>38.880000000000003</v>
      </c>
      <c r="N443">
        <f t="shared" si="20"/>
        <v>69.12</v>
      </c>
      <c r="O443" cm="1">
        <f t="array" ref="O443">_xlfn.LET(_xlpm.cat, Greenleaf[[#This Row],[Product Category]], _xlpm.prices, _xlfn._xlws.FILTER(Greenleaf[Unit Price], (Greenleaf[Product Category]=_xlpm.cat)*(Greenleaf[Unit Price]&lt;&gt;"")), IFERROR(MEDIAN(_xlpm.prices), ""))</f>
        <v>12</v>
      </c>
      <c r="P443">
        <f>IF(Greenleaf[[#This Row],[Shipment Status]]="Returned",1,0)</f>
        <v>0</v>
      </c>
      <c r="Q443">
        <f>IF(Greenleaf[[#This Row],[Shipment Status]]="Delivered",1,0)</f>
        <v>1</v>
      </c>
    </row>
    <row r="444" spans="1:17" x14ac:dyDescent="0.45">
      <c r="A444" t="s">
        <v>768</v>
      </c>
      <c r="B444">
        <v>45440</v>
      </c>
      <c r="C444" t="s">
        <v>49</v>
      </c>
      <c r="D444" t="s">
        <v>50</v>
      </c>
      <c r="E444">
        <v>4</v>
      </c>
      <c r="F444">
        <v>15</v>
      </c>
      <c r="G444">
        <v>5.41</v>
      </c>
      <c r="H444" t="s">
        <v>420</v>
      </c>
      <c r="I444" t="s">
        <v>242</v>
      </c>
      <c r="J444" t="s">
        <v>20</v>
      </c>
      <c r="K444" t="s">
        <v>28</v>
      </c>
      <c r="L444">
        <f t="shared" si="18"/>
        <v>60</v>
      </c>
      <c r="M444">
        <f t="shared" si="19"/>
        <v>21.64</v>
      </c>
      <c r="N444">
        <f t="shared" si="20"/>
        <v>38.36</v>
      </c>
      <c r="O444" cm="1">
        <f t="array" ref="O444">_xlfn.LET(_xlpm.cat, Greenleaf[[#This Row],[Product Category]], _xlpm.prices, _xlfn._xlws.FILTER(Greenleaf[Unit Price], (Greenleaf[Product Category]=_xlpm.cat)*(Greenleaf[Unit Price]&lt;&gt;"")), IFERROR(MEDIAN(_xlpm.prices), ""))</f>
        <v>15</v>
      </c>
      <c r="P444">
        <f>IF(Greenleaf[[#This Row],[Shipment Status]]="Returned",1,0)</f>
        <v>0</v>
      </c>
      <c r="Q444">
        <f>IF(Greenleaf[[#This Row],[Shipment Status]]="Delivered",1,0)</f>
        <v>0</v>
      </c>
    </row>
    <row r="445" spans="1:17" x14ac:dyDescent="0.45">
      <c r="A445" t="s">
        <v>769</v>
      </c>
      <c r="B445">
        <v>45441</v>
      </c>
      <c r="C445" t="s">
        <v>30</v>
      </c>
      <c r="D445" t="s">
        <v>31</v>
      </c>
      <c r="E445">
        <v>6</v>
      </c>
      <c r="F445">
        <v>40</v>
      </c>
      <c r="G445">
        <v>9.43</v>
      </c>
      <c r="H445" t="s">
        <v>565</v>
      </c>
      <c r="I445" t="s">
        <v>566</v>
      </c>
      <c r="J445" t="s">
        <v>27</v>
      </c>
      <c r="K445" t="s">
        <v>38</v>
      </c>
      <c r="L445">
        <f t="shared" si="18"/>
        <v>240</v>
      </c>
      <c r="M445">
        <f t="shared" si="19"/>
        <v>56.58</v>
      </c>
      <c r="N445">
        <f t="shared" si="20"/>
        <v>183.42000000000002</v>
      </c>
      <c r="O445" cm="1">
        <f t="array" ref="O445">_xlfn.LET(_xlpm.cat, Greenleaf[[#This Row],[Product Category]], _xlpm.prices, _xlfn._xlws.FILTER(Greenleaf[Unit Price], (Greenleaf[Product Category]=_xlpm.cat)*(Greenleaf[Unit Price]&lt;&gt;"")), IFERROR(MEDIAN(_xlpm.prices), ""))</f>
        <v>40</v>
      </c>
      <c r="P445">
        <f>IF(Greenleaf[[#This Row],[Shipment Status]]="Returned",1,0)</f>
        <v>0</v>
      </c>
      <c r="Q445">
        <f>IF(Greenleaf[[#This Row],[Shipment Status]]="Delivered",1,0)</f>
        <v>1</v>
      </c>
    </row>
    <row r="446" spans="1:17" x14ac:dyDescent="0.45">
      <c r="A446" t="s">
        <v>770</v>
      </c>
      <c r="B446">
        <v>45441</v>
      </c>
      <c r="C446" t="s">
        <v>30</v>
      </c>
      <c r="D446" t="s">
        <v>31</v>
      </c>
      <c r="E446">
        <v>4</v>
      </c>
      <c r="F446">
        <v>40</v>
      </c>
      <c r="G446">
        <v>13.02</v>
      </c>
      <c r="H446" t="s">
        <v>32</v>
      </c>
      <c r="I446" t="s">
        <v>33</v>
      </c>
      <c r="J446" t="s">
        <v>27</v>
      </c>
      <c r="K446" t="s">
        <v>21</v>
      </c>
      <c r="L446">
        <f t="shared" si="18"/>
        <v>160</v>
      </c>
      <c r="M446">
        <f t="shared" si="19"/>
        <v>52.08</v>
      </c>
      <c r="N446">
        <f t="shared" si="20"/>
        <v>107.92</v>
      </c>
      <c r="O446" cm="1">
        <f t="array" ref="O446">_xlfn.LET(_xlpm.cat, Greenleaf[[#This Row],[Product Category]], _xlpm.prices, _xlfn._xlws.FILTER(Greenleaf[Unit Price], (Greenleaf[Product Category]=_xlpm.cat)*(Greenleaf[Unit Price]&lt;&gt;"")), IFERROR(MEDIAN(_xlpm.prices), ""))</f>
        <v>40</v>
      </c>
      <c r="P446">
        <f>IF(Greenleaf[[#This Row],[Shipment Status]]="Returned",1,0)</f>
        <v>0</v>
      </c>
      <c r="Q446">
        <f>IF(Greenleaf[[#This Row],[Shipment Status]]="Delivered",1,0)</f>
        <v>1</v>
      </c>
    </row>
    <row r="447" spans="1:17" x14ac:dyDescent="0.45">
      <c r="A447" t="s">
        <v>771</v>
      </c>
      <c r="B447">
        <v>45442</v>
      </c>
      <c r="C447" t="s">
        <v>49</v>
      </c>
      <c r="D447" t="s">
        <v>50</v>
      </c>
      <c r="E447">
        <v>1</v>
      </c>
      <c r="F447">
        <v>15</v>
      </c>
      <c r="G447">
        <v>3.05</v>
      </c>
      <c r="H447" t="s">
        <v>420</v>
      </c>
      <c r="I447" t="s">
        <v>242</v>
      </c>
      <c r="J447" t="s">
        <v>27</v>
      </c>
      <c r="K447" t="s">
        <v>43</v>
      </c>
      <c r="L447">
        <f t="shared" si="18"/>
        <v>15</v>
      </c>
      <c r="M447">
        <f t="shared" si="19"/>
        <v>3.05</v>
      </c>
      <c r="N447">
        <f t="shared" si="20"/>
        <v>11.95</v>
      </c>
      <c r="O447" cm="1">
        <f t="array" ref="O447">_xlfn.LET(_xlpm.cat, Greenleaf[[#This Row],[Product Category]], _xlpm.prices, _xlfn._xlws.FILTER(Greenleaf[Unit Price], (Greenleaf[Product Category]=_xlpm.cat)*(Greenleaf[Unit Price]&lt;&gt;"")), IFERROR(MEDIAN(_xlpm.prices), ""))</f>
        <v>15</v>
      </c>
      <c r="P447">
        <f>IF(Greenleaf[[#This Row],[Shipment Status]]="Returned",1,0)</f>
        <v>0</v>
      </c>
      <c r="Q447">
        <f>IF(Greenleaf[[#This Row],[Shipment Status]]="Delivered",1,0)</f>
        <v>1</v>
      </c>
    </row>
    <row r="448" spans="1:17" x14ac:dyDescent="0.45">
      <c r="A448" t="s">
        <v>772</v>
      </c>
      <c r="B448">
        <v>45442</v>
      </c>
      <c r="C448" t="s">
        <v>66</v>
      </c>
      <c r="D448" t="s">
        <v>67</v>
      </c>
      <c r="E448">
        <v>7</v>
      </c>
      <c r="F448">
        <v>12</v>
      </c>
      <c r="G448">
        <v>4.2</v>
      </c>
      <c r="H448" t="s">
        <v>773</v>
      </c>
      <c r="I448" t="s">
        <v>249</v>
      </c>
      <c r="J448" t="s">
        <v>27</v>
      </c>
      <c r="K448" t="s">
        <v>56</v>
      </c>
      <c r="L448">
        <f t="shared" si="18"/>
        <v>84</v>
      </c>
      <c r="M448">
        <f t="shared" si="19"/>
        <v>29.400000000000002</v>
      </c>
      <c r="N448">
        <f t="shared" si="20"/>
        <v>54.599999999999994</v>
      </c>
      <c r="O448" cm="1">
        <f t="array" ref="O448">_xlfn.LET(_xlpm.cat, Greenleaf[[#This Row],[Product Category]], _xlpm.prices, _xlfn._xlws.FILTER(Greenleaf[Unit Price], (Greenleaf[Product Category]=_xlpm.cat)*(Greenleaf[Unit Price]&lt;&gt;"")), IFERROR(MEDIAN(_xlpm.prices), ""))</f>
        <v>12</v>
      </c>
      <c r="P448">
        <f>IF(Greenleaf[[#This Row],[Shipment Status]]="Returned",1,0)</f>
        <v>0</v>
      </c>
      <c r="Q448">
        <f>IF(Greenleaf[[#This Row],[Shipment Status]]="Delivered",1,0)</f>
        <v>1</v>
      </c>
    </row>
    <row r="449" spans="1:17" x14ac:dyDescent="0.45">
      <c r="A449" t="s">
        <v>774</v>
      </c>
      <c r="B449">
        <v>45443</v>
      </c>
      <c r="C449" t="s">
        <v>30</v>
      </c>
      <c r="D449" t="s">
        <v>31</v>
      </c>
      <c r="E449">
        <v>3</v>
      </c>
      <c r="F449">
        <v>40</v>
      </c>
      <c r="G449">
        <v>14.46</v>
      </c>
      <c r="H449" t="s">
        <v>743</v>
      </c>
      <c r="I449" t="s">
        <v>69</v>
      </c>
      <c r="J449" t="s">
        <v>27</v>
      </c>
      <c r="K449" t="s">
        <v>56</v>
      </c>
      <c r="L449">
        <f t="shared" si="18"/>
        <v>120</v>
      </c>
      <c r="M449">
        <f t="shared" si="19"/>
        <v>43.38</v>
      </c>
      <c r="N449">
        <f t="shared" si="20"/>
        <v>76.62</v>
      </c>
      <c r="O449" cm="1">
        <f t="array" ref="O449">_xlfn.LET(_xlpm.cat, Greenleaf[[#This Row],[Product Category]], _xlpm.prices, _xlfn._xlws.FILTER(Greenleaf[Unit Price], (Greenleaf[Product Category]=_xlpm.cat)*(Greenleaf[Unit Price]&lt;&gt;"")), IFERROR(MEDIAN(_xlpm.prices), ""))</f>
        <v>40</v>
      </c>
      <c r="P449">
        <f>IF(Greenleaf[[#This Row],[Shipment Status]]="Returned",1,0)</f>
        <v>0</v>
      </c>
      <c r="Q449">
        <f>IF(Greenleaf[[#This Row],[Shipment Status]]="Delivered",1,0)</f>
        <v>1</v>
      </c>
    </row>
    <row r="450" spans="1:17" x14ac:dyDescent="0.45">
      <c r="A450" t="s">
        <v>775</v>
      </c>
      <c r="B450">
        <v>45443</v>
      </c>
      <c r="C450" t="s">
        <v>66</v>
      </c>
      <c r="D450" t="s">
        <v>67</v>
      </c>
      <c r="E450">
        <v>10</v>
      </c>
      <c r="F450">
        <v>12</v>
      </c>
      <c r="G450">
        <v>4.5999999999999996</v>
      </c>
      <c r="H450" t="s">
        <v>216</v>
      </c>
      <c r="I450" t="s">
        <v>217</v>
      </c>
      <c r="J450" t="s">
        <v>27</v>
      </c>
      <c r="K450" t="s">
        <v>21</v>
      </c>
      <c r="L450">
        <f t="shared" ref="L450:L513" si="21">E450*F450</f>
        <v>120</v>
      </c>
      <c r="M450">
        <f t="shared" ref="M450:M513" si="22">E450*G450</f>
        <v>46</v>
      </c>
      <c r="N450">
        <f t="shared" ref="N450:N513" si="23">L450-M450</f>
        <v>74</v>
      </c>
      <c r="O450" cm="1">
        <f t="array" ref="O450">_xlfn.LET(_xlpm.cat, Greenleaf[[#This Row],[Product Category]], _xlpm.prices, _xlfn._xlws.FILTER(Greenleaf[Unit Price], (Greenleaf[Product Category]=_xlpm.cat)*(Greenleaf[Unit Price]&lt;&gt;"")), IFERROR(MEDIAN(_xlpm.prices), ""))</f>
        <v>12</v>
      </c>
      <c r="P450">
        <f>IF(Greenleaf[[#This Row],[Shipment Status]]="Returned",1,0)</f>
        <v>0</v>
      </c>
      <c r="Q450">
        <f>IF(Greenleaf[[#This Row],[Shipment Status]]="Delivered",1,0)</f>
        <v>1</v>
      </c>
    </row>
    <row r="451" spans="1:17" x14ac:dyDescent="0.45">
      <c r="A451" t="s">
        <v>776</v>
      </c>
      <c r="B451">
        <v>45445</v>
      </c>
      <c r="C451" t="s">
        <v>66</v>
      </c>
      <c r="D451" t="s">
        <v>67</v>
      </c>
      <c r="E451">
        <v>4</v>
      </c>
      <c r="F451">
        <v>12</v>
      </c>
      <c r="G451">
        <v>4.3899999999999997</v>
      </c>
      <c r="H451" t="s">
        <v>300</v>
      </c>
      <c r="I451" t="s">
        <v>167</v>
      </c>
      <c r="J451" t="s">
        <v>20</v>
      </c>
      <c r="K451" t="s">
        <v>59</v>
      </c>
      <c r="L451">
        <f t="shared" si="21"/>
        <v>48</v>
      </c>
      <c r="M451">
        <f t="shared" si="22"/>
        <v>17.559999999999999</v>
      </c>
      <c r="N451">
        <f t="shared" si="23"/>
        <v>30.44</v>
      </c>
      <c r="O451" cm="1">
        <f t="array" ref="O451">_xlfn.LET(_xlpm.cat, Greenleaf[[#This Row],[Product Category]], _xlpm.prices, _xlfn._xlws.FILTER(Greenleaf[Unit Price], (Greenleaf[Product Category]=_xlpm.cat)*(Greenleaf[Unit Price]&lt;&gt;"")), IFERROR(MEDIAN(_xlpm.prices), ""))</f>
        <v>12</v>
      </c>
      <c r="P451">
        <f>IF(Greenleaf[[#This Row],[Shipment Status]]="Returned",1,0)</f>
        <v>0</v>
      </c>
      <c r="Q451">
        <f>IF(Greenleaf[[#This Row],[Shipment Status]]="Delivered",1,0)</f>
        <v>0</v>
      </c>
    </row>
    <row r="452" spans="1:17" x14ac:dyDescent="0.45">
      <c r="A452" t="s">
        <v>777</v>
      </c>
      <c r="B452">
        <v>45445</v>
      </c>
      <c r="C452" t="s">
        <v>30</v>
      </c>
      <c r="D452" t="s">
        <v>31</v>
      </c>
      <c r="E452">
        <v>10</v>
      </c>
      <c r="F452">
        <v>40</v>
      </c>
      <c r="G452">
        <v>9.85</v>
      </c>
      <c r="H452" t="s">
        <v>54</v>
      </c>
      <c r="I452" t="s">
        <v>55</v>
      </c>
      <c r="J452" t="s">
        <v>27</v>
      </c>
      <c r="K452" t="s">
        <v>21</v>
      </c>
      <c r="L452">
        <f t="shared" si="21"/>
        <v>400</v>
      </c>
      <c r="M452">
        <f t="shared" si="22"/>
        <v>98.5</v>
      </c>
      <c r="N452">
        <f t="shared" si="23"/>
        <v>301.5</v>
      </c>
      <c r="O452" cm="1">
        <f t="array" ref="O452">_xlfn.LET(_xlpm.cat, Greenleaf[[#This Row],[Product Category]], _xlpm.prices, _xlfn._xlws.FILTER(Greenleaf[Unit Price], (Greenleaf[Product Category]=_xlpm.cat)*(Greenleaf[Unit Price]&lt;&gt;"")), IFERROR(MEDIAN(_xlpm.prices), ""))</f>
        <v>40</v>
      </c>
      <c r="P452">
        <f>IF(Greenleaf[[#This Row],[Shipment Status]]="Returned",1,0)</f>
        <v>0</v>
      </c>
      <c r="Q452">
        <f>IF(Greenleaf[[#This Row],[Shipment Status]]="Delivered",1,0)</f>
        <v>1</v>
      </c>
    </row>
    <row r="453" spans="1:17" x14ac:dyDescent="0.45">
      <c r="A453" t="s">
        <v>778</v>
      </c>
      <c r="B453">
        <v>45446</v>
      </c>
      <c r="C453" t="s">
        <v>66</v>
      </c>
      <c r="D453" t="s">
        <v>67</v>
      </c>
      <c r="E453">
        <v>5</v>
      </c>
      <c r="F453">
        <v>12</v>
      </c>
      <c r="G453">
        <v>3.43</v>
      </c>
      <c r="H453" t="s">
        <v>743</v>
      </c>
      <c r="I453" t="s">
        <v>69</v>
      </c>
      <c r="J453" t="s">
        <v>27</v>
      </c>
      <c r="K453" t="s">
        <v>134</v>
      </c>
      <c r="L453">
        <f t="shared" si="21"/>
        <v>60</v>
      </c>
      <c r="M453">
        <f t="shared" si="22"/>
        <v>17.150000000000002</v>
      </c>
      <c r="N453">
        <f t="shared" si="23"/>
        <v>42.849999999999994</v>
      </c>
      <c r="O453" cm="1">
        <f t="array" ref="O453">_xlfn.LET(_xlpm.cat, Greenleaf[[#This Row],[Product Category]], _xlpm.prices, _xlfn._xlws.FILTER(Greenleaf[Unit Price], (Greenleaf[Product Category]=_xlpm.cat)*(Greenleaf[Unit Price]&lt;&gt;"")), IFERROR(MEDIAN(_xlpm.prices), ""))</f>
        <v>12</v>
      </c>
      <c r="P453">
        <f>IF(Greenleaf[[#This Row],[Shipment Status]]="Returned",1,0)</f>
        <v>0</v>
      </c>
      <c r="Q453">
        <f>IF(Greenleaf[[#This Row],[Shipment Status]]="Delivered",1,0)</f>
        <v>1</v>
      </c>
    </row>
    <row r="454" spans="1:17" x14ac:dyDescent="0.45">
      <c r="A454" t="s">
        <v>779</v>
      </c>
      <c r="B454">
        <v>45446</v>
      </c>
      <c r="C454" t="s">
        <v>16</v>
      </c>
      <c r="D454" t="s">
        <v>17</v>
      </c>
      <c r="E454">
        <v>5</v>
      </c>
      <c r="F454">
        <v>10</v>
      </c>
      <c r="G454">
        <v>3.46</v>
      </c>
      <c r="H454" t="s">
        <v>356</v>
      </c>
      <c r="I454" t="s">
        <v>357</v>
      </c>
      <c r="J454" t="s">
        <v>27</v>
      </c>
      <c r="K454" t="s">
        <v>21</v>
      </c>
      <c r="L454">
        <f t="shared" si="21"/>
        <v>50</v>
      </c>
      <c r="M454">
        <f t="shared" si="22"/>
        <v>17.3</v>
      </c>
      <c r="N454">
        <f t="shared" si="23"/>
        <v>32.700000000000003</v>
      </c>
      <c r="O454" cm="1">
        <f t="array" ref="O454">_xlfn.LET(_xlpm.cat, Greenleaf[[#This Row],[Product Category]], _xlpm.prices, _xlfn._xlws.FILTER(Greenleaf[Unit Price], (Greenleaf[Product Category]=_xlpm.cat)*(Greenleaf[Unit Price]&lt;&gt;"")), IFERROR(MEDIAN(_xlpm.prices), ""))</f>
        <v>10</v>
      </c>
      <c r="P454">
        <f>IF(Greenleaf[[#This Row],[Shipment Status]]="Returned",1,0)</f>
        <v>0</v>
      </c>
      <c r="Q454">
        <f>IF(Greenleaf[[#This Row],[Shipment Status]]="Delivered",1,0)</f>
        <v>1</v>
      </c>
    </row>
    <row r="455" spans="1:17" x14ac:dyDescent="0.45">
      <c r="A455" t="s">
        <v>780</v>
      </c>
      <c r="B455">
        <v>45446</v>
      </c>
      <c r="C455" t="s">
        <v>23</v>
      </c>
      <c r="D455" t="s">
        <v>24</v>
      </c>
      <c r="E455">
        <v>1</v>
      </c>
      <c r="F455">
        <v>25</v>
      </c>
      <c r="G455">
        <v>9.2100000000000009</v>
      </c>
      <c r="H455" t="s">
        <v>378</v>
      </c>
      <c r="I455" t="s">
        <v>379</v>
      </c>
      <c r="J455" t="s">
        <v>20</v>
      </c>
      <c r="K455" t="s">
        <v>21</v>
      </c>
      <c r="L455">
        <f t="shared" si="21"/>
        <v>25</v>
      </c>
      <c r="M455">
        <f t="shared" si="22"/>
        <v>9.2100000000000009</v>
      </c>
      <c r="N455">
        <f t="shared" si="23"/>
        <v>15.79</v>
      </c>
      <c r="O455" cm="1">
        <f t="array" ref="O455">_xlfn.LET(_xlpm.cat, Greenleaf[[#This Row],[Product Category]], _xlpm.prices, _xlfn._xlws.FILTER(Greenleaf[Unit Price], (Greenleaf[Product Category]=_xlpm.cat)*(Greenleaf[Unit Price]&lt;&gt;"")), IFERROR(MEDIAN(_xlpm.prices), ""))</f>
        <v>25</v>
      </c>
      <c r="P455">
        <f>IF(Greenleaf[[#This Row],[Shipment Status]]="Returned",1,0)</f>
        <v>0</v>
      </c>
      <c r="Q455">
        <f>IF(Greenleaf[[#This Row],[Shipment Status]]="Delivered",1,0)</f>
        <v>0</v>
      </c>
    </row>
    <row r="456" spans="1:17" x14ac:dyDescent="0.45">
      <c r="A456" t="s">
        <v>781</v>
      </c>
      <c r="B456">
        <v>45446</v>
      </c>
      <c r="C456" t="s">
        <v>66</v>
      </c>
      <c r="D456" t="s">
        <v>67</v>
      </c>
      <c r="E456">
        <v>7</v>
      </c>
      <c r="F456">
        <v>12</v>
      </c>
      <c r="G456">
        <v>3.5</v>
      </c>
      <c r="H456" t="s">
        <v>371</v>
      </c>
      <c r="I456" t="s">
        <v>26</v>
      </c>
      <c r="J456" t="s">
        <v>27</v>
      </c>
      <c r="K456" t="s">
        <v>34</v>
      </c>
      <c r="L456">
        <f t="shared" si="21"/>
        <v>84</v>
      </c>
      <c r="M456">
        <f t="shared" si="22"/>
        <v>24.5</v>
      </c>
      <c r="N456">
        <f t="shared" si="23"/>
        <v>59.5</v>
      </c>
      <c r="O456" cm="1">
        <f t="array" ref="O456">_xlfn.LET(_xlpm.cat, Greenleaf[[#This Row],[Product Category]], _xlpm.prices, _xlfn._xlws.FILTER(Greenleaf[Unit Price], (Greenleaf[Product Category]=_xlpm.cat)*(Greenleaf[Unit Price]&lt;&gt;"")), IFERROR(MEDIAN(_xlpm.prices), ""))</f>
        <v>12</v>
      </c>
      <c r="P456">
        <f>IF(Greenleaf[[#This Row],[Shipment Status]]="Returned",1,0)</f>
        <v>0</v>
      </c>
      <c r="Q456">
        <f>IF(Greenleaf[[#This Row],[Shipment Status]]="Delivered",1,0)</f>
        <v>1</v>
      </c>
    </row>
    <row r="457" spans="1:17" x14ac:dyDescent="0.45">
      <c r="A457" t="s">
        <v>782</v>
      </c>
      <c r="B457">
        <v>45446</v>
      </c>
      <c r="C457" t="s">
        <v>49</v>
      </c>
      <c r="D457" t="s">
        <v>50</v>
      </c>
      <c r="E457">
        <v>6</v>
      </c>
      <c r="F457">
        <v>15</v>
      </c>
      <c r="G457">
        <v>5.4</v>
      </c>
      <c r="H457" t="s">
        <v>783</v>
      </c>
      <c r="I457" t="s">
        <v>784</v>
      </c>
      <c r="J457" t="s">
        <v>27</v>
      </c>
      <c r="K457" t="s">
        <v>21</v>
      </c>
      <c r="L457">
        <f t="shared" si="21"/>
        <v>90</v>
      </c>
      <c r="M457">
        <f t="shared" si="22"/>
        <v>32.400000000000006</v>
      </c>
      <c r="N457">
        <f t="shared" si="23"/>
        <v>57.599999999999994</v>
      </c>
      <c r="O457" cm="1">
        <f t="array" ref="O457">_xlfn.LET(_xlpm.cat, Greenleaf[[#This Row],[Product Category]], _xlpm.prices, _xlfn._xlws.FILTER(Greenleaf[Unit Price], (Greenleaf[Product Category]=_xlpm.cat)*(Greenleaf[Unit Price]&lt;&gt;"")), IFERROR(MEDIAN(_xlpm.prices), ""))</f>
        <v>15</v>
      </c>
      <c r="P457">
        <f>IF(Greenleaf[[#This Row],[Shipment Status]]="Returned",1,0)</f>
        <v>0</v>
      </c>
      <c r="Q457">
        <f>IF(Greenleaf[[#This Row],[Shipment Status]]="Delivered",1,0)</f>
        <v>1</v>
      </c>
    </row>
    <row r="458" spans="1:17" x14ac:dyDescent="0.45">
      <c r="A458" t="s">
        <v>785</v>
      </c>
      <c r="B458">
        <v>45447</v>
      </c>
      <c r="C458" t="s">
        <v>23</v>
      </c>
      <c r="D458" t="s">
        <v>24</v>
      </c>
      <c r="E458">
        <v>6</v>
      </c>
      <c r="F458">
        <v>25</v>
      </c>
      <c r="G458">
        <v>6.04</v>
      </c>
      <c r="H458" t="s">
        <v>263</v>
      </c>
      <c r="I458" t="s">
        <v>128</v>
      </c>
      <c r="J458" t="s">
        <v>27</v>
      </c>
      <c r="K458" t="s">
        <v>74</v>
      </c>
      <c r="L458">
        <f t="shared" si="21"/>
        <v>150</v>
      </c>
      <c r="M458">
        <f t="shared" si="22"/>
        <v>36.24</v>
      </c>
      <c r="N458">
        <f t="shared" si="23"/>
        <v>113.75999999999999</v>
      </c>
      <c r="O458" cm="1">
        <f t="array" ref="O458">_xlfn.LET(_xlpm.cat, Greenleaf[[#This Row],[Product Category]], _xlpm.prices, _xlfn._xlws.FILTER(Greenleaf[Unit Price], (Greenleaf[Product Category]=_xlpm.cat)*(Greenleaf[Unit Price]&lt;&gt;"")), IFERROR(MEDIAN(_xlpm.prices), ""))</f>
        <v>25</v>
      </c>
      <c r="P458">
        <f>IF(Greenleaf[[#This Row],[Shipment Status]]="Returned",1,0)</f>
        <v>0</v>
      </c>
      <c r="Q458">
        <f>IF(Greenleaf[[#This Row],[Shipment Status]]="Delivered",1,0)</f>
        <v>1</v>
      </c>
    </row>
    <row r="459" spans="1:17" x14ac:dyDescent="0.45">
      <c r="A459" t="s">
        <v>786</v>
      </c>
      <c r="B459">
        <v>45447</v>
      </c>
      <c r="C459" t="s">
        <v>16</v>
      </c>
      <c r="D459" t="s">
        <v>17</v>
      </c>
      <c r="E459">
        <v>10</v>
      </c>
      <c r="F459">
        <v>10</v>
      </c>
      <c r="G459">
        <v>3.34</v>
      </c>
      <c r="H459" t="s">
        <v>200</v>
      </c>
      <c r="I459" t="s">
        <v>201</v>
      </c>
      <c r="J459" t="s">
        <v>47</v>
      </c>
      <c r="K459" t="s">
        <v>34</v>
      </c>
      <c r="L459">
        <f t="shared" si="21"/>
        <v>100</v>
      </c>
      <c r="M459">
        <f t="shared" si="22"/>
        <v>33.4</v>
      </c>
      <c r="N459">
        <f t="shared" si="23"/>
        <v>66.599999999999994</v>
      </c>
      <c r="O459" cm="1">
        <f t="array" ref="O459">_xlfn.LET(_xlpm.cat, Greenleaf[[#This Row],[Product Category]], _xlpm.prices, _xlfn._xlws.FILTER(Greenleaf[Unit Price], (Greenleaf[Product Category]=_xlpm.cat)*(Greenleaf[Unit Price]&lt;&gt;"")), IFERROR(MEDIAN(_xlpm.prices), ""))</f>
        <v>10</v>
      </c>
      <c r="P459">
        <f>IF(Greenleaf[[#This Row],[Shipment Status]]="Returned",1,0)</f>
        <v>0</v>
      </c>
      <c r="Q459">
        <f>IF(Greenleaf[[#This Row],[Shipment Status]]="Delivered",1,0)</f>
        <v>0</v>
      </c>
    </row>
    <row r="460" spans="1:17" x14ac:dyDescent="0.45">
      <c r="A460" t="s">
        <v>787</v>
      </c>
      <c r="B460">
        <v>45447</v>
      </c>
      <c r="C460" t="s">
        <v>66</v>
      </c>
      <c r="D460" t="s">
        <v>67</v>
      </c>
      <c r="E460">
        <v>3</v>
      </c>
      <c r="F460">
        <v>12</v>
      </c>
      <c r="G460">
        <v>3.94</v>
      </c>
      <c r="H460" t="s">
        <v>578</v>
      </c>
      <c r="I460" t="s">
        <v>93</v>
      </c>
      <c r="J460" t="s">
        <v>42</v>
      </c>
      <c r="K460" t="s">
        <v>70</v>
      </c>
      <c r="L460">
        <f t="shared" si="21"/>
        <v>36</v>
      </c>
      <c r="M460">
        <f t="shared" si="22"/>
        <v>11.82</v>
      </c>
      <c r="N460">
        <f t="shared" si="23"/>
        <v>24.18</v>
      </c>
      <c r="O460" cm="1">
        <f t="array" ref="O460">_xlfn.LET(_xlpm.cat, Greenleaf[[#This Row],[Product Category]], _xlpm.prices, _xlfn._xlws.FILTER(Greenleaf[Unit Price], (Greenleaf[Product Category]=_xlpm.cat)*(Greenleaf[Unit Price]&lt;&gt;"")), IFERROR(MEDIAN(_xlpm.prices), ""))</f>
        <v>12</v>
      </c>
      <c r="P460">
        <f>IF(Greenleaf[[#This Row],[Shipment Status]]="Returned",1,0)</f>
        <v>1</v>
      </c>
      <c r="Q460">
        <f>IF(Greenleaf[[#This Row],[Shipment Status]]="Delivered",1,0)</f>
        <v>0</v>
      </c>
    </row>
    <row r="461" spans="1:17" x14ac:dyDescent="0.45">
      <c r="A461" t="s">
        <v>788</v>
      </c>
      <c r="B461">
        <v>45448</v>
      </c>
      <c r="C461" t="s">
        <v>16</v>
      </c>
      <c r="D461" t="s">
        <v>17</v>
      </c>
      <c r="E461">
        <v>3</v>
      </c>
      <c r="F461">
        <v>10</v>
      </c>
      <c r="G461">
        <v>3.12</v>
      </c>
      <c r="H461" t="s">
        <v>494</v>
      </c>
      <c r="I461" t="s">
        <v>495</v>
      </c>
      <c r="J461" t="s">
        <v>20</v>
      </c>
      <c r="K461" t="s">
        <v>134</v>
      </c>
      <c r="L461">
        <f t="shared" si="21"/>
        <v>30</v>
      </c>
      <c r="M461">
        <f t="shared" si="22"/>
        <v>9.36</v>
      </c>
      <c r="N461">
        <f t="shared" si="23"/>
        <v>20.64</v>
      </c>
      <c r="O461" cm="1">
        <f t="array" ref="O461">_xlfn.LET(_xlpm.cat, Greenleaf[[#This Row],[Product Category]], _xlpm.prices, _xlfn._xlws.FILTER(Greenleaf[Unit Price], (Greenleaf[Product Category]=_xlpm.cat)*(Greenleaf[Unit Price]&lt;&gt;"")), IFERROR(MEDIAN(_xlpm.prices), ""))</f>
        <v>10</v>
      </c>
      <c r="P461">
        <f>IF(Greenleaf[[#This Row],[Shipment Status]]="Returned",1,0)</f>
        <v>0</v>
      </c>
      <c r="Q461">
        <f>IF(Greenleaf[[#This Row],[Shipment Status]]="Delivered",1,0)</f>
        <v>0</v>
      </c>
    </row>
    <row r="462" spans="1:17" x14ac:dyDescent="0.45">
      <c r="A462" t="s">
        <v>789</v>
      </c>
      <c r="B462">
        <v>45450</v>
      </c>
      <c r="C462" t="s">
        <v>66</v>
      </c>
      <c r="D462" t="s">
        <v>67</v>
      </c>
      <c r="E462">
        <v>7</v>
      </c>
      <c r="F462">
        <v>12</v>
      </c>
      <c r="G462">
        <v>4.5599999999999996</v>
      </c>
      <c r="H462" t="s">
        <v>142</v>
      </c>
      <c r="I462" t="s">
        <v>143</v>
      </c>
      <c r="J462" t="s">
        <v>27</v>
      </c>
      <c r="K462" t="s">
        <v>43</v>
      </c>
      <c r="L462">
        <f t="shared" si="21"/>
        <v>84</v>
      </c>
      <c r="M462">
        <f t="shared" si="22"/>
        <v>31.919999999999998</v>
      </c>
      <c r="N462">
        <f t="shared" si="23"/>
        <v>52.08</v>
      </c>
      <c r="O462" cm="1">
        <f t="array" ref="O462">_xlfn.LET(_xlpm.cat, Greenleaf[[#This Row],[Product Category]], _xlpm.prices, _xlfn._xlws.FILTER(Greenleaf[Unit Price], (Greenleaf[Product Category]=_xlpm.cat)*(Greenleaf[Unit Price]&lt;&gt;"")), IFERROR(MEDIAN(_xlpm.prices), ""))</f>
        <v>12</v>
      </c>
      <c r="P462">
        <f>IF(Greenleaf[[#This Row],[Shipment Status]]="Returned",1,0)</f>
        <v>0</v>
      </c>
      <c r="Q462">
        <f>IF(Greenleaf[[#This Row],[Shipment Status]]="Delivered",1,0)</f>
        <v>1</v>
      </c>
    </row>
    <row r="463" spans="1:17" x14ac:dyDescent="0.45">
      <c r="A463" t="s">
        <v>790</v>
      </c>
      <c r="B463">
        <v>45450</v>
      </c>
      <c r="C463" t="s">
        <v>23</v>
      </c>
      <c r="D463" t="s">
        <v>24</v>
      </c>
      <c r="E463">
        <v>3</v>
      </c>
      <c r="F463">
        <v>25</v>
      </c>
      <c r="G463">
        <v>6.29</v>
      </c>
      <c r="H463" t="s">
        <v>684</v>
      </c>
      <c r="I463" t="s">
        <v>357</v>
      </c>
      <c r="J463" t="s">
        <v>27</v>
      </c>
      <c r="K463" t="s">
        <v>38</v>
      </c>
      <c r="L463">
        <f t="shared" si="21"/>
        <v>75</v>
      </c>
      <c r="M463">
        <f t="shared" si="22"/>
        <v>18.87</v>
      </c>
      <c r="N463">
        <f t="shared" si="23"/>
        <v>56.129999999999995</v>
      </c>
      <c r="O463" cm="1">
        <f t="array" ref="O463">_xlfn.LET(_xlpm.cat, Greenleaf[[#This Row],[Product Category]], _xlpm.prices, _xlfn._xlws.FILTER(Greenleaf[Unit Price], (Greenleaf[Product Category]=_xlpm.cat)*(Greenleaf[Unit Price]&lt;&gt;"")), IFERROR(MEDIAN(_xlpm.prices), ""))</f>
        <v>25</v>
      </c>
      <c r="P463">
        <f>IF(Greenleaf[[#This Row],[Shipment Status]]="Returned",1,0)</f>
        <v>0</v>
      </c>
      <c r="Q463">
        <f>IF(Greenleaf[[#This Row],[Shipment Status]]="Delivered",1,0)</f>
        <v>1</v>
      </c>
    </row>
    <row r="464" spans="1:17" x14ac:dyDescent="0.45">
      <c r="A464" t="s">
        <v>791</v>
      </c>
      <c r="B464">
        <v>45450</v>
      </c>
      <c r="C464" t="s">
        <v>30</v>
      </c>
      <c r="D464" t="s">
        <v>31</v>
      </c>
      <c r="E464">
        <v>2</v>
      </c>
      <c r="F464">
        <v>40</v>
      </c>
      <c r="G464">
        <v>8.93</v>
      </c>
      <c r="H464" t="s">
        <v>405</v>
      </c>
      <c r="I464" t="s">
        <v>214</v>
      </c>
      <c r="J464" t="s">
        <v>47</v>
      </c>
      <c r="K464" t="s">
        <v>38</v>
      </c>
      <c r="L464">
        <f t="shared" si="21"/>
        <v>80</v>
      </c>
      <c r="M464">
        <f t="shared" si="22"/>
        <v>17.86</v>
      </c>
      <c r="N464">
        <f t="shared" si="23"/>
        <v>62.14</v>
      </c>
      <c r="O464" cm="1">
        <f t="array" ref="O464">_xlfn.LET(_xlpm.cat, Greenleaf[[#This Row],[Product Category]], _xlpm.prices, _xlfn._xlws.FILTER(Greenleaf[Unit Price], (Greenleaf[Product Category]=_xlpm.cat)*(Greenleaf[Unit Price]&lt;&gt;"")), IFERROR(MEDIAN(_xlpm.prices), ""))</f>
        <v>40</v>
      </c>
      <c r="P464">
        <f>IF(Greenleaf[[#This Row],[Shipment Status]]="Returned",1,0)</f>
        <v>0</v>
      </c>
      <c r="Q464">
        <f>IF(Greenleaf[[#This Row],[Shipment Status]]="Delivered",1,0)</f>
        <v>0</v>
      </c>
    </row>
    <row r="465" spans="1:17" x14ac:dyDescent="0.45">
      <c r="A465" t="s">
        <v>792</v>
      </c>
      <c r="B465">
        <v>45451</v>
      </c>
      <c r="C465" t="s">
        <v>23</v>
      </c>
      <c r="D465" t="s">
        <v>24</v>
      </c>
      <c r="E465">
        <v>3</v>
      </c>
      <c r="F465">
        <v>25</v>
      </c>
      <c r="G465">
        <v>9.02</v>
      </c>
      <c r="H465" t="s">
        <v>482</v>
      </c>
      <c r="I465" t="s">
        <v>143</v>
      </c>
      <c r="J465" t="s">
        <v>20</v>
      </c>
      <c r="K465" t="s">
        <v>34</v>
      </c>
      <c r="L465">
        <f t="shared" si="21"/>
        <v>75</v>
      </c>
      <c r="M465">
        <f t="shared" si="22"/>
        <v>27.06</v>
      </c>
      <c r="N465">
        <f t="shared" si="23"/>
        <v>47.94</v>
      </c>
      <c r="O465" cm="1">
        <f t="array" ref="O465">_xlfn.LET(_xlpm.cat, Greenleaf[[#This Row],[Product Category]], _xlpm.prices, _xlfn._xlws.FILTER(Greenleaf[Unit Price], (Greenleaf[Product Category]=_xlpm.cat)*(Greenleaf[Unit Price]&lt;&gt;"")), IFERROR(MEDIAN(_xlpm.prices), ""))</f>
        <v>25</v>
      </c>
      <c r="P465">
        <f>IF(Greenleaf[[#This Row],[Shipment Status]]="Returned",1,0)</f>
        <v>0</v>
      </c>
      <c r="Q465">
        <f>IF(Greenleaf[[#This Row],[Shipment Status]]="Delivered",1,0)</f>
        <v>0</v>
      </c>
    </row>
    <row r="466" spans="1:17" x14ac:dyDescent="0.45">
      <c r="A466" t="s">
        <v>793</v>
      </c>
      <c r="B466">
        <v>45451</v>
      </c>
      <c r="C466" t="s">
        <v>66</v>
      </c>
      <c r="D466" t="s">
        <v>67</v>
      </c>
      <c r="E466">
        <v>2</v>
      </c>
      <c r="F466">
        <v>12</v>
      </c>
      <c r="G466">
        <v>4.6100000000000003</v>
      </c>
      <c r="H466" t="s">
        <v>241</v>
      </c>
      <c r="I466" t="s">
        <v>242</v>
      </c>
      <c r="J466" t="s">
        <v>20</v>
      </c>
      <c r="K466" t="s">
        <v>59</v>
      </c>
      <c r="L466">
        <f t="shared" si="21"/>
        <v>24</v>
      </c>
      <c r="M466">
        <f t="shared" si="22"/>
        <v>9.2200000000000006</v>
      </c>
      <c r="N466">
        <f t="shared" si="23"/>
        <v>14.78</v>
      </c>
      <c r="O466" cm="1">
        <f t="array" ref="O466">_xlfn.LET(_xlpm.cat, Greenleaf[[#This Row],[Product Category]], _xlpm.prices, _xlfn._xlws.FILTER(Greenleaf[Unit Price], (Greenleaf[Product Category]=_xlpm.cat)*(Greenleaf[Unit Price]&lt;&gt;"")), IFERROR(MEDIAN(_xlpm.prices), ""))</f>
        <v>12</v>
      </c>
      <c r="P466">
        <f>IF(Greenleaf[[#This Row],[Shipment Status]]="Returned",1,0)</f>
        <v>0</v>
      </c>
      <c r="Q466">
        <f>IF(Greenleaf[[#This Row],[Shipment Status]]="Delivered",1,0)</f>
        <v>0</v>
      </c>
    </row>
    <row r="467" spans="1:17" x14ac:dyDescent="0.45">
      <c r="A467" t="s">
        <v>794</v>
      </c>
      <c r="B467">
        <v>45451</v>
      </c>
      <c r="C467" t="s">
        <v>16</v>
      </c>
      <c r="D467" t="s">
        <v>17</v>
      </c>
      <c r="E467">
        <v>6</v>
      </c>
      <c r="F467">
        <v>10</v>
      </c>
      <c r="G467">
        <v>3.13</v>
      </c>
      <c r="H467" t="s">
        <v>795</v>
      </c>
      <c r="I467" t="s">
        <v>440</v>
      </c>
      <c r="J467" t="s">
        <v>27</v>
      </c>
      <c r="K467" t="s">
        <v>43</v>
      </c>
      <c r="L467">
        <f t="shared" si="21"/>
        <v>60</v>
      </c>
      <c r="M467">
        <f t="shared" si="22"/>
        <v>18.78</v>
      </c>
      <c r="N467">
        <f t="shared" si="23"/>
        <v>41.22</v>
      </c>
      <c r="O467" cm="1">
        <f t="array" ref="O467">_xlfn.LET(_xlpm.cat, Greenleaf[[#This Row],[Product Category]], _xlpm.prices, _xlfn._xlws.FILTER(Greenleaf[Unit Price], (Greenleaf[Product Category]=_xlpm.cat)*(Greenleaf[Unit Price]&lt;&gt;"")), IFERROR(MEDIAN(_xlpm.prices), ""))</f>
        <v>10</v>
      </c>
      <c r="P467">
        <f>IF(Greenleaf[[#This Row],[Shipment Status]]="Returned",1,0)</f>
        <v>0</v>
      </c>
      <c r="Q467">
        <f>IF(Greenleaf[[#This Row],[Shipment Status]]="Delivered",1,0)</f>
        <v>1</v>
      </c>
    </row>
    <row r="468" spans="1:17" x14ac:dyDescent="0.45">
      <c r="A468" t="s">
        <v>796</v>
      </c>
      <c r="B468">
        <v>45451</v>
      </c>
      <c r="C468" t="s">
        <v>30</v>
      </c>
      <c r="D468" t="s">
        <v>31</v>
      </c>
      <c r="E468">
        <v>4</v>
      </c>
      <c r="F468">
        <v>40</v>
      </c>
      <c r="G468">
        <v>10.47</v>
      </c>
      <c r="H468" t="s">
        <v>18</v>
      </c>
      <c r="I468" t="s">
        <v>19</v>
      </c>
      <c r="J468" t="s">
        <v>20</v>
      </c>
      <c r="K468" t="s">
        <v>70</v>
      </c>
      <c r="L468">
        <f t="shared" si="21"/>
        <v>160</v>
      </c>
      <c r="M468">
        <f t="shared" si="22"/>
        <v>41.88</v>
      </c>
      <c r="N468">
        <f t="shared" si="23"/>
        <v>118.12</v>
      </c>
      <c r="O468" cm="1">
        <f t="array" ref="O468">_xlfn.LET(_xlpm.cat, Greenleaf[[#This Row],[Product Category]], _xlpm.prices, _xlfn._xlws.FILTER(Greenleaf[Unit Price], (Greenleaf[Product Category]=_xlpm.cat)*(Greenleaf[Unit Price]&lt;&gt;"")), IFERROR(MEDIAN(_xlpm.prices), ""))</f>
        <v>40</v>
      </c>
      <c r="P468">
        <f>IF(Greenleaf[[#This Row],[Shipment Status]]="Returned",1,0)</f>
        <v>0</v>
      </c>
      <c r="Q468">
        <f>IF(Greenleaf[[#This Row],[Shipment Status]]="Delivered",1,0)</f>
        <v>0</v>
      </c>
    </row>
    <row r="469" spans="1:17" x14ac:dyDescent="0.45">
      <c r="A469" t="s">
        <v>797</v>
      </c>
      <c r="B469">
        <v>45452</v>
      </c>
      <c r="C469" t="s">
        <v>49</v>
      </c>
      <c r="D469" t="s">
        <v>50</v>
      </c>
      <c r="E469">
        <v>9</v>
      </c>
      <c r="F469">
        <v>15</v>
      </c>
      <c r="G469">
        <v>4.75</v>
      </c>
      <c r="H469" t="s">
        <v>86</v>
      </c>
      <c r="I469" t="s">
        <v>87</v>
      </c>
      <c r="J469" t="s">
        <v>42</v>
      </c>
      <c r="K469" t="s">
        <v>43</v>
      </c>
      <c r="L469">
        <f t="shared" si="21"/>
        <v>135</v>
      </c>
      <c r="M469">
        <f t="shared" si="22"/>
        <v>42.75</v>
      </c>
      <c r="N469">
        <f t="shared" si="23"/>
        <v>92.25</v>
      </c>
      <c r="O469" cm="1">
        <f t="array" ref="O469">_xlfn.LET(_xlpm.cat, Greenleaf[[#This Row],[Product Category]], _xlpm.prices, _xlfn._xlws.FILTER(Greenleaf[Unit Price], (Greenleaf[Product Category]=_xlpm.cat)*(Greenleaf[Unit Price]&lt;&gt;"")), IFERROR(MEDIAN(_xlpm.prices), ""))</f>
        <v>15</v>
      </c>
      <c r="P469">
        <f>IF(Greenleaf[[#This Row],[Shipment Status]]="Returned",1,0)</f>
        <v>1</v>
      </c>
      <c r="Q469">
        <f>IF(Greenleaf[[#This Row],[Shipment Status]]="Delivered",1,0)</f>
        <v>0</v>
      </c>
    </row>
    <row r="470" spans="1:17" x14ac:dyDescent="0.45">
      <c r="A470" t="s">
        <v>798</v>
      </c>
      <c r="B470">
        <v>45453</v>
      </c>
      <c r="C470" t="s">
        <v>49</v>
      </c>
      <c r="D470" t="s">
        <v>50</v>
      </c>
      <c r="E470">
        <v>5</v>
      </c>
      <c r="F470">
        <v>15</v>
      </c>
      <c r="G470">
        <v>4.28</v>
      </c>
      <c r="H470" t="s">
        <v>530</v>
      </c>
      <c r="I470" t="s">
        <v>531</v>
      </c>
      <c r="J470" t="s">
        <v>27</v>
      </c>
      <c r="K470" t="s">
        <v>56</v>
      </c>
      <c r="L470">
        <f t="shared" si="21"/>
        <v>75</v>
      </c>
      <c r="M470">
        <f t="shared" si="22"/>
        <v>21.400000000000002</v>
      </c>
      <c r="N470">
        <f t="shared" si="23"/>
        <v>53.599999999999994</v>
      </c>
      <c r="O470" cm="1">
        <f t="array" ref="O470">_xlfn.LET(_xlpm.cat, Greenleaf[[#This Row],[Product Category]], _xlpm.prices, _xlfn._xlws.FILTER(Greenleaf[Unit Price], (Greenleaf[Product Category]=_xlpm.cat)*(Greenleaf[Unit Price]&lt;&gt;"")), IFERROR(MEDIAN(_xlpm.prices), ""))</f>
        <v>15</v>
      </c>
      <c r="P470">
        <f>IF(Greenleaf[[#This Row],[Shipment Status]]="Returned",1,0)</f>
        <v>0</v>
      </c>
      <c r="Q470">
        <f>IF(Greenleaf[[#This Row],[Shipment Status]]="Delivered",1,0)</f>
        <v>1</v>
      </c>
    </row>
    <row r="471" spans="1:17" x14ac:dyDescent="0.45">
      <c r="A471" t="s">
        <v>799</v>
      </c>
      <c r="B471">
        <v>45455</v>
      </c>
      <c r="C471" t="s">
        <v>66</v>
      </c>
      <c r="D471" t="s">
        <v>67</v>
      </c>
      <c r="E471">
        <v>1</v>
      </c>
      <c r="F471">
        <v>12</v>
      </c>
      <c r="G471">
        <v>3.81</v>
      </c>
      <c r="H471" t="s">
        <v>182</v>
      </c>
      <c r="I471" t="s">
        <v>183</v>
      </c>
      <c r="J471" t="s">
        <v>27</v>
      </c>
      <c r="K471" t="s">
        <v>34</v>
      </c>
      <c r="L471">
        <f t="shared" si="21"/>
        <v>12</v>
      </c>
      <c r="M471">
        <f t="shared" si="22"/>
        <v>3.81</v>
      </c>
      <c r="N471">
        <f t="shared" si="23"/>
        <v>8.19</v>
      </c>
      <c r="O471" cm="1">
        <f t="array" ref="O471">_xlfn.LET(_xlpm.cat, Greenleaf[[#This Row],[Product Category]], _xlpm.prices, _xlfn._xlws.FILTER(Greenleaf[Unit Price], (Greenleaf[Product Category]=_xlpm.cat)*(Greenleaf[Unit Price]&lt;&gt;"")), IFERROR(MEDIAN(_xlpm.prices), ""))</f>
        <v>12</v>
      </c>
      <c r="P471">
        <f>IF(Greenleaf[[#This Row],[Shipment Status]]="Returned",1,0)</f>
        <v>0</v>
      </c>
      <c r="Q471">
        <f>IF(Greenleaf[[#This Row],[Shipment Status]]="Delivered",1,0)</f>
        <v>1</v>
      </c>
    </row>
    <row r="472" spans="1:17" x14ac:dyDescent="0.45">
      <c r="A472" t="s">
        <v>800</v>
      </c>
      <c r="B472">
        <v>45455</v>
      </c>
      <c r="C472" t="s">
        <v>66</v>
      </c>
      <c r="D472" t="s">
        <v>67</v>
      </c>
      <c r="E472">
        <v>3</v>
      </c>
      <c r="F472">
        <v>12</v>
      </c>
      <c r="G472">
        <v>4.78</v>
      </c>
      <c r="H472" t="s">
        <v>238</v>
      </c>
      <c r="I472" t="s">
        <v>239</v>
      </c>
      <c r="J472" t="s">
        <v>27</v>
      </c>
      <c r="K472" t="s">
        <v>70</v>
      </c>
      <c r="L472">
        <f t="shared" si="21"/>
        <v>36</v>
      </c>
      <c r="M472">
        <f t="shared" si="22"/>
        <v>14.34</v>
      </c>
      <c r="N472">
        <f t="shared" si="23"/>
        <v>21.66</v>
      </c>
      <c r="O472" cm="1">
        <f t="array" ref="O472">_xlfn.LET(_xlpm.cat, Greenleaf[[#This Row],[Product Category]], _xlpm.prices, _xlfn._xlws.FILTER(Greenleaf[Unit Price], (Greenleaf[Product Category]=_xlpm.cat)*(Greenleaf[Unit Price]&lt;&gt;"")), IFERROR(MEDIAN(_xlpm.prices), ""))</f>
        <v>12</v>
      </c>
      <c r="P472">
        <f>IF(Greenleaf[[#This Row],[Shipment Status]]="Returned",1,0)</f>
        <v>0</v>
      </c>
      <c r="Q472">
        <f>IF(Greenleaf[[#This Row],[Shipment Status]]="Delivered",1,0)</f>
        <v>1</v>
      </c>
    </row>
    <row r="473" spans="1:17" x14ac:dyDescent="0.45">
      <c r="A473" t="s">
        <v>801</v>
      </c>
      <c r="B473">
        <v>45456</v>
      </c>
      <c r="C473" t="s">
        <v>23</v>
      </c>
      <c r="D473" t="s">
        <v>24</v>
      </c>
      <c r="E473">
        <v>5</v>
      </c>
      <c r="F473">
        <v>25</v>
      </c>
      <c r="G473">
        <v>6.67</v>
      </c>
      <c r="H473" t="s">
        <v>802</v>
      </c>
      <c r="I473" t="s">
        <v>333</v>
      </c>
      <c r="J473" t="s">
        <v>20</v>
      </c>
      <c r="K473" t="s">
        <v>56</v>
      </c>
      <c r="L473">
        <f t="shared" si="21"/>
        <v>125</v>
      </c>
      <c r="M473">
        <f t="shared" si="22"/>
        <v>33.35</v>
      </c>
      <c r="N473">
        <f t="shared" si="23"/>
        <v>91.65</v>
      </c>
      <c r="O473" cm="1">
        <f t="array" ref="O473">_xlfn.LET(_xlpm.cat, Greenleaf[[#This Row],[Product Category]], _xlpm.prices, _xlfn._xlws.FILTER(Greenleaf[Unit Price], (Greenleaf[Product Category]=_xlpm.cat)*(Greenleaf[Unit Price]&lt;&gt;"")), IFERROR(MEDIAN(_xlpm.prices), ""))</f>
        <v>25</v>
      </c>
      <c r="P473">
        <f>IF(Greenleaf[[#This Row],[Shipment Status]]="Returned",1,0)</f>
        <v>0</v>
      </c>
      <c r="Q473">
        <f>IF(Greenleaf[[#This Row],[Shipment Status]]="Delivered",1,0)</f>
        <v>0</v>
      </c>
    </row>
    <row r="474" spans="1:17" x14ac:dyDescent="0.45">
      <c r="A474" t="s">
        <v>803</v>
      </c>
      <c r="B474">
        <v>45457</v>
      </c>
      <c r="C474" t="s">
        <v>66</v>
      </c>
      <c r="D474" t="s">
        <v>67</v>
      </c>
      <c r="E474">
        <v>2</v>
      </c>
      <c r="F474">
        <v>12</v>
      </c>
      <c r="G474">
        <v>3.25</v>
      </c>
      <c r="H474" t="s">
        <v>494</v>
      </c>
      <c r="I474" t="s">
        <v>495</v>
      </c>
      <c r="J474" t="s">
        <v>20</v>
      </c>
      <c r="K474" t="s">
        <v>28</v>
      </c>
      <c r="L474">
        <f t="shared" si="21"/>
        <v>24</v>
      </c>
      <c r="M474">
        <f t="shared" si="22"/>
        <v>6.5</v>
      </c>
      <c r="N474">
        <f t="shared" si="23"/>
        <v>17.5</v>
      </c>
      <c r="O474" cm="1">
        <f t="array" ref="O474">_xlfn.LET(_xlpm.cat, Greenleaf[[#This Row],[Product Category]], _xlpm.prices, _xlfn._xlws.FILTER(Greenleaf[Unit Price], (Greenleaf[Product Category]=_xlpm.cat)*(Greenleaf[Unit Price]&lt;&gt;"")), IFERROR(MEDIAN(_xlpm.prices), ""))</f>
        <v>12</v>
      </c>
      <c r="P474">
        <f>IF(Greenleaf[[#This Row],[Shipment Status]]="Returned",1,0)</f>
        <v>0</v>
      </c>
      <c r="Q474">
        <f>IF(Greenleaf[[#This Row],[Shipment Status]]="Delivered",1,0)</f>
        <v>0</v>
      </c>
    </row>
    <row r="475" spans="1:17" x14ac:dyDescent="0.45">
      <c r="A475" t="s">
        <v>804</v>
      </c>
      <c r="B475">
        <v>45457</v>
      </c>
      <c r="C475" t="s">
        <v>49</v>
      </c>
      <c r="D475" t="s">
        <v>50</v>
      </c>
      <c r="E475">
        <v>6</v>
      </c>
      <c r="F475">
        <v>15</v>
      </c>
      <c r="G475">
        <v>5.6</v>
      </c>
      <c r="H475" t="s">
        <v>241</v>
      </c>
      <c r="I475" t="s">
        <v>242</v>
      </c>
      <c r="J475" t="s">
        <v>27</v>
      </c>
      <c r="K475" t="s">
        <v>70</v>
      </c>
      <c r="L475">
        <f t="shared" si="21"/>
        <v>90</v>
      </c>
      <c r="M475">
        <f t="shared" si="22"/>
        <v>33.599999999999994</v>
      </c>
      <c r="N475">
        <f t="shared" si="23"/>
        <v>56.400000000000006</v>
      </c>
      <c r="O475" cm="1">
        <f t="array" ref="O475">_xlfn.LET(_xlpm.cat, Greenleaf[[#This Row],[Product Category]], _xlpm.prices, _xlfn._xlws.FILTER(Greenleaf[Unit Price], (Greenleaf[Product Category]=_xlpm.cat)*(Greenleaf[Unit Price]&lt;&gt;"")), IFERROR(MEDIAN(_xlpm.prices), ""))</f>
        <v>15</v>
      </c>
      <c r="P475">
        <f>IF(Greenleaf[[#This Row],[Shipment Status]]="Returned",1,0)</f>
        <v>0</v>
      </c>
      <c r="Q475">
        <f>IF(Greenleaf[[#This Row],[Shipment Status]]="Delivered",1,0)</f>
        <v>1</v>
      </c>
    </row>
    <row r="476" spans="1:17" x14ac:dyDescent="0.45">
      <c r="A476" t="s">
        <v>805</v>
      </c>
      <c r="B476">
        <v>45457</v>
      </c>
      <c r="C476" t="s">
        <v>16</v>
      </c>
      <c r="D476" t="s">
        <v>17</v>
      </c>
      <c r="E476">
        <v>8</v>
      </c>
      <c r="F476">
        <v>10</v>
      </c>
      <c r="G476">
        <v>2.0699999999999998</v>
      </c>
      <c r="H476" t="s">
        <v>318</v>
      </c>
      <c r="I476" t="s">
        <v>319</v>
      </c>
      <c r="J476" t="s">
        <v>20</v>
      </c>
      <c r="K476" t="s">
        <v>74</v>
      </c>
      <c r="L476">
        <f t="shared" si="21"/>
        <v>80</v>
      </c>
      <c r="M476">
        <f t="shared" si="22"/>
        <v>16.559999999999999</v>
      </c>
      <c r="N476">
        <f t="shared" si="23"/>
        <v>63.44</v>
      </c>
      <c r="O476" cm="1">
        <f t="array" ref="O476">_xlfn.LET(_xlpm.cat, Greenleaf[[#This Row],[Product Category]], _xlpm.prices, _xlfn._xlws.FILTER(Greenleaf[Unit Price], (Greenleaf[Product Category]=_xlpm.cat)*(Greenleaf[Unit Price]&lt;&gt;"")), IFERROR(MEDIAN(_xlpm.prices), ""))</f>
        <v>10</v>
      </c>
      <c r="P476">
        <f>IF(Greenleaf[[#This Row],[Shipment Status]]="Returned",1,0)</f>
        <v>0</v>
      </c>
      <c r="Q476">
        <f>IF(Greenleaf[[#This Row],[Shipment Status]]="Delivered",1,0)</f>
        <v>0</v>
      </c>
    </row>
    <row r="477" spans="1:17" x14ac:dyDescent="0.45">
      <c r="A477" t="s">
        <v>806</v>
      </c>
      <c r="B477">
        <v>45458</v>
      </c>
      <c r="C477" t="s">
        <v>49</v>
      </c>
      <c r="D477" t="s">
        <v>50</v>
      </c>
      <c r="E477">
        <v>6</v>
      </c>
      <c r="F477">
        <v>15</v>
      </c>
      <c r="G477">
        <v>4.13</v>
      </c>
      <c r="H477" t="s">
        <v>160</v>
      </c>
      <c r="I477" t="s">
        <v>161</v>
      </c>
      <c r="J477" t="s">
        <v>47</v>
      </c>
      <c r="K477" t="s">
        <v>28</v>
      </c>
      <c r="L477">
        <f t="shared" si="21"/>
        <v>90</v>
      </c>
      <c r="M477">
        <f t="shared" si="22"/>
        <v>24.78</v>
      </c>
      <c r="N477">
        <f t="shared" si="23"/>
        <v>65.22</v>
      </c>
      <c r="O477" cm="1">
        <f t="array" ref="O477">_xlfn.LET(_xlpm.cat, Greenleaf[[#This Row],[Product Category]], _xlpm.prices, _xlfn._xlws.FILTER(Greenleaf[Unit Price], (Greenleaf[Product Category]=_xlpm.cat)*(Greenleaf[Unit Price]&lt;&gt;"")), IFERROR(MEDIAN(_xlpm.prices), ""))</f>
        <v>15</v>
      </c>
      <c r="P477">
        <f>IF(Greenleaf[[#This Row],[Shipment Status]]="Returned",1,0)</f>
        <v>0</v>
      </c>
      <c r="Q477">
        <f>IF(Greenleaf[[#This Row],[Shipment Status]]="Delivered",1,0)</f>
        <v>0</v>
      </c>
    </row>
    <row r="478" spans="1:17" x14ac:dyDescent="0.45">
      <c r="A478" t="s">
        <v>807</v>
      </c>
      <c r="B478">
        <v>45459</v>
      </c>
      <c r="C478" t="s">
        <v>49</v>
      </c>
      <c r="D478" t="s">
        <v>50</v>
      </c>
      <c r="E478">
        <v>4</v>
      </c>
      <c r="F478">
        <v>15</v>
      </c>
      <c r="G478">
        <v>4.33</v>
      </c>
      <c r="H478" t="s">
        <v>773</v>
      </c>
      <c r="I478" t="s">
        <v>249</v>
      </c>
      <c r="J478" t="s">
        <v>27</v>
      </c>
      <c r="K478" t="s">
        <v>59</v>
      </c>
      <c r="L478">
        <f t="shared" si="21"/>
        <v>60</v>
      </c>
      <c r="M478">
        <f t="shared" si="22"/>
        <v>17.32</v>
      </c>
      <c r="N478">
        <f t="shared" si="23"/>
        <v>42.68</v>
      </c>
      <c r="O478" cm="1">
        <f t="array" ref="O478">_xlfn.LET(_xlpm.cat, Greenleaf[[#This Row],[Product Category]], _xlpm.prices, _xlfn._xlws.FILTER(Greenleaf[Unit Price], (Greenleaf[Product Category]=_xlpm.cat)*(Greenleaf[Unit Price]&lt;&gt;"")), IFERROR(MEDIAN(_xlpm.prices), ""))</f>
        <v>15</v>
      </c>
      <c r="P478">
        <f>IF(Greenleaf[[#This Row],[Shipment Status]]="Returned",1,0)</f>
        <v>0</v>
      </c>
      <c r="Q478">
        <f>IF(Greenleaf[[#This Row],[Shipment Status]]="Delivered",1,0)</f>
        <v>1</v>
      </c>
    </row>
    <row r="479" spans="1:17" x14ac:dyDescent="0.45">
      <c r="A479" t="s">
        <v>808</v>
      </c>
      <c r="B479">
        <v>45459</v>
      </c>
      <c r="C479" t="s">
        <v>23</v>
      </c>
      <c r="D479" t="s">
        <v>24</v>
      </c>
      <c r="E479">
        <v>5</v>
      </c>
      <c r="F479">
        <v>25</v>
      </c>
      <c r="G479">
        <v>9.07</v>
      </c>
      <c r="H479" t="s">
        <v>296</v>
      </c>
      <c r="I479" t="s">
        <v>93</v>
      </c>
      <c r="J479" t="s">
        <v>27</v>
      </c>
      <c r="K479" t="s">
        <v>28</v>
      </c>
      <c r="L479">
        <f t="shared" si="21"/>
        <v>125</v>
      </c>
      <c r="M479">
        <f t="shared" si="22"/>
        <v>45.35</v>
      </c>
      <c r="N479">
        <f t="shared" si="23"/>
        <v>79.650000000000006</v>
      </c>
      <c r="O479" cm="1">
        <f t="array" ref="O479">_xlfn.LET(_xlpm.cat, Greenleaf[[#This Row],[Product Category]], _xlpm.prices, _xlfn._xlws.FILTER(Greenleaf[Unit Price], (Greenleaf[Product Category]=_xlpm.cat)*(Greenleaf[Unit Price]&lt;&gt;"")), IFERROR(MEDIAN(_xlpm.prices), ""))</f>
        <v>25</v>
      </c>
      <c r="P479">
        <f>IF(Greenleaf[[#This Row],[Shipment Status]]="Returned",1,0)</f>
        <v>0</v>
      </c>
      <c r="Q479">
        <f>IF(Greenleaf[[#This Row],[Shipment Status]]="Delivered",1,0)</f>
        <v>1</v>
      </c>
    </row>
    <row r="480" spans="1:17" x14ac:dyDescent="0.45">
      <c r="A480" t="s">
        <v>809</v>
      </c>
      <c r="B480">
        <v>45460</v>
      </c>
      <c r="C480" t="s">
        <v>49</v>
      </c>
      <c r="D480" t="s">
        <v>50</v>
      </c>
      <c r="E480">
        <v>9</v>
      </c>
      <c r="F480">
        <v>15</v>
      </c>
      <c r="G480">
        <v>5.65</v>
      </c>
      <c r="H480" t="s">
        <v>111</v>
      </c>
      <c r="I480" t="s">
        <v>112</v>
      </c>
      <c r="J480" t="s">
        <v>27</v>
      </c>
      <c r="K480" t="s">
        <v>56</v>
      </c>
      <c r="L480">
        <f t="shared" si="21"/>
        <v>135</v>
      </c>
      <c r="M480">
        <f t="shared" si="22"/>
        <v>50.85</v>
      </c>
      <c r="N480">
        <f t="shared" si="23"/>
        <v>84.15</v>
      </c>
      <c r="O480" cm="1">
        <f t="array" ref="O480">_xlfn.LET(_xlpm.cat, Greenleaf[[#This Row],[Product Category]], _xlpm.prices, _xlfn._xlws.FILTER(Greenleaf[Unit Price], (Greenleaf[Product Category]=_xlpm.cat)*(Greenleaf[Unit Price]&lt;&gt;"")), IFERROR(MEDIAN(_xlpm.prices), ""))</f>
        <v>15</v>
      </c>
      <c r="P480">
        <f>IF(Greenleaf[[#This Row],[Shipment Status]]="Returned",1,0)</f>
        <v>0</v>
      </c>
      <c r="Q480">
        <f>IF(Greenleaf[[#This Row],[Shipment Status]]="Delivered",1,0)</f>
        <v>1</v>
      </c>
    </row>
    <row r="481" spans="1:17" x14ac:dyDescent="0.45">
      <c r="A481" t="s">
        <v>810</v>
      </c>
      <c r="B481">
        <v>45460</v>
      </c>
      <c r="C481" t="s">
        <v>66</v>
      </c>
      <c r="D481" t="s">
        <v>67</v>
      </c>
      <c r="E481">
        <v>2</v>
      </c>
      <c r="F481">
        <v>12</v>
      </c>
      <c r="G481">
        <v>3.36</v>
      </c>
      <c r="H481" t="s">
        <v>552</v>
      </c>
      <c r="I481" t="s">
        <v>553</v>
      </c>
      <c r="J481" t="s">
        <v>27</v>
      </c>
      <c r="K481" t="s">
        <v>43</v>
      </c>
      <c r="L481">
        <f t="shared" si="21"/>
        <v>24</v>
      </c>
      <c r="M481">
        <f t="shared" si="22"/>
        <v>6.72</v>
      </c>
      <c r="N481">
        <f t="shared" si="23"/>
        <v>17.28</v>
      </c>
      <c r="O481" cm="1">
        <f t="array" ref="O481">_xlfn.LET(_xlpm.cat, Greenleaf[[#This Row],[Product Category]], _xlpm.prices, _xlfn._xlws.FILTER(Greenleaf[Unit Price], (Greenleaf[Product Category]=_xlpm.cat)*(Greenleaf[Unit Price]&lt;&gt;"")), IFERROR(MEDIAN(_xlpm.prices), ""))</f>
        <v>12</v>
      </c>
      <c r="P481">
        <f>IF(Greenleaf[[#This Row],[Shipment Status]]="Returned",1,0)</f>
        <v>0</v>
      </c>
      <c r="Q481">
        <f>IF(Greenleaf[[#This Row],[Shipment Status]]="Delivered",1,0)</f>
        <v>1</v>
      </c>
    </row>
    <row r="482" spans="1:17" x14ac:dyDescent="0.45">
      <c r="A482" t="s">
        <v>811</v>
      </c>
      <c r="B482">
        <v>45460</v>
      </c>
      <c r="C482" t="s">
        <v>16</v>
      </c>
      <c r="D482" t="s">
        <v>17</v>
      </c>
      <c r="E482">
        <v>10</v>
      </c>
      <c r="F482">
        <v>10</v>
      </c>
      <c r="G482">
        <v>2.37</v>
      </c>
      <c r="H482" t="s">
        <v>473</v>
      </c>
      <c r="I482" t="s">
        <v>474</v>
      </c>
      <c r="J482" t="s">
        <v>27</v>
      </c>
      <c r="K482" t="s">
        <v>34</v>
      </c>
      <c r="L482">
        <f t="shared" si="21"/>
        <v>100</v>
      </c>
      <c r="M482">
        <f t="shared" si="22"/>
        <v>23.700000000000003</v>
      </c>
      <c r="N482">
        <f t="shared" si="23"/>
        <v>76.3</v>
      </c>
      <c r="O482" cm="1">
        <f t="array" ref="O482">_xlfn.LET(_xlpm.cat, Greenleaf[[#This Row],[Product Category]], _xlpm.prices, _xlfn._xlws.FILTER(Greenleaf[Unit Price], (Greenleaf[Product Category]=_xlpm.cat)*(Greenleaf[Unit Price]&lt;&gt;"")), IFERROR(MEDIAN(_xlpm.prices), ""))</f>
        <v>10</v>
      </c>
      <c r="P482">
        <f>IF(Greenleaf[[#This Row],[Shipment Status]]="Returned",1,0)</f>
        <v>0</v>
      </c>
      <c r="Q482">
        <f>IF(Greenleaf[[#This Row],[Shipment Status]]="Delivered",1,0)</f>
        <v>1</v>
      </c>
    </row>
    <row r="483" spans="1:17" x14ac:dyDescent="0.45">
      <c r="A483" t="s">
        <v>812</v>
      </c>
      <c r="B483">
        <v>45461</v>
      </c>
      <c r="C483" t="s">
        <v>49</v>
      </c>
      <c r="D483" t="s">
        <v>50</v>
      </c>
      <c r="E483">
        <v>9</v>
      </c>
      <c r="F483">
        <v>15</v>
      </c>
      <c r="G483">
        <v>3.76</v>
      </c>
      <c r="H483" t="s">
        <v>160</v>
      </c>
      <c r="I483" t="s">
        <v>161</v>
      </c>
      <c r="J483" t="s">
        <v>20</v>
      </c>
      <c r="K483" t="s">
        <v>70</v>
      </c>
      <c r="L483">
        <f t="shared" si="21"/>
        <v>135</v>
      </c>
      <c r="M483">
        <f t="shared" si="22"/>
        <v>33.839999999999996</v>
      </c>
      <c r="N483">
        <f t="shared" si="23"/>
        <v>101.16</v>
      </c>
      <c r="O483" cm="1">
        <f t="array" ref="O483">_xlfn.LET(_xlpm.cat, Greenleaf[[#This Row],[Product Category]], _xlpm.prices, _xlfn._xlws.FILTER(Greenleaf[Unit Price], (Greenleaf[Product Category]=_xlpm.cat)*(Greenleaf[Unit Price]&lt;&gt;"")), IFERROR(MEDIAN(_xlpm.prices), ""))</f>
        <v>15</v>
      </c>
      <c r="P483">
        <f>IF(Greenleaf[[#This Row],[Shipment Status]]="Returned",1,0)</f>
        <v>0</v>
      </c>
      <c r="Q483">
        <f>IF(Greenleaf[[#This Row],[Shipment Status]]="Delivered",1,0)</f>
        <v>0</v>
      </c>
    </row>
    <row r="484" spans="1:17" x14ac:dyDescent="0.45">
      <c r="A484" t="s">
        <v>813</v>
      </c>
      <c r="B484">
        <v>45461</v>
      </c>
      <c r="C484" t="s">
        <v>30</v>
      </c>
      <c r="D484" t="s">
        <v>31</v>
      </c>
      <c r="E484">
        <v>3</v>
      </c>
      <c r="F484">
        <v>40</v>
      </c>
      <c r="G484">
        <v>11.38</v>
      </c>
      <c r="H484" t="s">
        <v>814</v>
      </c>
      <c r="I484" t="s">
        <v>815</v>
      </c>
      <c r="J484" t="s">
        <v>47</v>
      </c>
      <c r="K484" t="s">
        <v>74</v>
      </c>
      <c r="L484">
        <f t="shared" si="21"/>
        <v>120</v>
      </c>
      <c r="M484">
        <f t="shared" si="22"/>
        <v>34.14</v>
      </c>
      <c r="N484">
        <f t="shared" si="23"/>
        <v>85.86</v>
      </c>
      <c r="O484" cm="1">
        <f t="array" ref="O484">_xlfn.LET(_xlpm.cat, Greenleaf[[#This Row],[Product Category]], _xlpm.prices, _xlfn._xlws.FILTER(Greenleaf[Unit Price], (Greenleaf[Product Category]=_xlpm.cat)*(Greenleaf[Unit Price]&lt;&gt;"")), IFERROR(MEDIAN(_xlpm.prices), ""))</f>
        <v>40</v>
      </c>
      <c r="P484">
        <f>IF(Greenleaf[[#This Row],[Shipment Status]]="Returned",1,0)</f>
        <v>0</v>
      </c>
      <c r="Q484">
        <f>IF(Greenleaf[[#This Row],[Shipment Status]]="Delivered",1,0)</f>
        <v>0</v>
      </c>
    </row>
    <row r="485" spans="1:17" x14ac:dyDescent="0.45">
      <c r="A485" t="s">
        <v>816</v>
      </c>
      <c r="B485">
        <v>45461</v>
      </c>
      <c r="C485" t="s">
        <v>16</v>
      </c>
      <c r="D485" t="s">
        <v>17</v>
      </c>
      <c r="E485">
        <v>8</v>
      </c>
      <c r="F485">
        <v>10</v>
      </c>
      <c r="G485">
        <v>3.88</v>
      </c>
      <c r="H485" t="s">
        <v>773</v>
      </c>
      <c r="I485" t="s">
        <v>249</v>
      </c>
      <c r="J485" t="s">
        <v>27</v>
      </c>
      <c r="K485" t="s">
        <v>21</v>
      </c>
      <c r="L485">
        <f t="shared" si="21"/>
        <v>80</v>
      </c>
      <c r="M485">
        <f t="shared" si="22"/>
        <v>31.04</v>
      </c>
      <c r="N485">
        <f t="shared" si="23"/>
        <v>48.96</v>
      </c>
      <c r="O485" cm="1">
        <f t="array" ref="O485">_xlfn.LET(_xlpm.cat, Greenleaf[[#This Row],[Product Category]], _xlpm.prices, _xlfn._xlws.FILTER(Greenleaf[Unit Price], (Greenleaf[Product Category]=_xlpm.cat)*(Greenleaf[Unit Price]&lt;&gt;"")), IFERROR(MEDIAN(_xlpm.prices), ""))</f>
        <v>10</v>
      </c>
      <c r="P485">
        <f>IF(Greenleaf[[#This Row],[Shipment Status]]="Returned",1,0)</f>
        <v>0</v>
      </c>
      <c r="Q485">
        <f>IF(Greenleaf[[#This Row],[Shipment Status]]="Delivered",1,0)</f>
        <v>1</v>
      </c>
    </row>
    <row r="486" spans="1:17" x14ac:dyDescent="0.45">
      <c r="A486" t="s">
        <v>817</v>
      </c>
      <c r="B486">
        <v>45461</v>
      </c>
      <c r="C486" t="s">
        <v>30</v>
      </c>
      <c r="D486" t="s">
        <v>31</v>
      </c>
      <c r="E486">
        <v>10</v>
      </c>
      <c r="F486">
        <v>40</v>
      </c>
      <c r="G486">
        <v>13.77</v>
      </c>
      <c r="H486" t="s">
        <v>300</v>
      </c>
      <c r="I486" t="s">
        <v>167</v>
      </c>
      <c r="J486" t="s">
        <v>47</v>
      </c>
      <c r="K486" t="s">
        <v>34</v>
      </c>
      <c r="L486">
        <f t="shared" si="21"/>
        <v>400</v>
      </c>
      <c r="M486">
        <f t="shared" si="22"/>
        <v>137.69999999999999</v>
      </c>
      <c r="N486">
        <f t="shared" si="23"/>
        <v>262.3</v>
      </c>
      <c r="O486" cm="1">
        <f t="array" ref="O486">_xlfn.LET(_xlpm.cat, Greenleaf[[#This Row],[Product Category]], _xlpm.prices, _xlfn._xlws.FILTER(Greenleaf[Unit Price], (Greenleaf[Product Category]=_xlpm.cat)*(Greenleaf[Unit Price]&lt;&gt;"")), IFERROR(MEDIAN(_xlpm.prices), ""))</f>
        <v>40</v>
      </c>
      <c r="P486">
        <f>IF(Greenleaf[[#This Row],[Shipment Status]]="Returned",1,0)</f>
        <v>0</v>
      </c>
      <c r="Q486">
        <f>IF(Greenleaf[[#This Row],[Shipment Status]]="Delivered",1,0)</f>
        <v>0</v>
      </c>
    </row>
    <row r="487" spans="1:17" x14ac:dyDescent="0.45">
      <c r="A487" t="s">
        <v>818</v>
      </c>
      <c r="B487">
        <v>45462</v>
      </c>
      <c r="C487" t="s">
        <v>30</v>
      </c>
      <c r="D487" t="s">
        <v>31</v>
      </c>
      <c r="E487">
        <v>6</v>
      </c>
      <c r="F487">
        <v>40</v>
      </c>
      <c r="G487">
        <v>8.89</v>
      </c>
      <c r="H487" t="s">
        <v>203</v>
      </c>
      <c r="I487" t="s">
        <v>204</v>
      </c>
      <c r="J487" t="s">
        <v>27</v>
      </c>
      <c r="K487" t="s">
        <v>56</v>
      </c>
      <c r="L487">
        <f t="shared" si="21"/>
        <v>240</v>
      </c>
      <c r="M487">
        <f t="shared" si="22"/>
        <v>53.34</v>
      </c>
      <c r="N487">
        <f t="shared" si="23"/>
        <v>186.66</v>
      </c>
      <c r="O487" cm="1">
        <f t="array" ref="O487">_xlfn.LET(_xlpm.cat, Greenleaf[[#This Row],[Product Category]], _xlpm.prices, _xlfn._xlws.FILTER(Greenleaf[Unit Price], (Greenleaf[Product Category]=_xlpm.cat)*(Greenleaf[Unit Price]&lt;&gt;"")), IFERROR(MEDIAN(_xlpm.prices), ""))</f>
        <v>40</v>
      </c>
      <c r="P487">
        <f>IF(Greenleaf[[#This Row],[Shipment Status]]="Returned",1,0)</f>
        <v>0</v>
      </c>
      <c r="Q487">
        <f>IF(Greenleaf[[#This Row],[Shipment Status]]="Delivered",1,0)</f>
        <v>1</v>
      </c>
    </row>
    <row r="488" spans="1:17" x14ac:dyDescent="0.45">
      <c r="A488" t="s">
        <v>819</v>
      </c>
      <c r="B488">
        <v>45462</v>
      </c>
      <c r="C488" t="s">
        <v>30</v>
      </c>
      <c r="D488" t="s">
        <v>31</v>
      </c>
      <c r="E488">
        <v>3</v>
      </c>
      <c r="F488">
        <v>40</v>
      </c>
      <c r="G488">
        <v>11.64</v>
      </c>
      <c r="H488" t="s">
        <v>409</v>
      </c>
      <c r="I488" t="s">
        <v>19</v>
      </c>
      <c r="J488" t="s">
        <v>27</v>
      </c>
      <c r="K488" t="s">
        <v>70</v>
      </c>
      <c r="L488">
        <f t="shared" si="21"/>
        <v>120</v>
      </c>
      <c r="M488">
        <f t="shared" si="22"/>
        <v>34.92</v>
      </c>
      <c r="N488">
        <f t="shared" si="23"/>
        <v>85.08</v>
      </c>
      <c r="O488" cm="1">
        <f t="array" ref="O488">_xlfn.LET(_xlpm.cat, Greenleaf[[#This Row],[Product Category]], _xlpm.prices, _xlfn._xlws.FILTER(Greenleaf[Unit Price], (Greenleaf[Product Category]=_xlpm.cat)*(Greenleaf[Unit Price]&lt;&gt;"")), IFERROR(MEDIAN(_xlpm.prices), ""))</f>
        <v>40</v>
      </c>
      <c r="P488">
        <f>IF(Greenleaf[[#This Row],[Shipment Status]]="Returned",1,0)</f>
        <v>0</v>
      </c>
      <c r="Q488">
        <f>IF(Greenleaf[[#This Row],[Shipment Status]]="Delivered",1,0)</f>
        <v>1</v>
      </c>
    </row>
    <row r="489" spans="1:17" x14ac:dyDescent="0.45">
      <c r="A489" t="s">
        <v>820</v>
      </c>
      <c r="B489">
        <v>45462</v>
      </c>
      <c r="C489" t="s">
        <v>49</v>
      </c>
      <c r="D489" t="s">
        <v>50</v>
      </c>
      <c r="E489">
        <v>6</v>
      </c>
      <c r="F489">
        <v>15</v>
      </c>
      <c r="G489">
        <v>4.5599999999999996</v>
      </c>
      <c r="H489" t="s">
        <v>153</v>
      </c>
      <c r="I489" t="s">
        <v>154</v>
      </c>
      <c r="J489" t="s">
        <v>42</v>
      </c>
      <c r="K489" t="s">
        <v>34</v>
      </c>
      <c r="L489">
        <f t="shared" si="21"/>
        <v>90</v>
      </c>
      <c r="M489">
        <f t="shared" si="22"/>
        <v>27.36</v>
      </c>
      <c r="N489">
        <f t="shared" si="23"/>
        <v>62.64</v>
      </c>
      <c r="O489" cm="1">
        <f t="array" ref="O489">_xlfn.LET(_xlpm.cat, Greenleaf[[#This Row],[Product Category]], _xlpm.prices, _xlfn._xlws.FILTER(Greenleaf[Unit Price], (Greenleaf[Product Category]=_xlpm.cat)*(Greenleaf[Unit Price]&lt;&gt;"")), IFERROR(MEDIAN(_xlpm.prices), ""))</f>
        <v>15</v>
      </c>
      <c r="P489">
        <f>IF(Greenleaf[[#This Row],[Shipment Status]]="Returned",1,0)</f>
        <v>1</v>
      </c>
      <c r="Q489">
        <f>IF(Greenleaf[[#This Row],[Shipment Status]]="Delivered",1,0)</f>
        <v>0</v>
      </c>
    </row>
    <row r="490" spans="1:17" x14ac:dyDescent="0.45">
      <c r="A490" t="s">
        <v>821</v>
      </c>
      <c r="B490">
        <v>45462</v>
      </c>
      <c r="C490" t="s">
        <v>66</v>
      </c>
      <c r="D490" t="s">
        <v>67</v>
      </c>
      <c r="E490">
        <v>5</v>
      </c>
      <c r="F490">
        <v>12</v>
      </c>
      <c r="G490">
        <v>4.3499999999999996</v>
      </c>
      <c r="H490" t="s">
        <v>203</v>
      </c>
      <c r="I490" t="s">
        <v>204</v>
      </c>
      <c r="J490" t="s">
        <v>27</v>
      </c>
      <c r="K490" t="s">
        <v>74</v>
      </c>
      <c r="L490">
        <f t="shared" si="21"/>
        <v>60</v>
      </c>
      <c r="M490">
        <f t="shared" si="22"/>
        <v>21.75</v>
      </c>
      <c r="N490">
        <f t="shared" si="23"/>
        <v>38.25</v>
      </c>
      <c r="O490" cm="1">
        <f t="array" ref="O490">_xlfn.LET(_xlpm.cat, Greenleaf[[#This Row],[Product Category]], _xlpm.prices, _xlfn._xlws.FILTER(Greenleaf[Unit Price], (Greenleaf[Product Category]=_xlpm.cat)*(Greenleaf[Unit Price]&lt;&gt;"")), IFERROR(MEDIAN(_xlpm.prices), ""))</f>
        <v>12</v>
      </c>
      <c r="P490">
        <f>IF(Greenleaf[[#This Row],[Shipment Status]]="Returned",1,0)</f>
        <v>0</v>
      </c>
      <c r="Q490">
        <f>IF(Greenleaf[[#This Row],[Shipment Status]]="Delivered",1,0)</f>
        <v>1</v>
      </c>
    </row>
    <row r="491" spans="1:17" x14ac:dyDescent="0.45">
      <c r="A491" t="s">
        <v>822</v>
      </c>
      <c r="B491">
        <v>45463</v>
      </c>
      <c r="C491" t="s">
        <v>23</v>
      </c>
      <c r="D491" t="s">
        <v>24</v>
      </c>
      <c r="E491">
        <v>10</v>
      </c>
      <c r="F491">
        <v>25</v>
      </c>
      <c r="G491">
        <v>6.8</v>
      </c>
      <c r="H491" t="s">
        <v>99</v>
      </c>
      <c r="I491" t="s">
        <v>100</v>
      </c>
      <c r="J491" t="s">
        <v>27</v>
      </c>
      <c r="K491" t="s">
        <v>38</v>
      </c>
      <c r="L491">
        <f t="shared" si="21"/>
        <v>250</v>
      </c>
      <c r="M491">
        <f t="shared" si="22"/>
        <v>68</v>
      </c>
      <c r="N491">
        <f t="shared" si="23"/>
        <v>182</v>
      </c>
      <c r="O491" cm="1">
        <f t="array" ref="O491">_xlfn.LET(_xlpm.cat, Greenleaf[[#This Row],[Product Category]], _xlpm.prices, _xlfn._xlws.FILTER(Greenleaf[Unit Price], (Greenleaf[Product Category]=_xlpm.cat)*(Greenleaf[Unit Price]&lt;&gt;"")), IFERROR(MEDIAN(_xlpm.prices), ""))</f>
        <v>25</v>
      </c>
      <c r="P491">
        <f>IF(Greenleaf[[#This Row],[Shipment Status]]="Returned",1,0)</f>
        <v>0</v>
      </c>
      <c r="Q491">
        <f>IF(Greenleaf[[#This Row],[Shipment Status]]="Delivered",1,0)</f>
        <v>1</v>
      </c>
    </row>
    <row r="492" spans="1:17" x14ac:dyDescent="0.45">
      <c r="A492" t="s">
        <v>823</v>
      </c>
      <c r="B492">
        <v>45464</v>
      </c>
      <c r="C492" t="s">
        <v>66</v>
      </c>
      <c r="D492" t="s">
        <v>67</v>
      </c>
      <c r="E492">
        <v>4</v>
      </c>
      <c r="F492">
        <v>12</v>
      </c>
      <c r="G492">
        <v>3.38</v>
      </c>
      <c r="H492" t="s">
        <v>506</v>
      </c>
      <c r="I492" t="s">
        <v>225</v>
      </c>
      <c r="J492" t="s">
        <v>42</v>
      </c>
      <c r="K492" t="s">
        <v>134</v>
      </c>
      <c r="L492">
        <f t="shared" si="21"/>
        <v>48</v>
      </c>
      <c r="M492">
        <f t="shared" si="22"/>
        <v>13.52</v>
      </c>
      <c r="N492">
        <f t="shared" si="23"/>
        <v>34.480000000000004</v>
      </c>
      <c r="O492" cm="1">
        <f t="array" ref="O492">_xlfn.LET(_xlpm.cat, Greenleaf[[#This Row],[Product Category]], _xlpm.prices, _xlfn._xlws.FILTER(Greenleaf[Unit Price], (Greenleaf[Product Category]=_xlpm.cat)*(Greenleaf[Unit Price]&lt;&gt;"")), IFERROR(MEDIAN(_xlpm.prices), ""))</f>
        <v>12</v>
      </c>
      <c r="P492">
        <f>IF(Greenleaf[[#This Row],[Shipment Status]]="Returned",1,0)</f>
        <v>1</v>
      </c>
      <c r="Q492">
        <f>IF(Greenleaf[[#This Row],[Shipment Status]]="Delivered",1,0)</f>
        <v>0</v>
      </c>
    </row>
    <row r="493" spans="1:17" x14ac:dyDescent="0.45">
      <c r="A493" t="s">
        <v>824</v>
      </c>
      <c r="B493">
        <v>45464</v>
      </c>
      <c r="C493" t="s">
        <v>16</v>
      </c>
      <c r="D493" t="s">
        <v>17</v>
      </c>
      <c r="E493">
        <v>4</v>
      </c>
      <c r="F493">
        <v>10</v>
      </c>
      <c r="G493">
        <v>3.23</v>
      </c>
      <c r="H493" t="s">
        <v>734</v>
      </c>
      <c r="I493" t="s">
        <v>663</v>
      </c>
      <c r="J493" t="s">
        <v>42</v>
      </c>
      <c r="K493" t="s">
        <v>134</v>
      </c>
      <c r="L493">
        <f t="shared" si="21"/>
        <v>40</v>
      </c>
      <c r="M493">
        <f t="shared" si="22"/>
        <v>12.92</v>
      </c>
      <c r="N493">
        <f t="shared" si="23"/>
        <v>27.08</v>
      </c>
      <c r="O493" cm="1">
        <f t="array" ref="O493">_xlfn.LET(_xlpm.cat, Greenleaf[[#This Row],[Product Category]], _xlpm.prices, _xlfn._xlws.FILTER(Greenleaf[Unit Price], (Greenleaf[Product Category]=_xlpm.cat)*(Greenleaf[Unit Price]&lt;&gt;"")), IFERROR(MEDIAN(_xlpm.prices), ""))</f>
        <v>10</v>
      </c>
      <c r="P493">
        <f>IF(Greenleaf[[#This Row],[Shipment Status]]="Returned",1,0)</f>
        <v>1</v>
      </c>
      <c r="Q493">
        <f>IF(Greenleaf[[#This Row],[Shipment Status]]="Delivered",1,0)</f>
        <v>0</v>
      </c>
    </row>
    <row r="494" spans="1:17" x14ac:dyDescent="0.45">
      <c r="A494" t="s">
        <v>825</v>
      </c>
      <c r="B494">
        <v>45465</v>
      </c>
      <c r="C494" t="s">
        <v>66</v>
      </c>
      <c r="D494" t="s">
        <v>67</v>
      </c>
      <c r="E494">
        <v>8</v>
      </c>
      <c r="F494">
        <v>12</v>
      </c>
      <c r="G494">
        <v>4.22</v>
      </c>
      <c r="H494" t="s">
        <v>221</v>
      </c>
      <c r="I494" t="s">
        <v>222</v>
      </c>
      <c r="J494" t="s">
        <v>42</v>
      </c>
      <c r="K494" t="s">
        <v>43</v>
      </c>
      <c r="L494">
        <f t="shared" si="21"/>
        <v>96</v>
      </c>
      <c r="M494">
        <f t="shared" si="22"/>
        <v>33.76</v>
      </c>
      <c r="N494">
        <f t="shared" si="23"/>
        <v>62.24</v>
      </c>
      <c r="O494" cm="1">
        <f t="array" ref="O494">_xlfn.LET(_xlpm.cat, Greenleaf[[#This Row],[Product Category]], _xlpm.prices, _xlfn._xlws.FILTER(Greenleaf[Unit Price], (Greenleaf[Product Category]=_xlpm.cat)*(Greenleaf[Unit Price]&lt;&gt;"")), IFERROR(MEDIAN(_xlpm.prices), ""))</f>
        <v>12</v>
      </c>
      <c r="P494">
        <f>IF(Greenleaf[[#This Row],[Shipment Status]]="Returned",1,0)</f>
        <v>1</v>
      </c>
      <c r="Q494">
        <f>IF(Greenleaf[[#This Row],[Shipment Status]]="Delivered",1,0)</f>
        <v>0</v>
      </c>
    </row>
    <row r="495" spans="1:17" x14ac:dyDescent="0.45">
      <c r="A495" t="s">
        <v>826</v>
      </c>
      <c r="B495">
        <v>45465</v>
      </c>
      <c r="C495" t="s">
        <v>66</v>
      </c>
      <c r="D495" t="s">
        <v>67</v>
      </c>
      <c r="E495">
        <v>9</v>
      </c>
      <c r="F495">
        <v>12</v>
      </c>
      <c r="G495">
        <v>4.3</v>
      </c>
      <c r="H495" t="s">
        <v>68</v>
      </c>
      <c r="I495" t="s">
        <v>69</v>
      </c>
      <c r="J495" t="s">
        <v>20</v>
      </c>
      <c r="K495" t="s">
        <v>28</v>
      </c>
      <c r="L495">
        <f t="shared" si="21"/>
        <v>108</v>
      </c>
      <c r="M495">
        <f t="shared" si="22"/>
        <v>38.699999999999996</v>
      </c>
      <c r="N495">
        <f t="shared" si="23"/>
        <v>69.300000000000011</v>
      </c>
      <c r="O495" cm="1">
        <f t="array" ref="O495">_xlfn.LET(_xlpm.cat, Greenleaf[[#This Row],[Product Category]], _xlpm.prices, _xlfn._xlws.FILTER(Greenleaf[Unit Price], (Greenleaf[Product Category]=_xlpm.cat)*(Greenleaf[Unit Price]&lt;&gt;"")), IFERROR(MEDIAN(_xlpm.prices), ""))</f>
        <v>12</v>
      </c>
      <c r="P495">
        <f>IF(Greenleaf[[#This Row],[Shipment Status]]="Returned",1,0)</f>
        <v>0</v>
      </c>
      <c r="Q495">
        <f>IF(Greenleaf[[#This Row],[Shipment Status]]="Delivered",1,0)</f>
        <v>0</v>
      </c>
    </row>
    <row r="496" spans="1:17" x14ac:dyDescent="0.45">
      <c r="A496" t="s">
        <v>827</v>
      </c>
      <c r="B496">
        <v>45465</v>
      </c>
      <c r="C496" t="s">
        <v>66</v>
      </c>
      <c r="D496" t="s">
        <v>67</v>
      </c>
      <c r="E496">
        <v>7</v>
      </c>
      <c r="F496">
        <v>12</v>
      </c>
      <c r="G496">
        <v>2.96</v>
      </c>
      <c r="H496" t="s">
        <v>276</v>
      </c>
      <c r="I496" t="s">
        <v>277</v>
      </c>
      <c r="J496" t="s">
        <v>27</v>
      </c>
      <c r="K496" t="s">
        <v>134</v>
      </c>
      <c r="L496">
        <f t="shared" si="21"/>
        <v>84</v>
      </c>
      <c r="M496">
        <f t="shared" si="22"/>
        <v>20.72</v>
      </c>
      <c r="N496">
        <f t="shared" si="23"/>
        <v>63.28</v>
      </c>
      <c r="O496" cm="1">
        <f t="array" ref="O496">_xlfn.LET(_xlpm.cat, Greenleaf[[#This Row],[Product Category]], _xlpm.prices, _xlfn._xlws.FILTER(Greenleaf[Unit Price], (Greenleaf[Product Category]=_xlpm.cat)*(Greenleaf[Unit Price]&lt;&gt;"")), IFERROR(MEDIAN(_xlpm.prices), ""))</f>
        <v>12</v>
      </c>
      <c r="P496">
        <f>IF(Greenleaf[[#This Row],[Shipment Status]]="Returned",1,0)</f>
        <v>0</v>
      </c>
      <c r="Q496">
        <f>IF(Greenleaf[[#This Row],[Shipment Status]]="Delivered",1,0)</f>
        <v>1</v>
      </c>
    </row>
    <row r="497" spans="1:17" x14ac:dyDescent="0.45">
      <c r="A497" t="s">
        <v>828</v>
      </c>
      <c r="B497">
        <v>45466</v>
      </c>
      <c r="C497" t="s">
        <v>16</v>
      </c>
      <c r="D497" t="s">
        <v>17</v>
      </c>
      <c r="E497">
        <v>9</v>
      </c>
      <c r="F497">
        <v>10</v>
      </c>
      <c r="G497">
        <v>2.59</v>
      </c>
      <c r="H497" t="s">
        <v>405</v>
      </c>
      <c r="I497" t="s">
        <v>214</v>
      </c>
      <c r="J497" t="s">
        <v>27</v>
      </c>
      <c r="K497" t="s">
        <v>70</v>
      </c>
      <c r="L497">
        <f t="shared" si="21"/>
        <v>90</v>
      </c>
      <c r="M497">
        <f t="shared" si="22"/>
        <v>23.31</v>
      </c>
      <c r="N497">
        <f t="shared" si="23"/>
        <v>66.69</v>
      </c>
      <c r="O497" cm="1">
        <f t="array" ref="O497">_xlfn.LET(_xlpm.cat, Greenleaf[[#This Row],[Product Category]], _xlpm.prices, _xlfn._xlws.FILTER(Greenleaf[Unit Price], (Greenleaf[Product Category]=_xlpm.cat)*(Greenleaf[Unit Price]&lt;&gt;"")), IFERROR(MEDIAN(_xlpm.prices), ""))</f>
        <v>10</v>
      </c>
      <c r="P497">
        <f>IF(Greenleaf[[#This Row],[Shipment Status]]="Returned",1,0)</f>
        <v>0</v>
      </c>
      <c r="Q497">
        <f>IF(Greenleaf[[#This Row],[Shipment Status]]="Delivered",1,0)</f>
        <v>1</v>
      </c>
    </row>
    <row r="498" spans="1:17" x14ac:dyDescent="0.45">
      <c r="A498" t="s">
        <v>829</v>
      </c>
      <c r="B498">
        <v>45466</v>
      </c>
      <c r="C498" t="s">
        <v>66</v>
      </c>
      <c r="D498" t="s">
        <v>67</v>
      </c>
      <c r="E498">
        <v>10</v>
      </c>
      <c r="F498">
        <v>12</v>
      </c>
      <c r="G498">
        <v>4.32</v>
      </c>
      <c r="H498" t="s">
        <v>221</v>
      </c>
      <c r="I498" t="s">
        <v>222</v>
      </c>
      <c r="J498" t="s">
        <v>27</v>
      </c>
      <c r="K498" t="s">
        <v>59</v>
      </c>
      <c r="L498">
        <f t="shared" si="21"/>
        <v>120</v>
      </c>
      <c r="M498">
        <f t="shared" si="22"/>
        <v>43.2</v>
      </c>
      <c r="N498">
        <f t="shared" si="23"/>
        <v>76.8</v>
      </c>
      <c r="O498" cm="1">
        <f t="array" ref="O498">_xlfn.LET(_xlpm.cat, Greenleaf[[#This Row],[Product Category]], _xlpm.prices, _xlfn._xlws.FILTER(Greenleaf[Unit Price], (Greenleaf[Product Category]=_xlpm.cat)*(Greenleaf[Unit Price]&lt;&gt;"")), IFERROR(MEDIAN(_xlpm.prices), ""))</f>
        <v>12</v>
      </c>
      <c r="P498">
        <f>IF(Greenleaf[[#This Row],[Shipment Status]]="Returned",1,0)</f>
        <v>0</v>
      </c>
      <c r="Q498">
        <f>IF(Greenleaf[[#This Row],[Shipment Status]]="Delivered",1,0)</f>
        <v>1</v>
      </c>
    </row>
    <row r="499" spans="1:17" x14ac:dyDescent="0.45">
      <c r="A499" t="s">
        <v>830</v>
      </c>
      <c r="B499">
        <v>45466</v>
      </c>
      <c r="C499" t="s">
        <v>30</v>
      </c>
      <c r="D499" t="s">
        <v>31</v>
      </c>
      <c r="E499">
        <v>1</v>
      </c>
      <c r="F499">
        <v>40</v>
      </c>
      <c r="G499">
        <v>10.67</v>
      </c>
      <c r="H499" t="s">
        <v>185</v>
      </c>
      <c r="I499" t="s">
        <v>186</v>
      </c>
      <c r="J499" t="s">
        <v>27</v>
      </c>
      <c r="K499" t="s">
        <v>134</v>
      </c>
      <c r="L499">
        <f t="shared" si="21"/>
        <v>40</v>
      </c>
      <c r="M499">
        <f t="shared" si="22"/>
        <v>10.67</v>
      </c>
      <c r="N499">
        <f t="shared" si="23"/>
        <v>29.33</v>
      </c>
      <c r="O499" cm="1">
        <f t="array" ref="O499">_xlfn.LET(_xlpm.cat, Greenleaf[[#This Row],[Product Category]], _xlpm.prices, _xlfn._xlws.FILTER(Greenleaf[Unit Price], (Greenleaf[Product Category]=_xlpm.cat)*(Greenleaf[Unit Price]&lt;&gt;"")), IFERROR(MEDIAN(_xlpm.prices), ""))</f>
        <v>40</v>
      </c>
      <c r="P499">
        <f>IF(Greenleaf[[#This Row],[Shipment Status]]="Returned",1,0)</f>
        <v>0</v>
      </c>
      <c r="Q499">
        <f>IF(Greenleaf[[#This Row],[Shipment Status]]="Delivered",1,0)</f>
        <v>1</v>
      </c>
    </row>
    <row r="500" spans="1:17" x14ac:dyDescent="0.45">
      <c r="A500" t="s">
        <v>831</v>
      </c>
      <c r="B500">
        <v>45466</v>
      </c>
      <c r="C500" t="s">
        <v>30</v>
      </c>
      <c r="D500" t="s">
        <v>31</v>
      </c>
      <c r="E500">
        <v>3</v>
      </c>
      <c r="F500">
        <v>40</v>
      </c>
      <c r="G500">
        <v>9.52</v>
      </c>
      <c r="H500" t="s">
        <v>248</v>
      </c>
      <c r="I500" t="s">
        <v>249</v>
      </c>
      <c r="J500" t="s">
        <v>27</v>
      </c>
      <c r="K500" t="s">
        <v>59</v>
      </c>
      <c r="L500">
        <f t="shared" si="21"/>
        <v>120</v>
      </c>
      <c r="M500">
        <f t="shared" si="22"/>
        <v>28.56</v>
      </c>
      <c r="N500">
        <f t="shared" si="23"/>
        <v>91.44</v>
      </c>
      <c r="O500" cm="1">
        <f t="array" ref="O500">_xlfn.LET(_xlpm.cat, Greenleaf[[#This Row],[Product Category]], _xlpm.prices, _xlfn._xlws.FILTER(Greenleaf[Unit Price], (Greenleaf[Product Category]=_xlpm.cat)*(Greenleaf[Unit Price]&lt;&gt;"")), IFERROR(MEDIAN(_xlpm.prices), ""))</f>
        <v>40</v>
      </c>
      <c r="P500">
        <f>IF(Greenleaf[[#This Row],[Shipment Status]]="Returned",1,0)</f>
        <v>0</v>
      </c>
      <c r="Q500">
        <f>IF(Greenleaf[[#This Row],[Shipment Status]]="Delivered",1,0)</f>
        <v>1</v>
      </c>
    </row>
    <row r="501" spans="1:17" x14ac:dyDescent="0.45">
      <c r="A501" t="s">
        <v>832</v>
      </c>
      <c r="B501">
        <v>45466</v>
      </c>
      <c r="C501" t="s">
        <v>30</v>
      </c>
      <c r="D501" t="s">
        <v>31</v>
      </c>
      <c r="E501">
        <v>8</v>
      </c>
      <c r="F501">
        <v>40</v>
      </c>
      <c r="G501">
        <v>13.53</v>
      </c>
      <c r="H501" t="s">
        <v>92</v>
      </c>
      <c r="I501" t="s">
        <v>93</v>
      </c>
      <c r="J501" t="s">
        <v>27</v>
      </c>
      <c r="K501" t="s">
        <v>56</v>
      </c>
      <c r="L501">
        <f t="shared" si="21"/>
        <v>320</v>
      </c>
      <c r="M501">
        <f t="shared" si="22"/>
        <v>108.24</v>
      </c>
      <c r="N501">
        <f t="shared" si="23"/>
        <v>211.76</v>
      </c>
      <c r="O501" cm="1">
        <f t="array" ref="O501">_xlfn.LET(_xlpm.cat, Greenleaf[[#This Row],[Product Category]], _xlpm.prices, _xlfn._xlws.FILTER(Greenleaf[Unit Price], (Greenleaf[Product Category]=_xlpm.cat)*(Greenleaf[Unit Price]&lt;&gt;"")), IFERROR(MEDIAN(_xlpm.prices), ""))</f>
        <v>40</v>
      </c>
      <c r="P501">
        <f>IF(Greenleaf[[#This Row],[Shipment Status]]="Returned",1,0)</f>
        <v>0</v>
      </c>
      <c r="Q501">
        <f>IF(Greenleaf[[#This Row],[Shipment Status]]="Delivered",1,0)</f>
        <v>1</v>
      </c>
    </row>
    <row r="502" spans="1:17" x14ac:dyDescent="0.45">
      <c r="A502" t="s">
        <v>833</v>
      </c>
      <c r="B502">
        <v>45467</v>
      </c>
      <c r="C502" t="s">
        <v>30</v>
      </c>
      <c r="D502" t="s">
        <v>31</v>
      </c>
      <c r="E502">
        <v>2</v>
      </c>
      <c r="F502">
        <v>40</v>
      </c>
      <c r="G502">
        <v>11.47</v>
      </c>
      <c r="H502" t="s">
        <v>263</v>
      </c>
      <c r="I502" t="s">
        <v>128</v>
      </c>
      <c r="J502" t="s">
        <v>27</v>
      </c>
      <c r="K502" t="s">
        <v>74</v>
      </c>
      <c r="L502">
        <f t="shared" si="21"/>
        <v>80</v>
      </c>
      <c r="M502">
        <f t="shared" si="22"/>
        <v>22.94</v>
      </c>
      <c r="N502">
        <f t="shared" si="23"/>
        <v>57.06</v>
      </c>
      <c r="O502" cm="1">
        <f t="array" ref="O502">_xlfn.LET(_xlpm.cat, Greenleaf[[#This Row],[Product Category]], _xlpm.prices, _xlfn._xlws.FILTER(Greenleaf[Unit Price], (Greenleaf[Product Category]=_xlpm.cat)*(Greenleaf[Unit Price]&lt;&gt;"")), IFERROR(MEDIAN(_xlpm.prices), ""))</f>
        <v>40</v>
      </c>
      <c r="P502">
        <f>IF(Greenleaf[[#This Row],[Shipment Status]]="Returned",1,0)</f>
        <v>0</v>
      </c>
      <c r="Q502">
        <f>IF(Greenleaf[[#This Row],[Shipment Status]]="Delivered",1,0)</f>
        <v>1</v>
      </c>
    </row>
    <row r="503" spans="1:17" x14ac:dyDescent="0.45">
      <c r="A503" t="s">
        <v>834</v>
      </c>
      <c r="B503">
        <v>45467</v>
      </c>
      <c r="C503" t="s">
        <v>23</v>
      </c>
      <c r="D503" t="s">
        <v>24</v>
      </c>
      <c r="E503">
        <v>4</v>
      </c>
      <c r="F503">
        <v>25</v>
      </c>
      <c r="G503">
        <v>6.06</v>
      </c>
      <c r="H503" t="s">
        <v>835</v>
      </c>
      <c r="I503" t="s">
        <v>249</v>
      </c>
      <c r="J503" t="s">
        <v>20</v>
      </c>
      <c r="K503" t="s">
        <v>70</v>
      </c>
      <c r="L503">
        <f t="shared" si="21"/>
        <v>100</v>
      </c>
      <c r="M503">
        <f t="shared" si="22"/>
        <v>24.24</v>
      </c>
      <c r="N503">
        <f t="shared" si="23"/>
        <v>75.760000000000005</v>
      </c>
      <c r="O503" cm="1">
        <f t="array" ref="O503">_xlfn.LET(_xlpm.cat, Greenleaf[[#This Row],[Product Category]], _xlpm.prices, _xlfn._xlws.FILTER(Greenleaf[Unit Price], (Greenleaf[Product Category]=_xlpm.cat)*(Greenleaf[Unit Price]&lt;&gt;"")), IFERROR(MEDIAN(_xlpm.prices), ""))</f>
        <v>25</v>
      </c>
      <c r="P503">
        <f>IF(Greenleaf[[#This Row],[Shipment Status]]="Returned",1,0)</f>
        <v>0</v>
      </c>
      <c r="Q503">
        <f>IF(Greenleaf[[#This Row],[Shipment Status]]="Delivered",1,0)</f>
        <v>0</v>
      </c>
    </row>
    <row r="504" spans="1:17" x14ac:dyDescent="0.45">
      <c r="A504" t="s">
        <v>836</v>
      </c>
      <c r="B504">
        <v>45468</v>
      </c>
      <c r="C504" t="s">
        <v>49</v>
      </c>
      <c r="D504" t="s">
        <v>50</v>
      </c>
      <c r="E504">
        <v>5</v>
      </c>
      <c r="F504">
        <v>15</v>
      </c>
      <c r="G504">
        <v>3.29</v>
      </c>
      <c r="H504" t="s">
        <v>502</v>
      </c>
      <c r="I504" t="s">
        <v>280</v>
      </c>
      <c r="J504" t="s">
        <v>27</v>
      </c>
      <c r="K504" t="s">
        <v>74</v>
      </c>
      <c r="L504">
        <f t="shared" si="21"/>
        <v>75</v>
      </c>
      <c r="M504">
        <f t="shared" si="22"/>
        <v>16.45</v>
      </c>
      <c r="N504">
        <f t="shared" si="23"/>
        <v>58.55</v>
      </c>
      <c r="O504" cm="1">
        <f t="array" ref="O504">_xlfn.LET(_xlpm.cat, Greenleaf[[#This Row],[Product Category]], _xlpm.prices, _xlfn._xlws.FILTER(Greenleaf[Unit Price], (Greenleaf[Product Category]=_xlpm.cat)*(Greenleaf[Unit Price]&lt;&gt;"")), IFERROR(MEDIAN(_xlpm.prices), ""))</f>
        <v>15</v>
      </c>
      <c r="P504">
        <f>IF(Greenleaf[[#This Row],[Shipment Status]]="Returned",1,0)</f>
        <v>0</v>
      </c>
      <c r="Q504">
        <f>IF(Greenleaf[[#This Row],[Shipment Status]]="Delivered",1,0)</f>
        <v>1</v>
      </c>
    </row>
    <row r="505" spans="1:17" x14ac:dyDescent="0.45">
      <c r="A505" t="s">
        <v>837</v>
      </c>
      <c r="B505">
        <v>45468</v>
      </c>
      <c r="C505" t="s">
        <v>66</v>
      </c>
      <c r="D505" t="s">
        <v>67</v>
      </c>
      <c r="E505">
        <v>9</v>
      </c>
      <c r="F505">
        <v>12</v>
      </c>
      <c r="G505">
        <v>4.29</v>
      </c>
      <c r="H505" t="s">
        <v>436</v>
      </c>
      <c r="I505" t="s">
        <v>437</v>
      </c>
      <c r="J505" t="s">
        <v>27</v>
      </c>
      <c r="K505" t="s">
        <v>28</v>
      </c>
      <c r="L505">
        <f t="shared" si="21"/>
        <v>108</v>
      </c>
      <c r="M505">
        <f t="shared" si="22"/>
        <v>38.61</v>
      </c>
      <c r="N505">
        <f t="shared" si="23"/>
        <v>69.39</v>
      </c>
      <c r="O505" cm="1">
        <f t="array" ref="O505">_xlfn.LET(_xlpm.cat, Greenleaf[[#This Row],[Product Category]], _xlpm.prices, _xlfn._xlws.FILTER(Greenleaf[Unit Price], (Greenleaf[Product Category]=_xlpm.cat)*(Greenleaf[Unit Price]&lt;&gt;"")), IFERROR(MEDIAN(_xlpm.prices), ""))</f>
        <v>12</v>
      </c>
      <c r="P505">
        <f>IF(Greenleaf[[#This Row],[Shipment Status]]="Returned",1,0)</f>
        <v>0</v>
      </c>
      <c r="Q505">
        <f>IF(Greenleaf[[#This Row],[Shipment Status]]="Delivered",1,0)</f>
        <v>1</v>
      </c>
    </row>
    <row r="506" spans="1:17" x14ac:dyDescent="0.45">
      <c r="A506" t="s">
        <v>838</v>
      </c>
      <c r="B506">
        <v>45468</v>
      </c>
      <c r="C506" t="s">
        <v>66</v>
      </c>
      <c r="D506" t="s">
        <v>67</v>
      </c>
      <c r="E506">
        <v>4</v>
      </c>
      <c r="F506">
        <v>12</v>
      </c>
      <c r="G506">
        <v>3.42</v>
      </c>
      <c r="H506" t="s">
        <v>348</v>
      </c>
      <c r="I506" t="s">
        <v>349</v>
      </c>
      <c r="J506" t="s">
        <v>27</v>
      </c>
      <c r="K506" t="s">
        <v>74</v>
      </c>
      <c r="L506">
        <f t="shared" si="21"/>
        <v>48</v>
      </c>
      <c r="M506">
        <f t="shared" si="22"/>
        <v>13.68</v>
      </c>
      <c r="N506">
        <f t="shared" si="23"/>
        <v>34.32</v>
      </c>
      <c r="O506" cm="1">
        <f t="array" ref="O506">_xlfn.LET(_xlpm.cat, Greenleaf[[#This Row],[Product Category]], _xlpm.prices, _xlfn._xlws.FILTER(Greenleaf[Unit Price], (Greenleaf[Product Category]=_xlpm.cat)*(Greenleaf[Unit Price]&lt;&gt;"")), IFERROR(MEDIAN(_xlpm.prices), ""))</f>
        <v>12</v>
      </c>
      <c r="P506">
        <f>IF(Greenleaf[[#This Row],[Shipment Status]]="Returned",1,0)</f>
        <v>0</v>
      </c>
      <c r="Q506">
        <f>IF(Greenleaf[[#This Row],[Shipment Status]]="Delivered",1,0)</f>
        <v>1</v>
      </c>
    </row>
    <row r="507" spans="1:17" x14ac:dyDescent="0.45">
      <c r="A507" t="s">
        <v>839</v>
      </c>
      <c r="B507">
        <v>45469</v>
      </c>
      <c r="C507" t="s">
        <v>49</v>
      </c>
      <c r="D507" t="s">
        <v>50</v>
      </c>
      <c r="E507">
        <v>6</v>
      </c>
      <c r="F507">
        <v>15</v>
      </c>
      <c r="G507">
        <v>5.73</v>
      </c>
      <c r="H507" t="s">
        <v>840</v>
      </c>
      <c r="I507" t="s">
        <v>518</v>
      </c>
      <c r="J507" t="s">
        <v>20</v>
      </c>
      <c r="K507" t="s">
        <v>43</v>
      </c>
      <c r="L507">
        <f t="shared" si="21"/>
        <v>90</v>
      </c>
      <c r="M507">
        <f t="shared" si="22"/>
        <v>34.380000000000003</v>
      </c>
      <c r="N507">
        <f t="shared" si="23"/>
        <v>55.62</v>
      </c>
      <c r="O507" cm="1">
        <f t="array" ref="O507">_xlfn.LET(_xlpm.cat, Greenleaf[[#This Row],[Product Category]], _xlpm.prices, _xlfn._xlws.FILTER(Greenleaf[Unit Price], (Greenleaf[Product Category]=_xlpm.cat)*(Greenleaf[Unit Price]&lt;&gt;"")), IFERROR(MEDIAN(_xlpm.prices), ""))</f>
        <v>15</v>
      </c>
      <c r="P507">
        <f>IF(Greenleaf[[#This Row],[Shipment Status]]="Returned",1,0)</f>
        <v>0</v>
      </c>
      <c r="Q507">
        <f>IF(Greenleaf[[#This Row],[Shipment Status]]="Delivered",1,0)</f>
        <v>0</v>
      </c>
    </row>
    <row r="508" spans="1:17" x14ac:dyDescent="0.45">
      <c r="A508" t="s">
        <v>841</v>
      </c>
      <c r="B508">
        <v>45470</v>
      </c>
      <c r="C508" t="s">
        <v>66</v>
      </c>
      <c r="D508" t="s">
        <v>67</v>
      </c>
      <c r="E508">
        <v>7</v>
      </c>
      <c r="F508">
        <v>12</v>
      </c>
      <c r="G508">
        <v>4.74</v>
      </c>
      <c r="H508" t="s">
        <v>254</v>
      </c>
      <c r="I508" t="s">
        <v>177</v>
      </c>
      <c r="J508" t="s">
        <v>27</v>
      </c>
      <c r="K508" t="s">
        <v>38</v>
      </c>
      <c r="L508">
        <f t="shared" si="21"/>
        <v>84</v>
      </c>
      <c r="M508">
        <f t="shared" si="22"/>
        <v>33.18</v>
      </c>
      <c r="N508">
        <f t="shared" si="23"/>
        <v>50.82</v>
      </c>
      <c r="O508" cm="1">
        <f t="array" ref="O508">_xlfn.LET(_xlpm.cat, Greenleaf[[#This Row],[Product Category]], _xlpm.prices, _xlfn._xlws.FILTER(Greenleaf[Unit Price], (Greenleaf[Product Category]=_xlpm.cat)*(Greenleaf[Unit Price]&lt;&gt;"")), IFERROR(MEDIAN(_xlpm.prices), ""))</f>
        <v>12</v>
      </c>
      <c r="P508">
        <f>IF(Greenleaf[[#This Row],[Shipment Status]]="Returned",1,0)</f>
        <v>0</v>
      </c>
      <c r="Q508">
        <f>IF(Greenleaf[[#This Row],[Shipment Status]]="Delivered",1,0)</f>
        <v>1</v>
      </c>
    </row>
    <row r="509" spans="1:17" x14ac:dyDescent="0.45">
      <c r="A509" t="s">
        <v>842</v>
      </c>
      <c r="B509">
        <v>45470</v>
      </c>
      <c r="C509" t="s">
        <v>66</v>
      </c>
      <c r="D509" t="s">
        <v>67</v>
      </c>
      <c r="E509">
        <v>3</v>
      </c>
      <c r="F509">
        <v>12</v>
      </c>
      <c r="G509">
        <v>2.81</v>
      </c>
      <c r="H509" t="s">
        <v>104</v>
      </c>
      <c r="I509" t="s">
        <v>105</v>
      </c>
      <c r="J509" t="s">
        <v>27</v>
      </c>
      <c r="K509" t="s">
        <v>56</v>
      </c>
      <c r="L509">
        <f t="shared" si="21"/>
        <v>36</v>
      </c>
      <c r="M509">
        <f t="shared" si="22"/>
        <v>8.43</v>
      </c>
      <c r="N509">
        <f t="shared" si="23"/>
        <v>27.57</v>
      </c>
      <c r="O509" cm="1">
        <f t="array" ref="O509">_xlfn.LET(_xlpm.cat, Greenleaf[[#This Row],[Product Category]], _xlpm.prices, _xlfn._xlws.FILTER(Greenleaf[Unit Price], (Greenleaf[Product Category]=_xlpm.cat)*(Greenleaf[Unit Price]&lt;&gt;"")), IFERROR(MEDIAN(_xlpm.prices), ""))</f>
        <v>12</v>
      </c>
      <c r="P509">
        <f>IF(Greenleaf[[#This Row],[Shipment Status]]="Returned",1,0)</f>
        <v>0</v>
      </c>
      <c r="Q509">
        <f>IF(Greenleaf[[#This Row],[Shipment Status]]="Delivered",1,0)</f>
        <v>1</v>
      </c>
    </row>
    <row r="510" spans="1:17" x14ac:dyDescent="0.45">
      <c r="A510" t="s">
        <v>843</v>
      </c>
      <c r="B510">
        <v>45470</v>
      </c>
      <c r="C510" t="s">
        <v>30</v>
      </c>
      <c r="D510" t="s">
        <v>31</v>
      </c>
      <c r="E510">
        <v>6</v>
      </c>
      <c r="F510">
        <v>40</v>
      </c>
      <c r="G510">
        <v>12.24</v>
      </c>
      <c r="H510" t="s">
        <v>179</v>
      </c>
      <c r="I510" t="s">
        <v>180</v>
      </c>
      <c r="J510" t="s">
        <v>27</v>
      </c>
      <c r="K510" t="s">
        <v>59</v>
      </c>
      <c r="L510">
        <f t="shared" si="21"/>
        <v>240</v>
      </c>
      <c r="M510">
        <f t="shared" si="22"/>
        <v>73.44</v>
      </c>
      <c r="N510">
        <f t="shared" si="23"/>
        <v>166.56</v>
      </c>
      <c r="O510" cm="1">
        <f t="array" ref="O510">_xlfn.LET(_xlpm.cat, Greenleaf[[#This Row],[Product Category]], _xlpm.prices, _xlfn._xlws.FILTER(Greenleaf[Unit Price], (Greenleaf[Product Category]=_xlpm.cat)*(Greenleaf[Unit Price]&lt;&gt;"")), IFERROR(MEDIAN(_xlpm.prices), ""))</f>
        <v>40</v>
      </c>
      <c r="P510">
        <f>IF(Greenleaf[[#This Row],[Shipment Status]]="Returned",1,0)</f>
        <v>0</v>
      </c>
      <c r="Q510">
        <f>IF(Greenleaf[[#This Row],[Shipment Status]]="Delivered",1,0)</f>
        <v>1</v>
      </c>
    </row>
    <row r="511" spans="1:17" x14ac:dyDescent="0.45">
      <c r="A511" t="s">
        <v>844</v>
      </c>
      <c r="B511">
        <v>45472</v>
      </c>
      <c r="C511" t="s">
        <v>66</v>
      </c>
      <c r="D511" t="s">
        <v>67</v>
      </c>
      <c r="E511">
        <v>10</v>
      </c>
      <c r="F511">
        <v>12</v>
      </c>
      <c r="G511">
        <v>4.72</v>
      </c>
      <c r="H511" t="s">
        <v>259</v>
      </c>
      <c r="I511" t="s">
        <v>260</v>
      </c>
      <c r="J511" t="s">
        <v>27</v>
      </c>
      <c r="K511" t="s">
        <v>56</v>
      </c>
      <c r="L511">
        <f t="shared" si="21"/>
        <v>120</v>
      </c>
      <c r="M511">
        <f t="shared" si="22"/>
        <v>47.199999999999996</v>
      </c>
      <c r="N511">
        <f t="shared" si="23"/>
        <v>72.800000000000011</v>
      </c>
      <c r="O511" cm="1">
        <f t="array" ref="O511">_xlfn.LET(_xlpm.cat, Greenleaf[[#This Row],[Product Category]], _xlpm.prices, _xlfn._xlws.FILTER(Greenleaf[Unit Price], (Greenleaf[Product Category]=_xlpm.cat)*(Greenleaf[Unit Price]&lt;&gt;"")), IFERROR(MEDIAN(_xlpm.prices), ""))</f>
        <v>12</v>
      </c>
      <c r="P511">
        <f>IF(Greenleaf[[#This Row],[Shipment Status]]="Returned",1,0)</f>
        <v>0</v>
      </c>
      <c r="Q511">
        <f>IF(Greenleaf[[#This Row],[Shipment Status]]="Delivered",1,0)</f>
        <v>1</v>
      </c>
    </row>
    <row r="512" spans="1:17" x14ac:dyDescent="0.45">
      <c r="A512" t="s">
        <v>845</v>
      </c>
      <c r="B512">
        <v>45473</v>
      </c>
      <c r="C512" t="s">
        <v>66</v>
      </c>
      <c r="D512" t="s">
        <v>67</v>
      </c>
      <c r="E512">
        <v>4</v>
      </c>
      <c r="F512">
        <v>12</v>
      </c>
      <c r="G512">
        <v>2.85</v>
      </c>
      <c r="H512" t="s">
        <v>846</v>
      </c>
      <c r="I512" t="s">
        <v>109</v>
      </c>
      <c r="J512" t="s">
        <v>27</v>
      </c>
      <c r="K512" t="s">
        <v>56</v>
      </c>
      <c r="L512">
        <f t="shared" si="21"/>
        <v>48</v>
      </c>
      <c r="M512">
        <f t="shared" si="22"/>
        <v>11.4</v>
      </c>
      <c r="N512">
        <f t="shared" si="23"/>
        <v>36.6</v>
      </c>
      <c r="O512" cm="1">
        <f t="array" ref="O512">_xlfn.LET(_xlpm.cat, Greenleaf[[#This Row],[Product Category]], _xlpm.prices, _xlfn._xlws.FILTER(Greenleaf[Unit Price], (Greenleaf[Product Category]=_xlpm.cat)*(Greenleaf[Unit Price]&lt;&gt;"")), IFERROR(MEDIAN(_xlpm.prices), ""))</f>
        <v>12</v>
      </c>
      <c r="P512">
        <f>IF(Greenleaf[[#This Row],[Shipment Status]]="Returned",1,0)</f>
        <v>0</v>
      </c>
      <c r="Q512">
        <f>IF(Greenleaf[[#This Row],[Shipment Status]]="Delivered",1,0)</f>
        <v>1</v>
      </c>
    </row>
    <row r="513" spans="1:17" x14ac:dyDescent="0.45">
      <c r="A513" t="s">
        <v>847</v>
      </c>
      <c r="B513">
        <v>45473</v>
      </c>
      <c r="C513" t="s">
        <v>49</v>
      </c>
      <c r="D513" t="s">
        <v>50</v>
      </c>
      <c r="E513">
        <v>4</v>
      </c>
      <c r="F513">
        <v>15</v>
      </c>
      <c r="G513">
        <v>5.4</v>
      </c>
      <c r="H513" t="s">
        <v>625</v>
      </c>
      <c r="I513" t="s">
        <v>374</v>
      </c>
      <c r="J513" t="s">
        <v>27</v>
      </c>
      <c r="K513" t="s">
        <v>21</v>
      </c>
      <c r="L513">
        <f t="shared" si="21"/>
        <v>60</v>
      </c>
      <c r="M513">
        <f t="shared" si="22"/>
        <v>21.6</v>
      </c>
      <c r="N513">
        <f t="shared" si="23"/>
        <v>38.4</v>
      </c>
      <c r="O513" cm="1">
        <f t="array" ref="O513">_xlfn.LET(_xlpm.cat, Greenleaf[[#This Row],[Product Category]], _xlpm.prices, _xlfn._xlws.FILTER(Greenleaf[Unit Price], (Greenleaf[Product Category]=_xlpm.cat)*(Greenleaf[Unit Price]&lt;&gt;"")), IFERROR(MEDIAN(_xlpm.prices), ""))</f>
        <v>15</v>
      </c>
      <c r="P513">
        <f>IF(Greenleaf[[#This Row],[Shipment Status]]="Returned",1,0)</f>
        <v>0</v>
      </c>
      <c r="Q513">
        <f>IF(Greenleaf[[#This Row],[Shipment Status]]="Delivered",1,0)</f>
        <v>1</v>
      </c>
    </row>
    <row r="514" spans="1:17" x14ac:dyDescent="0.45">
      <c r="A514" t="s">
        <v>848</v>
      </c>
      <c r="B514">
        <v>45473</v>
      </c>
      <c r="C514" t="s">
        <v>16</v>
      </c>
      <c r="D514" t="s">
        <v>17</v>
      </c>
      <c r="E514">
        <v>6</v>
      </c>
      <c r="F514">
        <v>10</v>
      </c>
      <c r="G514">
        <v>3.63</v>
      </c>
      <c r="H514" t="s">
        <v>371</v>
      </c>
      <c r="I514" t="s">
        <v>26</v>
      </c>
      <c r="J514" t="s">
        <v>20</v>
      </c>
      <c r="K514" t="s">
        <v>38</v>
      </c>
      <c r="L514">
        <f t="shared" ref="L514:L577" si="24">E514*F514</f>
        <v>60</v>
      </c>
      <c r="M514">
        <f t="shared" ref="M514:M577" si="25">E514*G514</f>
        <v>21.78</v>
      </c>
      <c r="N514">
        <f t="shared" ref="N514:N577" si="26">L514-M514</f>
        <v>38.22</v>
      </c>
      <c r="O514" cm="1">
        <f t="array" ref="O514">_xlfn.LET(_xlpm.cat, Greenleaf[[#This Row],[Product Category]], _xlpm.prices, _xlfn._xlws.FILTER(Greenleaf[Unit Price], (Greenleaf[Product Category]=_xlpm.cat)*(Greenleaf[Unit Price]&lt;&gt;"")), IFERROR(MEDIAN(_xlpm.prices), ""))</f>
        <v>10</v>
      </c>
      <c r="P514">
        <f>IF(Greenleaf[[#This Row],[Shipment Status]]="Returned",1,0)</f>
        <v>0</v>
      </c>
      <c r="Q514">
        <f>IF(Greenleaf[[#This Row],[Shipment Status]]="Delivered",1,0)</f>
        <v>0</v>
      </c>
    </row>
    <row r="515" spans="1:17" x14ac:dyDescent="0.45">
      <c r="A515" t="s">
        <v>849</v>
      </c>
      <c r="B515">
        <v>45473</v>
      </c>
      <c r="C515" t="s">
        <v>30</v>
      </c>
      <c r="D515" t="s">
        <v>31</v>
      </c>
      <c r="E515">
        <v>9</v>
      </c>
      <c r="F515">
        <v>40</v>
      </c>
      <c r="G515">
        <v>10.5</v>
      </c>
      <c r="H515" t="s">
        <v>502</v>
      </c>
      <c r="I515" t="s">
        <v>280</v>
      </c>
      <c r="J515" t="s">
        <v>20</v>
      </c>
      <c r="K515" t="s">
        <v>134</v>
      </c>
      <c r="L515">
        <f t="shared" si="24"/>
        <v>360</v>
      </c>
      <c r="M515">
        <f t="shared" si="25"/>
        <v>94.5</v>
      </c>
      <c r="N515">
        <f t="shared" si="26"/>
        <v>265.5</v>
      </c>
      <c r="O515" cm="1">
        <f t="array" ref="O515">_xlfn.LET(_xlpm.cat, Greenleaf[[#This Row],[Product Category]], _xlpm.prices, _xlfn._xlws.FILTER(Greenleaf[Unit Price], (Greenleaf[Product Category]=_xlpm.cat)*(Greenleaf[Unit Price]&lt;&gt;"")), IFERROR(MEDIAN(_xlpm.prices), ""))</f>
        <v>40</v>
      </c>
      <c r="P515">
        <f>IF(Greenleaf[[#This Row],[Shipment Status]]="Returned",1,0)</f>
        <v>0</v>
      </c>
      <c r="Q515">
        <f>IF(Greenleaf[[#This Row],[Shipment Status]]="Delivered",1,0)</f>
        <v>0</v>
      </c>
    </row>
    <row r="516" spans="1:17" x14ac:dyDescent="0.45">
      <c r="A516" t="s">
        <v>850</v>
      </c>
      <c r="B516">
        <v>45473</v>
      </c>
      <c r="C516" t="s">
        <v>23</v>
      </c>
      <c r="D516" t="s">
        <v>24</v>
      </c>
      <c r="E516">
        <v>10</v>
      </c>
      <c r="F516">
        <v>25</v>
      </c>
      <c r="G516">
        <v>9.86</v>
      </c>
      <c r="H516" t="s">
        <v>851</v>
      </c>
      <c r="I516" t="s">
        <v>852</v>
      </c>
      <c r="J516" t="s">
        <v>27</v>
      </c>
      <c r="K516" t="s">
        <v>134</v>
      </c>
      <c r="L516">
        <f t="shared" si="24"/>
        <v>250</v>
      </c>
      <c r="M516">
        <f t="shared" si="25"/>
        <v>98.6</v>
      </c>
      <c r="N516">
        <f t="shared" si="26"/>
        <v>151.4</v>
      </c>
      <c r="O516" cm="1">
        <f t="array" ref="O516">_xlfn.LET(_xlpm.cat, Greenleaf[[#This Row],[Product Category]], _xlpm.prices, _xlfn._xlws.FILTER(Greenleaf[Unit Price], (Greenleaf[Product Category]=_xlpm.cat)*(Greenleaf[Unit Price]&lt;&gt;"")), IFERROR(MEDIAN(_xlpm.prices), ""))</f>
        <v>25</v>
      </c>
      <c r="P516">
        <f>IF(Greenleaf[[#This Row],[Shipment Status]]="Returned",1,0)</f>
        <v>0</v>
      </c>
      <c r="Q516">
        <f>IF(Greenleaf[[#This Row],[Shipment Status]]="Delivered",1,0)</f>
        <v>1</v>
      </c>
    </row>
    <row r="517" spans="1:17" x14ac:dyDescent="0.45">
      <c r="A517" t="s">
        <v>853</v>
      </c>
      <c r="B517">
        <v>45474</v>
      </c>
      <c r="C517" t="s">
        <v>23</v>
      </c>
      <c r="D517" t="s">
        <v>24</v>
      </c>
      <c r="E517">
        <v>6</v>
      </c>
      <c r="F517">
        <v>25</v>
      </c>
      <c r="G517">
        <v>9.43</v>
      </c>
      <c r="H517" t="s">
        <v>282</v>
      </c>
      <c r="I517" t="s">
        <v>283</v>
      </c>
      <c r="J517" t="s">
        <v>27</v>
      </c>
      <c r="K517" t="s">
        <v>70</v>
      </c>
      <c r="L517">
        <f t="shared" si="24"/>
        <v>150</v>
      </c>
      <c r="M517">
        <f t="shared" si="25"/>
        <v>56.58</v>
      </c>
      <c r="N517">
        <f t="shared" si="26"/>
        <v>93.42</v>
      </c>
      <c r="O517" cm="1">
        <f t="array" ref="O517">_xlfn.LET(_xlpm.cat, Greenleaf[[#This Row],[Product Category]], _xlpm.prices, _xlfn._xlws.FILTER(Greenleaf[Unit Price], (Greenleaf[Product Category]=_xlpm.cat)*(Greenleaf[Unit Price]&lt;&gt;"")), IFERROR(MEDIAN(_xlpm.prices), ""))</f>
        <v>25</v>
      </c>
      <c r="P517">
        <f>IF(Greenleaf[[#This Row],[Shipment Status]]="Returned",1,0)</f>
        <v>0</v>
      </c>
      <c r="Q517">
        <f>IF(Greenleaf[[#This Row],[Shipment Status]]="Delivered",1,0)</f>
        <v>1</v>
      </c>
    </row>
    <row r="518" spans="1:17" x14ac:dyDescent="0.45">
      <c r="A518" t="s">
        <v>854</v>
      </c>
      <c r="B518">
        <v>45474</v>
      </c>
      <c r="C518" t="s">
        <v>23</v>
      </c>
      <c r="D518" t="s">
        <v>24</v>
      </c>
      <c r="E518">
        <v>10</v>
      </c>
      <c r="F518">
        <v>25</v>
      </c>
      <c r="G518">
        <v>6.74</v>
      </c>
      <c r="H518" t="s">
        <v>142</v>
      </c>
      <c r="I518" t="s">
        <v>143</v>
      </c>
      <c r="J518" t="s">
        <v>27</v>
      </c>
      <c r="K518" t="s">
        <v>28</v>
      </c>
      <c r="L518">
        <f t="shared" si="24"/>
        <v>250</v>
      </c>
      <c r="M518">
        <f t="shared" si="25"/>
        <v>67.400000000000006</v>
      </c>
      <c r="N518">
        <f t="shared" si="26"/>
        <v>182.6</v>
      </c>
      <c r="O518" cm="1">
        <f t="array" ref="O518">_xlfn.LET(_xlpm.cat, Greenleaf[[#This Row],[Product Category]], _xlpm.prices, _xlfn._xlws.FILTER(Greenleaf[Unit Price], (Greenleaf[Product Category]=_xlpm.cat)*(Greenleaf[Unit Price]&lt;&gt;"")), IFERROR(MEDIAN(_xlpm.prices), ""))</f>
        <v>25</v>
      </c>
      <c r="P518">
        <f>IF(Greenleaf[[#This Row],[Shipment Status]]="Returned",1,0)</f>
        <v>0</v>
      </c>
      <c r="Q518">
        <f>IF(Greenleaf[[#This Row],[Shipment Status]]="Delivered",1,0)</f>
        <v>1</v>
      </c>
    </row>
    <row r="519" spans="1:17" x14ac:dyDescent="0.45">
      <c r="A519" t="s">
        <v>855</v>
      </c>
      <c r="B519">
        <v>45474</v>
      </c>
      <c r="C519" t="s">
        <v>16</v>
      </c>
      <c r="D519" t="s">
        <v>17</v>
      </c>
      <c r="E519">
        <v>3</v>
      </c>
      <c r="F519">
        <v>10</v>
      </c>
      <c r="G519">
        <v>2.65</v>
      </c>
      <c r="H519" t="s">
        <v>272</v>
      </c>
      <c r="I519" t="s">
        <v>273</v>
      </c>
      <c r="J519" t="s">
        <v>27</v>
      </c>
      <c r="K519" t="s">
        <v>43</v>
      </c>
      <c r="L519">
        <f t="shared" si="24"/>
        <v>30</v>
      </c>
      <c r="M519">
        <f t="shared" si="25"/>
        <v>7.9499999999999993</v>
      </c>
      <c r="N519">
        <f t="shared" si="26"/>
        <v>22.05</v>
      </c>
      <c r="O519" cm="1">
        <f t="array" ref="O519">_xlfn.LET(_xlpm.cat, Greenleaf[[#This Row],[Product Category]], _xlpm.prices, _xlfn._xlws.FILTER(Greenleaf[Unit Price], (Greenleaf[Product Category]=_xlpm.cat)*(Greenleaf[Unit Price]&lt;&gt;"")), IFERROR(MEDIAN(_xlpm.prices), ""))</f>
        <v>10</v>
      </c>
      <c r="P519">
        <f>IF(Greenleaf[[#This Row],[Shipment Status]]="Returned",1,0)</f>
        <v>0</v>
      </c>
      <c r="Q519">
        <f>IF(Greenleaf[[#This Row],[Shipment Status]]="Delivered",1,0)</f>
        <v>1</v>
      </c>
    </row>
    <row r="520" spans="1:17" x14ac:dyDescent="0.45">
      <c r="A520" t="s">
        <v>856</v>
      </c>
      <c r="B520">
        <v>45474</v>
      </c>
      <c r="C520" t="s">
        <v>23</v>
      </c>
      <c r="D520" t="s">
        <v>24</v>
      </c>
      <c r="E520">
        <v>4</v>
      </c>
      <c r="F520">
        <v>25</v>
      </c>
      <c r="G520">
        <v>6.09</v>
      </c>
      <c r="H520" t="s">
        <v>150</v>
      </c>
      <c r="I520" t="s">
        <v>151</v>
      </c>
      <c r="J520" t="s">
        <v>27</v>
      </c>
      <c r="K520" t="s">
        <v>34</v>
      </c>
      <c r="L520">
        <f t="shared" si="24"/>
        <v>100</v>
      </c>
      <c r="M520">
        <f t="shared" si="25"/>
        <v>24.36</v>
      </c>
      <c r="N520">
        <f t="shared" si="26"/>
        <v>75.64</v>
      </c>
      <c r="O520" cm="1">
        <f t="array" ref="O520">_xlfn.LET(_xlpm.cat, Greenleaf[[#This Row],[Product Category]], _xlpm.prices, _xlfn._xlws.FILTER(Greenleaf[Unit Price], (Greenleaf[Product Category]=_xlpm.cat)*(Greenleaf[Unit Price]&lt;&gt;"")), IFERROR(MEDIAN(_xlpm.prices), ""))</f>
        <v>25</v>
      </c>
      <c r="P520">
        <f>IF(Greenleaf[[#This Row],[Shipment Status]]="Returned",1,0)</f>
        <v>0</v>
      </c>
      <c r="Q520">
        <f>IF(Greenleaf[[#This Row],[Shipment Status]]="Delivered",1,0)</f>
        <v>1</v>
      </c>
    </row>
    <row r="521" spans="1:17" x14ac:dyDescent="0.45">
      <c r="A521" t="s">
        <v>857</v>
      </c>
      <c r="B521">
        <v>45475</v>
      </c>
      <c r="C521" t="s">
        <v>16</v>
      </c>
      <c r="D521" t="s">
        <v>17</v>
      </c>
      <c r="E521">
        <v>4</v>
      </c>
      <c r="F521">
        <v>10</v>
      </c>
      <c r="G521">
        <v>3.41</v>
      </c>
      <c r="H521" t="s">
        <v>858</v>
      </c>
      <c r="I521" t="s">
        <v>859</v>
      </c>
      <c r="J521" t="s">
        <v>27</v>
      </c>
      <c r="K521" t="s">
        <v>74</v>
      </c>
      <c r="L521">
        <f t="shared" si="24"/>
        <v>40</v>
      </c>
      <c r="M521">
        <f t="shared" si="25"/>
        <v>13.64</v>
      </c>
      <c r="N521">
        <f t="shared" si="26"/>
        <v>26.36</v>
      </c>
      <c r="O521" cm="1">
        <f t="array" ref="O521">_xlfn.LET(_xlpm.cat, Greenleaf[[#This Row],[Product Category]], _xlpm.prices, _xlfn._xlws.FILTER(Greenleaf[Unit Price], (Greenleaf[Product Category]=_xlpm.cat)*(Greenleaf[Unit Price]&lt;&gt;"")), IFERROR(MEDIAN(_xlpm.prices), ""))</f>
        <v>10</v>
      </c>
      <c r="P521">
        <f>IF(Greenleaf[[#This Row],[Shipment Status]]="Returned",1,0)</f>
        <v>0</v>
      </c>
      <c r="Q521">
        <f>IF(Greenleaf[[#This Row],[Shipment Status]]="Delivered",1,0)</f>
        <v>1</v>
      </c>
    </row>
    <row r="522" spans="1:17" x14ac:dyDescent="0.45">
      <c r="A522" t="s">
        <v>860</v>
      </c>
      <c r="B522">
        <v>45475</v>
      </c>
      <c r="C522" t="s">
        <v>30</v>
      </c>
      <c r="D522" t="s">
        <v>31</v>
      </c>
      <c r="E522">
        <v>10</v>
      </c>
      <c r="F522">
        <v>40</v>
      </c>
      <c r="G522">
        <v>14.88</v>
      </c>
      <c r="H522" t="s">
        <v>148</v>
      </c>
      <c r="I522" t="s">
        <v>52</v>
      </c>
      <c r="J522" t="s">
        <v>47</v>
      </c>
      <c r="K522" t="s">
        <v>43</v>
      </c>
      <c r="L522">
        <f t="shared" si="24"/>
        <v>400</v>
      </c>
      <c r="M522">
        <f t="shared" si="25"/>
        <v>148.80000000000001</v>
      </c>
      <c r="N522">
        <f t="shared" si="26"/>
        <v>251.2</v>
      </c>
      <c r="O522" cm="1">
        <f t="array" ref="O522">_xlfn.LET(_xlpm.cat, Greenleaf[[#This Row],[Product Category]], _xlpm.prices, _xlfn._xlws.FILTER(Greenleaf[Unit Price], (Greenleaf[Product Category]=_xlpm.cat)*(Greenleaf[Unit Price]&lt;&gt;"")), IFERROR(MEDIAN(_xlpm.prices), ""))</f>
        <v>40</v>
      </c>
      <c r="P522">
        <f>IF(Greenleaf[[#This Row],[Shipment Status]]="Returned",1,0)</f>
        <v>0</v>
      </c>
      <c r="Q522">
        <f>IF(Greenleaf[[#This Row],[Shipment Status]]="Delivered",1,0)</f>
        <v>0</v>
      </c>
    </row>
    <row r="523" spans="1:17" x14ac:dyDescent="0.45">
      <c r="A523" t="s">
        <v>861</v>
      </c>
      <c r="B523">
        <v>45476</v>
      </c>
      <c r="C523" t="s">
        <v>30</v>
      </c>
      <c r="D523" t="s">
        <v>31</v>
      </c>
      <c r="E523">
        <v>8</v>
      </c>
      <c r="F523">
        <v>40</v>
      </c>
      <c r="G523">
        <v>13.65</v>
      </c>
      <c r="H523" t="s">
        <v>326</v>
      </c>
      <c r="I523" t="s">
        <v>327</v>
      </c>
      <c r="J523" t="s">
        <v>20</v>
      </c>
      <c r="K523" t="s">
        <v>74</v>
      </c>
      <c r="L523">
        <f t="shared" si="24"/>
        <v>320</v>
      </c>
      <c r="M523">
        <f t="shared" si="25"/>
        <v>109.2</v>
      </c>
      <c r="N523">
        <f t="shared" si="26"/>
        <v>210.8</v>
      </c>
      <c r="O523" cm="1">
        <f t="array" ref="O523">_xlfn.LET(_xlpm.cat, Greenleaf[[#This Row],[Product Category]], _xlpm.prices, _xlfn._xlws.FILTER(Greenleaf[Unit Price], (Greenleaf[Product Category]=_xlpm.cat)*(Greenleaf[Unit Price]&lt;&gt;"")), IFERROR(MEDIAN(_xlpm.prices), ""))</f>
        <v>40</v>
      </c>
      <c r="P523">
        <f>IF(Greenleaf[[#This Row],[Shipment Status]]="Returned",1,0)</f>
        <v>0</v>
      </c>
      <c r="Q523">
        <f>IF(Greenleaf[[#This Row],[Shipment Status]]="Delivered",1,0)</f>
        <v>0</v>
      </c>
    </row>
    <row r="524" spans="1:17" x14ac:dyDescent="0.45">
      <c r="A524" t="s">
        <v>862</v>
      </c>
      <c r="B524">
        <v>45476</v>
      </c>
      <c r="C524" t="s">
        <v>23</v>
      </c>
      <c r="D524" t="s">
        <v>24</v>
      </c>
      <c r="E524">
        <v>6</v>
      </c>
      <c r="F524">
        <v>25</v>
      </c>
      <c r="G524">
        <v>5.28</v>
      </c>
      <c r="H524" t="s">
        <v>439</v>
      </c>
      <c r="I524" t="s">
        <v>440</v>
      </c>
      <c r="J524" t="s">
        <v>47</v>
      </c>
      <c r="K524" t="s">
        <v>134</v>
      </c>
      <c r="L524">
        <f t="shared" si="24"/>
        <v>150</v>
      </c>
      <c r="M524">
        <f t="shared" si="25"/>
        <v>31.68</v>
      </c>
      <c r="N524">
        <f t="shared" si="26"/>
        <v>118.32</v>
      </c>
      <c r="O524" cm="1">
        <f t="array" ref="O524">_xlfn.LET(_xlpm.cat, Greenleaf[[#This Row],[Product Category]], _xlpm.prices, _xlfn._xlws.FILTER(Greenleaf[Unit Price], (Greenleaf[Product Category]=_xlpm.cat)*(Greenleaf[Unit Price]&lt;&gt;"")), IFERROR(MEDIAN(_xlpm.prices), ""))</f>
        <v>25</v>
      </c>
      <c r="P524">
        <f>IF(Greenleaf[[#This Row],[Shipment Status]]="Returned",1,0)</f>
        <v>0</v>
      </c>
      <c r="Q524">
        <f>IF(Greenleaf[[#This Row],[Shipment Status]]="Delivered",1,0)</f>
        <v>0</v>
      </c>
    </row>
    <row r="525" spans="1:17" x14ac:dyDescent="0.45">
      <c r="A525" t="s">
        <v>863</v>
      </c>
      <c r="B525">
        <v>45476</v>
      </c>
      <c r="C525" t="s">
        <v>23</v>
      </c>
      <c r="D525" t="s">
        <v>24</v>
      </c>
      <c r="E525">
        <v>2</v>
      </c>
      <c r="F525">
        <v>25</v>
      </c>
      <c r="G525">
        <v>8.89</v>
      </c>
      <c r="H525" t="s">
        <v>502</v>
      </c>
      <c r="I525" t="s">
        <v>280</v>
      </c>
      <c r="J525" t="s">
        <v>27</v>
      </c>
      <c r="K525" t="s">
        <v>56</v>
      </c>
      <c r="L525">
        <f t="shared" si="24"/>
        <v>50</v>
      </c>
      <c r="M525">
        <f t="shared" si="25"/>
        <v>17.78</v>
      </c>
      <c r="N525">
        <f t="shared" si="26"/>
        <v>32.22</v>
      </c>
      <c r="O525" cm="1">
        <f t="array" ref="O525">_xlfn.LET(_xlpm.cat, Greenleaf[[#This Row],[Product Category]], _xlpm.prices, _xlfn._xlws.FILTER(Greenleaf[Unit Price], (Greenleaf[Product Category]=_xlpm.cat)*(Greenleaf[Unit Price]&lt;&gt;"")), IFERROR(MEDIAN(_xlpm.prices), ""))</f>
        <v>25</v>
      </c>
      <c r="P525">
        <f>IF(Greenleaf[[#This Row],[Shipment Status]]="Returned",1,0)</f>
        <v>0</v>
      </c>
      <c r="Q525">
        <f>IF(Greenleaf[[#This Row],[Shipment Status]]="Delivered",1,0)</f>
        <v>1</v>
      </c>
    </row>
    <row r="526" spans="1:17" x14ac:dyDescent="0.45">
      <c r="A526" t="s">
        <v>864</v>
      </c>
      <c r="B526">
        <v>45476</v>
      </c>
      <c r="C526" t="s">
        <v>66</v>
      </c>
      <c r="D526" t="s">
        <v>67</v>
      </c>
      <c r="E526">
        <v>6</v>
      </c>
      <c r="F526">
        <v>12</v>
      </c>
      <c r="G526">
        <v>4.28</v>
      </c>
      <c r="H526" t="s">
        <v>251</v>
      </c>
      <c r="I526" t="s">
        <v>252</v>
      </c>
      <c r="J526" t="s">
        <v>42</v>
      </c>
      <c r="K526" t="s">
        <v>28</v>
      </c>
      <c r="L526">
        <f t="shared" si="24"/>
        <v>72</v>
      </c>
      <c r="M526">
        <f t="shared" si="25"/>
        <v>25.68</v>
      </c>
      <c r="N526">
        <f t="shared" si="26"/>
        <v>46.32</v>
      </c>
      <c r="O526" cm="1">
        <f t="array" ref="O526">_xlfn.LET(_xlpm.cat, Greenleaf[[#This Row],[Product Category]], _xlpm.prices, _xlfn._xlws.FILTER(Greenleaf[Unit Price], (Greenleaf[Product Category]=_xlpm.cat)*(Greenleaf[Unit Price]&lt;&gt;"")), IFERROR(MEDIAN(_xlpm.prices), ""))</f>
        <v>12</v>
      </c>
      <c r="P526">
        <f>IF(Greenleaf[[#This Row],[Shipment Status]]="Returned",1,0)</f>
        <v>1</v>
      </c>
      <c r="Q526">
        <f>IF(Greenleaf[[#This Row],[Shipment Status]]="Delivered",1,0)</f>
        <v>0</v>
      </c>
    </row>
    <row r="527" spans="1:17" x14ac:dyDescent="0.45">
      <c r="A527" t="s">
        <v>865</v>
      </c>
      <c r="B527">
        <v>45477</v>
      </c>
      <c r="C527" t="s">
        <v>16</v>
      </c>
      <c r="D527" t="s">
        <v>17</v>
      </c>
      <c r="E527">
        <v>8</v>
      </c>
      <c r="F527">
        <v>10</v>
      </c>
      <c r="G527">
        <v>3.74</v>
      </c>
      <c r="H527" t="s">
        <v>292</v>
      </c>
      <c r="I527" t="s">
        <v>90</v>
      </c>
      <c r="J527" t="s">
        <v>20</v>
      </c>
      <c r="K527" t="s">
        <v>43</v>
      </c>
      <c r="L527">
        <f t="shared" si="24"/>
        <v>80</v>
      </c>
      <c r="M527">
        <f t="shared" si="25"/>
        <v>29.92</v>
      </c>
      <c r="N527">
        <f t="shared" si="26"/>
        <v>50.08</v>
      </c>
      <c r="O527" cm="1">
        <f t="array" ref="O527">_xlfn.LET(_xlpm.cat, Greenleaf[[#This Row],[Product Category]], _xlpm.prices, _xlfn._xlws.FILTER(Greenleaf[Unit Price], (Greenleaf[Product Category]=_xlpm.cat)*(Greenleaf[Unit Price]&lt;&gt;"")), IFERROR(MEDIAN(_xlpm.prices), ""))</f>
        <v>10</v>
      </c>
      <c r="P527">
        <f>IF(Greenleaf[[#This Row],[Shipment Status]]="Returned",1,0)</f>
        <v>0</v>
      </c>
      <c r="Q527">
        <f>IF(Greenleaf[[#This Row],[Shipment Status]]="Delivered",1,0)</f>
        <v>0</v>
      </c>
    </row>
    <row r="528" spans="1:17" x14ac:dyDescent="0.45">
      <c r="A528" t="s">
        <v>866</v>
      </c>
      <c r="B528">
        <v>45477</v>
      </c>
      <c r="C528" t="s">
        <v>23</v>
      </c>
      <c r="D528" t="s">
        <v>24</v>
      </c>
      <c r="E528">
        <v>3</v>
      </c>
      <c r="F528">
        <v>25</v>
      </c>
      <c r="G528">
        <v>5.52</v>
      </c>
      <c r="H528" t="s">
        <v>424</v>
      </c>
      <c r="I528" t="s">
        <v>192</v>
      </c>
      <c r="J528" t="s">
        <v>27</v>
      </c>
      <c r="K528" t="s">
        <v>59</v>
      </c>
      <c r="L528">
        <f t="shared" si="24"/>
        <v>75</v>
      </c>
      <c r="M528">
        <f t="shared" si="25"/>
        <v>16.559999999999999</v>
      </c>
      <c r="N528">
        <f t="shared" si="26"/>
        <v>58.44</v>
      </c>
      <c r="O528" cm="1">
        <f t="array" ref="O528">_xlfn.LET(_xlpm.cat, Greenleaf[[#This Row],[Product Category]], _xlpm.prices, _xlfn._xlws.FILTER(Greenleaf[Unit Price], (Greenleaf[Product Category]=_xlpm.cat)*(Greenleaf[Unit Price]&lt;&gt;"")), IFERROR(MEDIAN(_xlpm.prices), ""))</f>
        <v>25</v>
      </c>
      <c r="P528">
        <f>IF(Greenleaf[[#This Row],[Shipment Status]]="Returned",1,0)</f>
        <v>0</v>
      </c>
      <c r="Q528">
        <f>IF(Greenleaf[[#This Row],[Shipment Status]]="Delivered",1,0)</f>
        <v>1</v>
      </c>
    </row>
    <row r="529" spans="1:17" x14ac:dyDescent="0.45">
      <c r="A529" t="s">
        <v>867</v>
      </c>
      <c r="B529">
        <v>45477</v>
      </c>
      <c r="C529" t="s">
        <v>30</v>
      </c>
      <c r="D529" t="s">
        <v>31</v>
      </c>
      <c r="E529">
        <v>6</v>
      </c>
      <c r="F529">
        <v>40</v>
      </c>
      <c r="G529">
        <v>11.74</v>
      </c>
      <c r="H529" t="s">
        <v>158</v>
      </c>
      <c r="I529" t="s">
        <v>37</v>
      </c>
      <c r="J529" t="s">
        <v>27</v>
      </c>
      <c r="K529" t="s">
        <v>21</v>
      </c>
      <c r="L529">
        <f t="shared" si="24"/>
        <v>240</v>
      </c>
      <c r="M529">
        <f t="shared" si="25"/>
        <v>70.44</v>
      </c>
      <c r="N529">
        <f t="shared" si="26"/>
        <v>169.56</v>
      </c>
      <c r="O529" cm="1">
        <f t="array" ref="O529">_xlfn.LET(_xlpm.cat, Greenleaf[[#This Row],[Product Category]], _xlpm.prices, _xlfn._xlws.FILTER(Greenleaf[Unit Price], (Greenleaf[Product Category]=_xlpm.cat)*(Greenleaf[Unit Price]&lt;&gt;"")), IFERROR(MEDIAN(_xlpm.prices), ""))</f>
        <v>40</v>
      </c>
      <c r="P529">
        <f>IF(Greenleaf[[#This Row],[Shipment Status]]="Returned",1,0)</f>
        <v>0</v>
      </c>
      <c r="Q529">
        <f>IF(Greenleaf[[#This Row],[Shipment Status]]="Delivered",1,0)</f>
        <v>1</v>
      </c>
    </row>
    <row r="530" spans="1:17" x14ac:dyDescent="0.45">
      <c r="A530" t="s">
        <v>868</v>
      </c>
      <c r="B530">
        <v>45478</v>
      </c>
      <c r="C530" t="s">
        <v>49</v>
      </c>
      <c r="D530" t="s">
        <v>50</v>
      </c>
      <c r="E530">
        <v>2</v>
      </c>
      <c r="F530">
        <v>15</v>
      </c>
      <c r="G530">
        <v>4.2699999999999996</v>
      </c>
      <c r="H530" t="s">
        <v>389</v>
      </c>
      <c r="I530" t="s">
        <v>390</v>
      </c>
      <c r="J530" t="s">
        <v>20</v>
      </c>
      <c r="K530" t="s">
        <v>59</v>
      </c>
      <c r="L530">
        <f t="shared" si="24"/>
        <v>30</v>
      </c>
      <c r="M530">
        <f t="shared" si="25"/>
        <v>8.5399999999999991</v>
      </c>
      <c r="N530">
        <f t="shared" si="26"/>
        <v>21.46</v>
      </c>
      <c r="O530" cm="1">
        <f t="array" ref="O530">_xlfn.LET(_xlpm.cat, Greenleaf[[#This Row],[Product Category]], _xlpm.prices, _xlfn._xlws.FILTER(Greenleaf[Unit Price], (Greenleaf[Product Category]=_xlpm.cat)*(Greenleaf[Unit Price]&lt;&gt;"")), IFERROR(MEDIAN(_xlpm.prices), ""))</f>
        <v>15</v>
      </c>
      <c r="P530">
        <f>IF(Greenleaf[[#This Row],[Shipment Status]]="Returned",1,0)</f>
        <v>0</v>
      </c>
      <c r="Q530">
        <f>IF(Greenleaf[[#This Row],[Shipment Status]]="Delivered",1,0)</f>
        <v>0</v>
      </c>
    </row>
    <row r="531" spans="1:17" x14ac:dyDescent="0.45">
      <c r="A531" t="s">
        <v>869</v>
      </c>
      <c r="B531">
        <v>45478</v>
      </c>
      <c r="C531" t="s">
        <v>23</v>
      </c>
      <c r="D531" t="s">
        <v>24</v>
      </c>
      <c r="E531">
        <v>10</v>
      </c>
      <c r="F531">
        <v>25</v>
      </c>
      <c r="G531">
        <v>9.14</v>
      </c>
      <c r="H531" t="s">
        <v>365</v>
      </c>
      <c r="I531" t="s">
        <v>115</v>
      </c>
      <c r="J531" t="s">
        <v>20</v>
      </c>
      <c r="K531" t="s">
        <v>43</v>
      </c>
      <c r="L531">
        <f t="shared" si="24"/>
        <v>250</v>
      </c>
      <c r="M531">
        <f t="shared" si="25"/>
        <v>91.4</v>
      </c>
      <c r="N531">
        <f t="shared" si="26"/>
        <v>158.6</v>
      </c>
      <c r="O531" cm="1">
        <f t="array" ref="O531">_xlfn.LET(_xlpm.cat, Greenleaf[[#This Row],[Product Category]], _xlpm.prices, _xlfn._xlws.FILTER(Greenleaf[Unit Price], (Greenleaf[Product Category]=_xlpm.cat)*(Greenleaf[Unit Price]&lt;&gt;"")), IFERROR(MEDIAN(_xlpm.prices), ""))</f>
        <v>25</v>
      </c>
      <c r="P531">
        <f>IF(Greenleaf[[#This Row],[Shipment Status]]="Returned",1,0)</f>
        <v>0</v>
      </c>
      <c r="Q531">
        <f>IF(Greenleaf[[#This Row],[Shipment Status]]="Delivered",1,0)</f>
        <v>0</v>
      </c>
    </row>
    <row r="532" spans="1:17" x14ac:dyDescent="0.45">
      <c r="A532" t="s">
        <v>870</v>
      </c>
      <c r="B532">
        <v>45478</v>
      </c>
      <c r="C532" t="s">
        <v>30</v>
      </c>
      <c r="D532" t="s">
        <v>31</v>
      </c>
      <c r="E532">
        <v>9</v>
      </c>
      <c r="F532">
        <v>40</v>
      </c>
      <c r="G532">
        <v>15.55</v>
      </c>
      <c r="H532" t="s">
        <v>289</v>
      </c>
      <c r="I532" t="s">
        <v>290</v>
      </c>
      <c r="J532" t="s">
        <v>27</v>
      </c>
      <c r="K532" t="s">
        <v>43</v>
      </c>
      <c r="L532">
        <f t="shared" si="24"/>
        <v>360</v>
      </c>
      <c r="M532">
        <f t="shared" si="25"/>
        <v>139.95000000000002</v>
      </c>
      <c r="N532">
        <f t="shared" si="26"/>
        <v>220.04999999999998</v>
      </c>
      <c r="O532" cm="1">
        <f t="array" ref="O532">_xlfn.LET(_xlpm.cat, Greenleaf[[#This Row],[Product Category]], _xlpm.prices, _xlfn._xlws.FILTER(Greenleaf[Unit Price], (Greenleaf[Product Category]=_xlpm.cat)*(Greenleaf[Unit Price]&lt;&gt;"")), IFERROR(MEDIAN(_xlpm.prices), ""))</f>
        <v>40</v>
      </c>
      <c r="P532">
        <f>IF(Greenleaf[[#This Row],[Shipment Status]]="Returned",1,0)</f>
        <v>0</v>
      </c>
      <c r="Q532">
        <f>IF(Greenleaf[[#This Row],[Shipment Status]]="Delivered",1,0)</f>
        <v>1</v>
      </c>
    </row>
    <row r="533" spans="1:17" x14ac:dyDescent="0.45">
      <c r="A533" t="s">
        <v>871</v>
      </c>
      <c r="B533">
        <v>45478</v>
      </c>
      <c r="C533" t="s">
        <v>30</v>
      </c>
      <c r="D533" t="s">
        <v>31</v>
      </c>
      <c r="E533">
        <v>7</v>
      </c>
      <c r="F533">
        <v>40</v>
      </c>
      <c r="G533">
        <v>11.99</v>
      </c>
      <c r="H533" t="s">
        <v>550</v>
      </c>
      <c r="I533" t="s">
        <v>319</v>
      </c>
      <c r="J533" t="s">
        <v>27</v>
      </c>
      <c r="K533" t="s">
        <v>59</v>
      </c>
      <c r="L533">
        <f t="shared" si="24"/>
        <v>280</v>
      </c>
      <c r="M533">
        <f t="shared" si="25"/>
        <v>83.93</v>
      </c>
      <c r="N533">
        <f t="shared" si="26"/>
        <v>196.07</v>
      </c>
      <c r="O533" cm="1">
        <f t="array" ref="O533">_xlfn.LET(_xlpm.cat, Greenleaf[[#This Row],[Product Category]], _xlpm.prices, _xlfn._xlws.FILTER(Greenleaf[Unit Price], (Greenleaf[Product Category]=_xlpm.cat)*(Greenleaf[Unit Price]&lt;&gt;"")), IFERROR(MEDIAN(_xlpm.prices), ""))</f>
        <v>40</v>
      </c>
      <c r="P533">
        <f>IF(Greenleaf[[#This Row],[Shipment Status]]="Returned",1,0)</f>
        <v>0</v>
      </c>
      <c r="Q533">
        <f>IF(Greenleaf[[#This Row],[Shipment Status]]="Delivered",1,0)</f>
        <v>1</v>
      </c>
    </row>
    <row r="534" spans="1:17" x14ac:dyDescent="0.45">
      <c r="A534" t="s">
        <v>872</v>
      </c>
      <c r="B534">
        <v>45479</v>
      </c>
      <c r="C534" t="s">
        <v>49</v>
      </c>
      <c r="D534" t="s">
        <v>50</v>
      </c>
      <c r="E534">
        <v>4</v>
      </c>
      <c r="F534">
        <v>15</v>
      </c>
      <c r="G534">
        <v>4.22</v>
      </c>
      <c r="H534" t="s">
        <v>79</v>
      </c>
      <c r="I534" t="s">
        <v>80</v>
      </c>
      <c r="J534" t="s">
        <v>47</v>
      </c>
      <c r="K534" t="s">
        <v>34</v>
      </c>
      <c r="L534">
        <f t="shared" si="24"/>
        <v>60</v>
      </c>
      <c r="M534">
        <f t="shared" si="25"/>
        <v>16.88</v>
      </c>
      <c r="N534">
        <f t="shared" si="26"/>
        <v>43.120000000000005</v>
      </c>
      <c r="O534" cm="1">
        <f t="array" ref="O534">_xlfn.LET(_xlpm.cat, Greenleaf[[#This Row],[Product Category]], _xlpm.prices, _xlfn._xlws.FILTER(Greenleaf[Unit Price], (Greenleaf[Product Category]=_xlpm.cat)*(Greenleaf[Unit Price]&lt;&gt;"")), IFERROR(MEDIAN(_xlpm.prices), ""))</f>
        <v>15</v>
      </c>
      <c r="P534">
        <f>IF(Greenleaf[[#This Row],[Shipment Status]]="Returned",1,0)</f>
        <v>0</v>
      </c>
      <c r="Q534">
        <f>IF(Greenleaf[[#This Row],[Shipment Status]]="Delivered",1,0)</f>
        <v>0</v>
      </c>
    </row>
    <row r="535" spans="1:17" x14ac:dyDescent="0.45">
      <c r="A535" t="s">
        <v>873</v>
      </c>
      <c r="B535">
        <v>45480</v>
      </c>
      <c r="C535" t="s">
        <v>66</v>
      </c>
      <c r="D535" t="s">
        <v>67</v>
      </c>
      <c r="E535">
        <v>5</v>
      </c>
      <c r="F535">
        <v>12</v>
      </c>
      <c r="G535">
        <v>4.4800000000000004</v>
      </c>
      <c r="H535" t="s">
        <v>305</v>
      </c>
      <c r="I535" t="s">
        <v>210</v>
      </c>
      <c r="J535" t="s">
        <v>47</v>
      </c>
      <c r="K535" t="s">
        <v>34</v>
      </c>
      <c r="L535">
        <f t="shared" si="24"/>
        <v>60</v>
      </c>
      <c r="M535">
        <f t="shared" si="25"/>
        <v>22.400000000000002</v>
      </c>
      <c r="N535">
        <f t="shared" si="26"/>
        <v>37.599999999999994</v>
      </c>
      <c r="O535" cm="1">
        <f t="array" ref="O535">_xlfn.LET(_xlpm.cat, Greenleaf[[#This Row],[Product Category]], _xlpm.prices, _xlfn._xlws.FILTER(Greenleaf[Unit Price], (Greenleaf[Product Category]=_xlpm.cat)*(Greenleaf[Unit Price]&lt;&gt;"")), IFERROR(MEDIAN(_xlpm.prices), ""))</f>
        <v>12</v>
      </c>
      <c r="P535">
        <f>IF(Greenleaf[[#This Row],[Shipment Status]]="Returned",1,0)</f>
        <v>0</v>
      </c>
      <c r="Q535">
        <f>IF(Greenleaf[[#This Row],[Shipment Status]]="Delivered",1,0)</f>
        <v>0</v>
      </c>
    </row>
    <row r="536" spans="1:17" x14ac:dyDescent="0.45">
      <c r="A536" t="s">
        <v>874</v>
      </c>
      <c r="B536">
        <v>45480</v>
      </c>
      <c r="C536" t="s">
        <v>49</v>
      </c>
      <c r="D536" t="s">
        <v>50</v>
      </c>
      <c r="E536">
        <v>2</v>
      </c>
      <c r="F536">
        <v>15</v>
      </c>
      <c r="G536">
        <v>4.96</v>
      </c>
      <c r="H536" t="s">
        <v>434</v>
      </c>
      <c r="I536" t="s">
        <v>257</v>
      </c>
      <c r="J536" t="s">
        <v>20</v>
      </c>
      <c r="K536" t="s">
        <v>34</v>
      </c>
      <c r="L536">
        <f t="shared" si="24"/>
        <v>30</v>
      </c>
      <c r="M536">
        <f t="shared" si="25"/>
        <v>9.92</v>
      </c>
      <c r="N536">
        <f t="shared" si="26"/>
        <v>20.079999999999998</v>
      </c>
      <c r="O536" cm="1">
        <f t="array" ref="O536">_xlfn.LET(_xlpm.cat, Greenleaf[[#This Row],[Product Category]], _xlpm.prices, _xlfn._xlws.FILTER(Greenleaf[Unit Price], (Greenleaf[Product Category]=_xlpm.cat)*(Greenleaf[Unit Price]&lt;&gt;"")), IFERROR(MEDIAN(_xlpm.prices), ""))</f>
        <v>15</v>
      </c>
      <c r="P536">
        <f>IF(Greenleaf[[#This Row],[Shipment Status]]="Returned",1,0)</f>
        <v>0</v>
      </c>
      <c r="Q536">
        <f>IF(Greenleaf[[#This Row],[Shipment Status]]="Delivered",1,0)</f>
        <v>0</v>
      </c>
    </row>
    <row r="537" spans="1:17" x14ac:dyDescent="0.45">
      <c r="A537" t="s">
        <v>875</v>
      </c>
      <c r="B537">
        <v>45482</v>
      </c>
      <c r="C537" t="s">
        <v>23</v>
      </c>
      <c r="D537" t="s">
        <v>24</v>
      </c>
      <c r="E537">
        <v>5</v>
      </c>
      <c r="F537">
        <v>25</v>
      </c>
      <c r="G537">
        <v>7.6</v>
      </c>
      <c r="H537" t="s">
        <v>171</v>
      </c>
      <c r="I537" t="s">
        <v>172</v>
      </c>
      <c r="J537" t="s">
        <v>27</v>
      </c>
      <c r="K537" t="s">
        <v>28</v>
      </c>
      <c r="L537">
        <f t="shared" si="24"/>
        <v>125</v>
      </c>
      <c r="M537">
        <f t="shared" si="25"/>
        <v>38</v>
      </c>
      <c r="N537">
        <f t="shared" si="26"/>
        <v>87</v>
      </c>
      <c r="O537" cm="1">
        <f t="array" ref="O537">_xlfn.LET(_xlpm.cat, Greenleaf[[#This Row],[Product Category]], _xlpm.prices, _xlfn._xlws.FILTER(Greenleaf[Unit Price], (Greenleaf[Product Category]=_xlpm.cat)*(Greenleaf[Unit Price]&lt;&gt;"")), IFERROR(MEDIAN(_xlpm.prices), ""))</f>
        <v>25</v>
      </c>
      <c r="P537">
        <f>IF(Greenleaf[[#This Row],[Shipment Status]]="Returned",1,0)</f>
        <v>0</v>
      </c>
      <c r="Q537">
        <f>IF(Greenleaf[[#This Row],[Shipment Status]]="Delivered",1,0)</f>
        <v>1</v>
      </c>
    </row>
    <row r="538" spans="1:17" x14ac:dyDescent="0.45">
      <c r="A538" t="s">
        <v>876</v>
      </c>
      <c r="B538">
        <v>45483</v>
      </c>
      <c r="C538" t="s">
        <v>66</v>
      </c>
      <c r="D538" t="s">
        <v>67</v>
      </c>
      <c r="E538">
        <v>5</v>
      </c>
      <c r="F538">
        <v>12</v>
      </c>
      <c r="G538">
        <v>3.87</v>
      </c>
      <c r="H538" t="s">
        <v>576</v>
      </c>
      <c r="I538" t="s">
        <v>553</v>
      </c>
      <c r="J538" t="s">
        <v>20</v>
      </c>
      <c r="K538" t="s">
        <v>56</v>
      </c>
      <c r="L538">
        <f t="shared" si="24"/>
        <v>60</v>
      </c>
      <c r="M538">
        <f t="shared" si="25"/>
        <v>19.350000000000001</v>
      </c>
      <c r="N538">
        <f t="shared" si="26"/>
        <v>40.65</v>
      </c>
      <c r="O538" cm="1">
        <f t="array" ref="O538">_xlfn.LET(_xlpm.cat, Greenleaf[[#This Row],[Product Category]], _xlpm.prices, _xlfn._xlws.FILTER(Greenleaf[Unit Price], (Greenleaf[Product Category]=_xlpm.cat)*(Greenleaf[Unit Price]&lt;&gt;"")), IFERROR(MEDIAN(_xlpm.prices), ""))</f>
        <v>12</v>
      </c>
      <c r="P538">
        <f>IF(Greenleaf[[#This Row],[Shipment Status]]="Returned",1,0)</f>
        <v>0</v>
      </c>
      <c r="Q538">
        <f>IF(Greenleaf[[#This Row],[Shipment Status]]="Delivered",1,0)</f>
        <v>0</v>
      </c>
    </row>
    <row r="539" spans="1:17" x14ac:dyDescent="0.45">
      <c r="A539" t="s">
        <v>877</v>
      </c>
      <c r="B539">
        <v>45483</v>
      </c>
      <c r="C539" t="s">
        <v>49</v>
      </c>
      <c r="D539" t="s">
        <v>50</v>
      </c>
      <c r="E539">
        <v>6</v>
      </c>
      <c r="F539">
        <v>15</v>
      </c>
      <c r="G539">
        <v>3.58</v>
      </c>
      <c r="H539" t="s">
        <v>578</v>
      </c>
      <c r="I539" t="s">
        <v>93</v>
      </c>
      <c r="J539" t="s">
        <v>27</v>
      </c>
      <c r="K539" t="s">
        <v>74</v>
      </c>
      <c r="L539">
        <f t="shared" si="24"/>
        <v>90</v>
      </c>
      <c r="M539">
        <f t="shared" si="25"/>
        <v>21.48</v>
      </c>
      <c r="N539">
        <f t="shared" si="26"/>
        <v>68.52</v>
      </c>
      <c r="O539" cm="1">
        <f t="array" ref="O539">_xlfn.LET(_xlpm.cat, Greenleaf[[#This Row],[Product Category]], _xlpm.prices, _xlfn._xlws.FILTER(Greenleaf[Unit Price], (Greenleaf[Product Category]=_xlpm.cat)*(Greenleaf[Unit Price]&lt;&gt;"")), IFERROR(MEDIAN(_xlpm.prices), ""))</f>
        <v>15</v>
      </c>
      <c r="P539">
        <f>IF(Greenleaf[[#This Row],[Shipment Status]]="Returned",1,0)</f>
        <v>0</v>
      </c>
      <c r="Q539">
        <f>IF(Greenleaf[[#This Row],[Shipment Status]]="Delivered",1,0)</f>
        <v>1</v>
      </c>
    </row>
    <row r="540" spans="1:17" x14ac:dyDescent="0.45">
      <c r="A540" t="s">
        <v>878</v>
      </c>
      <c r="B540">
        <v>45484</v>
      </c>
      <c r="C540" t="s">
        <v>49</v>
      </c>
      <c r="D540" t="s">
        <v>50</v>
      </c>
      <c r="E540">
        <v>10</v>
      </c>
      <c r="F540">
        <v>15</v>
      </c>
      <c r="G540">
        <v>5.77</v>
      </c>
      <c r="H540" t="s">
        <v>382</v>
      </c>
      <c r="I540" t="s">
        <v>383</v>
      </c>
      <c r="J540" t="s">
        <v>27</v>
      </c>
      <c r="K540" t="s">
        <v>74</v>
      </c>
      <c r="L540">
        <f t="shared" si="24"/>
        <v>150</v>
      </c>
      <c r="M540">
        <f t="shared" si="25"/>
        <v>57.699999999999996</v>
      </c>
      <c r="N540">
        <f t="shared" si="26"/>
        <v>92.300000000000011</v>
      </c>
      <c r="O540" cm="1">
        <f t="array" ref="O540">_xlfn.LET(_xlpm.cat, Greenleaf[[#This Row],[Product Category]], _xlpm.prices, _xlfn._xlws.FILTER(Greenleaf[Unit Price], (Greenleaf[Product Category]=_xlpm.cat)*(Greenleaf[Unit Price]&lt;&gt;"")), IFERROR(MEDIAN(_xlpm.prices), ""))</f>
        <v>15</v>
      </c>
      <c r="P540">
        <f>IF(Greenleaf[[#This Row],[Shipment Status]]="Returned",1,0)</f>
        <v>0</v>
      </c>
      <c r="Q540">
        <f>IF(Greenleaf[[#This Row],[Shipment Status]]="Delivered",1,0)</f>
        <v>1</v>
      </c>
    </row>
    <row r="541" spans="1:17" x14ac:dyDescent="0.45">
      <c r="A541" t="s">
        <v>879</v>
      </c>
      <c r="B541">
        <v>45485</v>
      </c>
      <c r="C541" t="s">
        <v>30</v>
      </c>
      <c r="D541" t="s">
        <v>31</v>
      </c>
      <c r="E541">
        <v>3</v>
      </c>
      <c r="F541">
        <v>40</v>
      </c>
      <c r="G541">
        <v>12.58</v>
      </c>
      <c r="H541" t="s">
        <v>691</v>
      </c>
      <c r="I541" t="s">
        <v>692</v>
      </c>
      <c r="J541" t="s">
        <v>27</v>
      </c>
      <c r="K541" t="s">
        <v>21</v>
      </c>
      <c r="L541">
        <f t="shared" si="24"/>
        <v>120</v>
      </c>
      <c r="M541">
        <f t="shared" si="25"/>
        <v>37.74</v>
      </c>
      <c r="N541">
        <f t="shared" si="26"/>
        <v>82.259999999999991</v>
      </c>
      <c r="O541" cm="1">
        <f t="array" ref="O541">_xlfn.LET(_xlpm.cat, Greenleaf[[#This Row],[Product Category]], _xlpm.prices, _xlfn._xlws.FILTER(Greenleaf[Unit Price], (Greenleaf[Product Category]=_xlpm.cat)*(Greenleaf[Unit Price]&lt;&gt;"")), IFERROR(MEDIAN(_xlpm.prices), ""))</f>
        <v>40</v>
      </c>
      <c r="P541">
        <f>IF(Greenleaf[[#This Row],[Shipment Status]]="Returned",1,0)</f>
        <v>0</v>
      </c>
      <c r="Q541">
        <f>IF(Greenleaf[[#This Row],[Shipment Status]]="Delivered",1,0)</f>
        <v>1</v>
      </c>
    </row>
    <row r="542" spans="1:17" x14ac:dyDescent="0.45">
      <c r="A542" t="s">
        <v>880</v>
      </c>
      <c r="B542">
        <v>45485</v>
      </c>
      <c r="C542" t="s">
        <v>49</v>
      </c>
      <c r="D542" t="s">
        <v>50</v>
      </c>
      <c r="E542">
        <v>9</v>
      </c>
      <c r="F542">
        <v>15</v>
      </c>
      <c r="G542">
        <v>5.0599999999999996</v>
      </c>
      <c r="H542" t="s">
        <v>286</v>
      </c>
      <c r="I542" t="s">
        <v>287</v>
      </c>
      <c r="J542" t="s">
        <v>47</v>
      </c>
      <c r="K542" t="s">
        <v>21</v>
      </c>
      <c r="L542">
        <f t="shared" si="24"/>
        <v>135</v>
      </c>
      <c r="M542">
        <f t="shared" si="25"/>
        <v>45.54</v>
      </c>
      <c r="N542">
        <f t="shared" si="26"/>
        <v>89.460000000000008</v>
      </c>
      <c r="O542" cm="1">
        <f t="array" ref="O542">_xlfn.LET(_xlpm.cat, Greenleaf[[#This Row],[Product Category]], _xlpm.prices, _xlfn._xlws.FILTER(Greenleaf[Unit Price], (Greenleaf[Product Category]=_xlpm.cat)*(Greenleaf[Unit Price]&lt;&gt;"")), IFERROR(MEDIAN(_xlpm.prices), ""))</f>
        <v>15</v>
      </c>
      <c r="P542">
        <f>IF(Greenleaf[[#This Row],[Shipment Status]]="Returned",1,0)</f>
        <v>0</v>
      </c>
      <c r="Q542">
        <f>IF(Greenleaf[[#This Row],[Shipment Status]]="Delivered",1,0)</f>
        <v>0</v>
      </c>
    </row>
    <row r="543" spans="1:17" x14ac:dyDescent="0.45">
      <c r="A543" t="s">
        <v>881</v>
      </c>
      <c r="B543">
        <v>45485</v>
      </c>
      <c r="C543" t="s">
        <v>49</v>
      </c>
      <c r="D543" t="s">
        <v>50</v>
      </c>
      <c r="E543">
        <v>9</v>
      </c>
      <c r="F543">
        <v>15</v>
      </c>
      <c r="G543">
        <v>4.67</v>
      </c>
      <c r="H543" t="s">
        <v>439</v>
      </c>
      <c r="I543" t="s">
        <v>440</v>
      </c>
      <c r="J543" t="s">
        <v>27</v>
      </c>
      <c r="K543" t="s">
        <v>134</v>
      </c>
      <c r="L543">
        <f t="shared" si="24"/>
        <v>135</v>
      </c>
      <c r="M543">
        <f t="shared" si="25"/>
        <v>42.03</v>
      </c>
      <c r="N543">
        <f t="shared" si="26"/>
        <v>92.97</v>
      </c>
      <c r="O543" cm="1">
        <f t="array" ref="O543">_xlfn.LET(_xlpm.cat, Greenleaf[[#This Row],[Product Category]], _xlpm.prices, _xlfn._xlws.FILTER(Greenleaf[Unit Price], (Greenleaf[Product Category]=_xlpm.cat)*(Greenleaf[Unit Price]&lt;&gt;"")), IFERROR(MEDIAN(_xlpm.prices), ""))</f>
        <v>15</v>
      </c>
      <c r="P543">
        <f>IF(Greenleaf[[#This Row],[Shipment Status]]="Returned",1,0)</f>
        <v>0</v>
      </c>
      <c r="Q543">
        <f>IF(Greenleaf[[#This Row],[Shipment Status]]="Delivered",1,0)</f>
        <v>1</v>
      </c>
    </row>
    <row r="544" spans="1:17" x14ac:dyDescent="0.45">
      <c r="A544" t="s">
        <v>882</v>
      </c>
      <c r="B544">
        <v>45486</v>
      </c>
      <c r="C544" t="s">
        <v>16</v>
      </c>
      <c r="D544" t="s">
        <v>17</v>
      </c>
      <c r="E544">
        <v>10</v>
      </c>
      <c r="F544">
        <v>10</v>
      </c>
      <c r="G544">
        <v>2.2200000000000002</v>
      </c>
      <c r="H544" t="s">
        <v>443</v>
      </c>
      <c r="I544" t="s">
        <v>444</v>
      </c>
      <c r="J544" t="s">
        <v>42</v>
      </c>
      <c r="K544" t="s">
        <v>34</v>
      </c>
      <c r="L544">
        <f t="shared" si="24"/>
        <v>100</v>
      </c>
      <c r="M544">
        <f t="shared" si="25"/>
        <v>22.200000000000003</v>
      </c>
      <c r="N544">
        <f t="shared" si="26"/>
        <v>77.8</v>
      </c>
      <c r="O544" cm="1">
        <f t="array" ref="O544">_xlfn.LET(_xlpm.cat, Greenleaf[[#This Row],[Product Category]], _xlpm.prices, _xlfn._xlws.FILTER(Greenleaf[Unit Price], (Greenleaf[Product Category]=_xlpm.cat)*(Greenleaf[Unit Price]&lt;&gt;"")), IFERROR(MEDIAN(_xlpm.prices), ""))</f>
        <v>10</v>
      </c>
      <c r="P544">
        <f>IF(Greenleaf[[#This Row],[Shipment Status]]="Returned",1,0)</f>
        <v>1</v>
      </c>
      <c r="Q544">
        <f>IF(Greenleaf[[#This Row],[Shipment Status]]="Delivered",1,0)</f>
        <v>0</v>
      </c>
    </row>
    <row r="545" spans="1:17" x14ac:dyDescent="0.45">
      <c r="A545" t="s">
        <v>883</v>
      </c>
      <c r="B545">
        <v>45487</v>
      </c>
      <c r="C545" t="s">
        <v>16</v>
      </c>
      <c r="D545" t="s">
        <v>17</v>
      </c>
      <c r="E545">
        <v>2</v>
      </c>
      <c r="F545">
        <v>10</v>
      </c>
      <c r="G545">
        <v>2.02</v>
      </c>
      <c r="H545" t="s">
        <v>884</v>
      </c>
      <c r="I545" t="s">
        <v>885</v>
      </c>
      <c r="J545" t="s">
        <v>20</v>
      </c>
      <c r="K545" t="s">
        <v>70</v>
      </c>
      <c r="L545">
        <f t="shared" si="24"/>
        <v>20</v>
      </c>
      <c r="M545">
        <f t="shared" si="25"/>
        <v>4.04</v>
      </c>
      <c r="N545">
        <f t="shared" si="26"/>
        <v>15.96</v>
      </c>
      <c r="O545" cm="1">
        <f t="array" ref="O545">_xlfn.LET(_xlpm.cat, Greenleaf[[#This Row],[Product Category]], _xlpm.prices, _xlfn._xlws.FILTER(Greenleaf[Unit Price], (Greenleaf[Product Category]=_xlpm.cat)*(Greenleaf[Unit Price]&lt;&gt;"")), IFERROR(MEDIAN(_xlpm.prices), ""))</f>
        <v>10</v>
      </c>
      <c r="P545">
        <f>IF(Greenleaf[[#This Row],[Shipment Status]]="Returned",1,0)</f>
        <v>0</v>
      </c>
      <c r="Q545">
        <f>IF(Greenleaf[[#This Row],[Shipment Status]]="Delivered",1,0)</f>
        <v>0</v>
      </c>
    </row>
    <row r="546" spans="1:17" x14ac:dyDescent="0.45">
      <c r="A546" t="s">
        <v>886</v>
      </c>
      <c r="B546">
        <v>45487</v>
      </c>
      <c r="C546" t="s">
        <v>66</v>
      </c>
      <c r="D546" t="s">
        <v>67</v>
      </c>
      <c r="E546">
        <v>5</v>
      </c>
      <c r="F546">
        <v>12</v>
      </c>
      <c r="G546">
        <v>2.5099999999999998</v>
      </c>
      <c r="H546" t="s">
        <v>36</v>
      </c>
      <c r="I546" t="s">
        <v>37</v>
      </c>
      <c r="J546" t="s">
        <v>27</v>
      </c>
      <c r="K546" t="s">
        <v>59</v>
      </c>
      <c r="L546">
        <f t="shared" si="24"/>
        <v>60</v>
      </c>
      <c r="M546">
        <f t="shared" si="25"/>
        <v>12.549999999999999</v>
      </c>
      <c r="N546">
        <f t="shared" si="26"/>
        <v>47.45</v>
      </c>
      <c r="O546" cm="1">
        <f t="array" ref="O546">_xlfn.LET(_xlpm.cat, Greenleaf[[#This Row],[Product Category]], _xlpm.prices, _xlfn._xlws.FILTER(Greenleaf[Unit Price], (Greenleaf[Product Category]=_xlpm.cat)*(Greenleaf[Unit Price]&lt;&gt;"")), IFERROR(MEDIAN(_xlpm.prices), ""))</f>
        <v>12</v>
      </c>
      <c r="P546">
        <f>IF(Greenleaf[[#This Row],[Shipment Status]]="Returned",1,0)</f>
        <v>0</v>
      </c>
      <c r="Q546">
        <f>IF(Greenleaf[[#This Row],[Shipment Status]]="Delivered",1,0)</f>
        <v>1</v>
      </c>
    </row>
    <row r="547" spans="1:17" x14ac:dyDescent="0.45">
      <c r="A547" t="s">
        <v>887</v>
      </c>
      <c r="B547">
        <v>45487</v>
      </c>
      <c r="C547" t="s">
        <v>16</v>
      </c>
      <c r="D547" t="s">
        <v>17</v>
      </c>
      <c r="E547">
        <v>4</v>
      </c>
      <c r="F547">
        <v>10</v>
      </c>
      <c r="G547">
        <v>3.9</v>
      </c>
      <c r="H547" t="s">
        <v>256</v>
      </c>
      <c r="I547" t="s">
        <v>257</v>
      </c>
      <c r="J547" t="s">
        <v>20</v>
      </c>
      <c r="K547" t="s">
        <v>34</v>
      </c>
      <c r="L547">
        <f t="shared" si="24"/>
        <v>40</v>
      </c>
      <c r="M547">
        <f t="shared" si="25"/>
        <v>15.6</v>
      </c>
      <c r="N547">
        <f t="shared" si="26"/>
        <v>24.4</v>
      </c>
      <c r="O547" cm="1">
        <f t="array" ref="O547">_xlfn.LET(_xlpm.cat, Greenleaf[[#This Row],[Product Category]], _xlpm.prices, _xlfn._xlws.FILTER(Greenleaf[Unit Price], (Greenleaf[Product Category]=_xlpm.cat)*(Greenleaf[Unit Price]&lt;&gt;"")), IFERROR(MEDIAN(_xlpm.prices), ""))</f>
        <v>10</v>
      </c>
      <c r="P547">
        <f>IF(Greenleaf[[#This Row],[Shipment Status]]="Returned",1,0)</f>
        <v>0</v>
      </c>
      <c r="Q547">
        <f>IF(Greenleaf[[#This Row],[Shipment Status]]="Delivered",1,0)</f>
        <v>0</v>
      </c>
    </row>
    <row r="548" spans="1:17" x14ac:dyDescent="0.45">
      <c r="A548" t="s">
        <v>888</v>
      </c>
      <c r="B548">
        <v>45487</v>
      </c>
      <c r="C548" t="s">
        <v>30</v>
      </c>
      <c r="D548" t="s">
        <v>31</v>
      </c>
      <c r="E548">
        <v>10</v>
      </c>
      <c r="F548">
        <v>40</v>
      </c>
      <c r="G548">
        <v>14.94</v>
      </c>
      <c r="H548" t="s">
        <v>662</v>
      </c>
      <c r="I548" t="s">
        <v>663</v>
      </c>
      <c r="J548" t="s">
        <v>20</v>
      </c>
      <c r="K548" t="s">
        <v>56</v>
      </c>
      <c r="L548">
        <f t="shared" si="24"/>
        <v>400</v>
      </c>
      <c r="M548">
        <f t="shared" si="25"/>
        <v>149.4</v>
      </c>
      <c r="N548">
        <f t="shared" si="26"/>
        <v>250.6</v>
      </c>
      <c r="O548" cm="1">
        <f t="array" ref="O548">_xlfn.LET(_xlpm.cat, Greenleaf[[#This Row],[Product Category]], _xlpm.prices, _xlfn._xlws.FILTER(Greenleaf[Unit Price], (Greenleaf[Product Category]=_xlpm.cat)*(Greenleaf[Unit Price]&lt;&gt;"")), IFERROR(MEDIAN(_xlpm.prices), ""))</f>
        <v>40</v>
      </c>
      <c r="P548">
        <f>IF(Greenleaf[[#This Row],[Shipment Status]]="Returned",1,0)</f>
        <v>0</v>
      </c>
      <c r="Q548">
        <f>IF(Greenleaf[[#This Row],[Shipment Status]]="Delivered",1,0)</f>
        <v>0</v>
      </c>
    </row>
    <row r="549" spans="1:17" x14ac:dyDescent="0.45">
      <c r="A549" t="s">
        <v>889</v>
      </c>
      <c r="B549">
        <v>45488</v>
      </c>
      <c r="C549" t="s">
        <v>49</v>
      </c>
      <c r="D549" t="s">
        <v>50</v>
      </c>
      <c r="E549">
        <v>6</v>
      </c>
      <c r="F549">
        <v>15</v>
      </c>
      <c r="G549">
        <v>3.49</v>
      </c>
      <c r="H549" t="s">
        <v>111</v>
      </c>
      <c r="I549" t="s">
        <v>112</v>
      </c>
      <c r="J549" t="s">
        <v>47</v>
      </c>
      <c r="K549" t="s">
        <v>38</v>
      </c>
      <c r="L549">
        <f t="shared" si="24"/>
        <v>90</v>
      </c>
      <c r="M549">
        <f t="shared" si="25"/>
        <v>20.94</v>
      </c>
      <c r="N549">
        <f t="shared" si="26"/>
        <v>69.06</v>
      </c>
      <c r="O549" cm="1">
        <f t="array" ref="O549">_xlfn.LET(_xlpm.cat, Greenleaf[[#This Row],[Product Category]], _xlpm.prices, _xlfn._xlws.FILTER(Greenleaf[Unit Price], (Greenleaf[Product Category]=_xlpm.cat)*(Greenleaf[Unit Price]&lt;&gt;"")), IFERROR(MEDIAN(_xlpm.prices), ""))</f>
        <v>15</v>
      </c>
      <c r="P549">
        <f>IF(Greenleaf[[#This Row],[Shipment Status]]="Returned",1,0)</f>
        <v>0</v>
      </c>
      <c r="Q549">
        <f>IF(Greenleaf[[#This Row],[Shipment Status]]="Delivered",1,0)</f>
        <v>0</v>
      </c>
    </row>
    <row r="550" spans="1:17" x14ac:dyDescent="0.45">
      <c r="A550" t="s">
        <v>890</v>
      </c>
      <c r="B550">
        <v>45488</v>
      </c>
      <c r="C550" t="s">
        <v>30</v>
      </c>
      <c r="D550" t="s">
        <v>31</v>
      </c>
      <c r="E550">
        <v>1</v>
      </c>
      <c r="F550">
        <v>40</v>
      </c>
      <c r="G550">
        <v>10.89</v>
      </c>
      <c r="H550" t="s">
        <v>409</v>
      </c>
      <c r="I550" t="s">
        <v>19</v>
      </c>
      <c r="J550" t="s">
        <v>27</v>
      </c>
      <c r="K550" t="s">
        <v>59</v>
      </c>
      <c r="L550">
        <f t="shared" si="24"/>
        <v>40</v>
      </c>
      <c r="M550">
        <f t="shared" si="25"/>
        <v>10.89</v>
      </c>
      <c r="N550">
        <f t="shared" si="26"/>
        <v>29.11</v>
      </c>
      <c r="O550" cm="1">
        <f t="array" ref="O550">_xlfn.LET(_xlpm.cat, Greenleaf[[#This Row],[Product Category]], _xlpm.prices, _xlfn._xlws.FILTER(Greenleaf[Unit Price], (Greenleaf[Product Category]=_xlpm.cat)*(Greenleaf[Unit Price]&lt;&gt;"")), IFERROR(MEDIAN(_xlpm.prices), ""))</f>
        <v>40</v>
      </c>
      <c r="P550">
        <f>IF(Greenleaf[[#This Row],[Shipment Status]]="Returned",1,0)</f>
        <v>0</v>
      </c>
      <c r="Q550">
        <f>IF(Greenleaf[[#This Row],[Shipment Status]]="Delivered",1,0)</f>
        <v>1</v>
      </c>
    </row>
    <row r="551" spans="1:17" x14ac:dyDescent="0.45">
      <c r="A551" t="s">
        <v>891</v>
      </c>
      <c r="B551">
        <v>45488</v>
      </c>
      <c r="C551" t="s">
        <v>23</v>
      </c>
      <c r="D551" t="s">
        <v>24</v>
      </c>
      <c r="E551">
        <v>3</v>
      </c>
      <c r="F551">
        <v>25</v>
      </c>
      <c r="G551">
        <v>6.64</v>
      </c>
      <c r="H551" t="s">
        <v>731</v>
      </c>
      <c r="I551" t="s">
        <v>732</v>
      </c>
      <c r="J551" t="s">
        <v>27</v>
      </c>
      <c r="K551" t="s">
        <v>43</v>
      </c>
      <c r="L551">
        <f t="shared" si="24"/>
        <v>75</v>
      </c>
      <c r="M551">
        <f t="shared" si="25"/>
        <v>19.919999999999998</v>
      </c>
      <c r="N551">
        <f t="shared" si="26"/>
        <v>55.08</v>
      </c>
      <c r="O551" cm="1">
        <f t="array" ref="O551">_xlfn.LET(_xlpm.cat, Greenleaf[[#This Row],[Product Category]], _xlpm.prices, _xlfn._xlws.FILTER(Greenleaf[Unit Price], (Greenleaf[Product Category]=_xlpm.cat)*(Greenleaf[Unit Price]&lt;&gt;"")), IFERROR(MEDIAN(_xlpm.prices), ""))</f>
        <v>25</v>
      </c>
      <c r="P551">
        <f>IF(Greenleaf[[#This Row],[Shipment Status]]="Returned",1,0)</f>
        <v>0</v>
      </c>
      <c r="Q551">
        <f>IF(Greenleaf[[#This Row],[Shipment Status]]="Delivered",1,0)</f>
        <v>1</v>
      </c>
    </row>
    <row r="552" spans="1:17" x14ac:dyDescent="0.45">
      <c r="A552" t="s">
        <v>892</v>
      </c>
      <c r="B552">
        <v>45488</v>
      </c>
      <c r="C552" t="s">
        <v>23</v>
      </c>
      <c r="D552" t="s">
        <v>24</v>
      </c>
      <c r="E552">
        <v>5</v>
      </c>
      <c r="F552">
        <v>25</v>
      </c>
      <c r="G552">
        <v>5.76</v>
      </c>
      <c r="H552" t="s">
        <v>321</v>
      </c>
      <c r="I552" t="s">
        <v>322</v>
      </c>
      <c r="J552" t="s">
        <v>27</v>
      </c>
      <c r="K552" t="s">
        <v>43</v>
      </c>
      <c r="L552">
        <f t="shared" si="24"/>
        <v>125</v>
      </c>
      <c r="M552">
        <f t="shared" si="25"/>
        <v>28.799999999999997</v>
      </c>
      <c r="N552">
        <f t="shared" si="26"/>
        <v>96.2</v>
      </c>
      <c r="O552" cm="1">
        <f t="array" ref="O552">_xlfn.LET(_xlpm.cat, Greenleaf[[#This Row],[Product Category]], _xlpm.prices, _xlfn._xlws.FILTER(Greenleaf[Unit Price], (Greenleaf[Product Category]=_xlpm.cat)*(Greenleaf[Unit Price]&lt;&gt;"")), IFERROR(MEDIAN(_xlpm.prices), ""))</f>
        <v>25</v>
      </c>
      <c r="P552">
        <f>IF(Greenleaf[[#This Row],[Shipment Status]]="Returned",1,0)</f>
        <v>0</v>
      </c>
      <c r="Q552">
        <f>IF(Greenleaf[[#This Row],[Shipment Status]]="Delivered",1,0)</f>
        <v>1</v>
      </c>
    </row>
    <row r="553" spans="1:17" x14ac:dyDescent="0.45">
      <c r="A553" t="s">
        <v>893</v>
      </c>
      <c r="B553">
        <v>45488</v>
      </c>
      <c r="C553" t="s">
        <v>49</v>
      </c>
      <c r="D553" t="s">
        <v>50</v>
      </c>
      <c r="E553">
        <v>2</v>
      </c>
      <c r="F553">
        <v>15</v>
      </c>
      <c r="G553">
        <v>5.21</v>
      </c>
      <c r="H553" t="s">
        <v>576</v>
      </c>
      <c r="I553" t="s">
        <v>553</v>
      </c>
      <c r="J553" t="s">
        <v>27</v>
      </c>
      <c r="K553" t="s">
        <v>28</v>
      </c>
      <c r="L553">
        <f t="shared" si="24"/>
        <v>30</v>
      </c>
      <c r="M553">
        <f t="shared" si="25"/>
        <v>10.42</v>
      </c>
      <c r="N553">
        <f t="shared" si="26"/>
        <v>19.579999999999998</v>
      </c>
      <c r="O553" cm="1">
        <f t="array" ref="O553">_xlfn.LET(_xlpm.cat, Greenleaf[[#This Row],[Product Category]], _xlpm.prices, _xlfn._xlws.FILTER(Greenleaf[Unit Price], (Greenleaf[Product Category]=_xlpm.cat)*(Greenleaf[Unit Price]&lt;&gt;"")), IFERROR(MEDIAN(_xlpm.prices), ""))</f>
        <v>15</v>
      </c>
      <c r="P553">
        <f>IF(Greenleaf[[#This Row],[Shipment Status]]="Returned",1,0)</f>
        <v>0</v>
      </c>
      <c r="Q553">
        <f>IF(Greenleaf[[#This Row],[Shipment Status]]="Delivered",1,0)</f>
        <v>1</v>
      </c>
    </row>
    <row r="554" spans="1:17" x14ac:dyDescent="0.45">
      <c r="A554" t="s">
        <v>894</v>
      </c>
      <c r="B554">
        <v>45489</v>
      </c>
      <c r="C554" t="s">
        <v>16</v>
      </c>
      <c r="D554" t="s">
        <v>17</v>
      </c>
      <c r="E554">
        <v>3</v>
      </c>
      <c r="F554">
        <v>10</v>
      </c>
      <c r="G554">
        <v>3.27</v>
      </c>
      <c r="H554" t="s">
        <v>476</v>
      </c>
      <c r="I554" t="s">
        <v>477</v>
      </c>
      <c r="J554" t="s">
        <v>20</v>
      </c>
      <c r="K554" t="s">
        <v>70</v>
      </c>
      <c r="L554">
        <f t="shared" si="24"/>
        <v>30</v>
      </c>
      <c r="M554">
        <f t="shared" si="25"/>
        <v>9.81</v>
      </c>
      <c r="N554">
        <f t="shared" si="26"/>
        <v>20.189999999999998</v>
      </c>
      <c r="O554" cm="1">
        <f t="array" ref="O554">_xlfn.LET(_xlpm.cat, Greenleaf[[#This Row],[Product Category]], _xlpm.prices, _xlfn._xlws.FILTER(Greenleaf[Unit Price], (Greenleaf[Product Category]=_xlpm.cat)*(Greenleaf[Unit Price]&lt;&gt;"")), IFERROR(MEDIAN(_xlpm.prices), ""))</f>
        <v>10</v>
      </c>
      <c r="P554">
        <f>IF(Greenleaf[[#This Row],[Shipment Status]]="Returned",1,0)</f>
        <v>0</v>
      </c>
      <c r="Q554">
        <f>IF(Greenleaf[[#This Row],[Shipment Status]]="Delivered",1,0)</f>
        <v>0</v>
      </c>
    </row>
    <row r="555" spans="1:17" x14ac:dyDescent="0.45">
      <c r="A555" t="s">
        <v>895</v>
      </c>
      <c r="B555">
        <v>45489</v>
      </c>
      <c r="C555" t="s">
        <v>49</v>
      </c>
      <c r="D555" t="s">
        <v>50</v>
      </c>
      <c r="E555">
        <v>4</v>
      </c>
      <c r="F555">
        <v>15</v>
      </c>
      <c r="G555">
        <v>5.98</v>
      </c>
      <c r="H555" t="s">
        <v>662</v>
      </c>
      <c r="I555" t="s">
        <v>663</v>
      </c>
      <c r="J555" t="s">
        <v>27</v>
      </c>
      <c r="K555" t="s">
        <v>43</v>
      </c>
      <c r="L555">
        <f t="shared" si="24"/>
        <v>60</v>
      </c>
      <c r="M555">
        <f t="shared" si="25"/>
        <v>23.92</v>
      </c>
      <c r="N555">
        <f t="shared" si="26"/>
        <v>36.08</v>
      </c>
      <c r="O555" cm="1">
        <f t="array" ref="O555">_xlfn.LET(_xlpm.cat, Greenleaf[[#This Row],[Product Category]], _xlpm.prices, _xlfn._xlws.FILTER(Greenleaf[Unit Price], (Greenleaf[Product Category]=_xlpm.cat)*(Greenleaf[Unit Price]&lt;&gt;"")), IFERROR(MEDIAN(_xlpm.prices), ""))</f>
        <v>15</v>
      </c>
      <c r="P555">
        <f>IF(Greenleaf[[#This Row],[Shipment Status]]="Returned",1,0)</f>
        <v>0</v>
      </c>
      <c r="Q555">
        <f>IF(Greenleaf[[#This Row],[Shipment Status]]="Delivered",1,0)</f>
        <v>1</v>
      </c>
    </row>
    <row r="556" spans="1:17" x14ac:dyDescent="0.45">
      <c r="A556" t="s">
        <v>896</v>
      </c>
      <c r="B556">
        <v>45490</v>
      </c>
      <c r="C556" t="s">
        <v>16</v>
      </c>
      <c r="D556" t="s">
        <v>17</v>
      </c>
      <c r="E556">
        <v>4</v>
      </c>
      <c r="F556">
        <v>10</v>
      </c>
      <c r="G556">
        <v>2.38</v>
      </c>
      <c r="H556" t="s">
        <v>414</v>
      </c>
      <c r="I556" t="s">
        <v>357</v>
      </c>
      <c r="J556" t="s">
        <v>42</v>
      </c>
      <c r="K556" t="s">
        <v>28</v>
      </c>
      <c r="L556">
        <f t="shared" si="24"/>
        <v>40</v>
      </c>
      <c r="M556">
        <f t="shared" si="25"/>
        <v>9.52</v>
      </c>
      <c r="N556">
        <f t="shared" si="26"/>
        <v>30.48</v>
      </c>
      <c r="O556" cm="1">
        <f t="array" ref="O556">_xlfn.LET(_xlpm.cat, Greenleaf[[#This Row],[Product Category]], _xlpm.prices, _xlfn._xlws.FILTER(Greenleaf[Unit Price], (Greenleaf[Product Category]=_xlpm.cat)*(Greenleaf[Unit Price]&lt;&gt;"")), IFERROR(MEDIAN(_xlpm.prices), ""))</f>
        <v>10</v>
      </c>
      <c r="P556">
        <f>IF(Greenleaf[[#This Row],[Shipment Status]]="Returned",1,0)</f>
        <v>1</v>
      </c>
      <c r="Q556">
        <f>IF(Greenleaf[[#This Row],[Shipment Status]]="Delivered",1,0)</f>
        <v>0</v>
      </c>
    </row>
    <row r="557" spans="1:17" x14ac:dyDescent="0.45">
      <c r="A557" t="s">
        <v>897</v>
      </c>
      <c r="B557">
        <v>45490</v>
      </c>
      <c r="C557" t="s">
        <v>49</v>
      </c>
      <c r="D557" t="s">
        <v>50</v>
      </c>
      <c r="E557">
        <v>7</v>
      </c>
      <c r="F557">
        <v>15</v>
      </c>
      <c r="G557">
        <v>4.13</v>
      </c>
      <c r="H557" t="s">
        <v>411</v>
      </c>
      <c r="I557" t="s">
        <v>201</v>
      </c>
      <c r="J557" t="s">
        <v>27</v>
      </c>
      <c r="K557" t="s">
        <v>134</v>
      </c>
      <c r="L557">
        <f t="shared" si="24"/>
        <v>105</v>
      </c>
      <c r="M557">
        <f t="shared" si="25"/>
        <v>28.91</v>
      </c>
      <c r="N557">
        <f t="shared" si="26"/>
        <v>76.09</v>
      </c>
      <c r="O557" cm="1">
        <f t="array" ref="O557">_xlfn.LET(_xlpm.cat, Greenleaf[[#This Row],[Product Category]], _xlpm.prices, _xlfn._xlws.FILTER(Greenleaf[Unit Price], (Greenleaf[Product Category]=_xlpm.cat)*(Greenleaf[Unit Price]&lt;&gt;"")), IFERROR(MEDIAN(_xlpm.prices), ""))</f>
        <v>15</v>
      </c>
      <c r="P557">
        <f>IF(Greenleaf[[#This Row],[Shipment Status]]="Returned",1,0)</f>
        <v>0</v>
      </c>
      <c r="Q557">
        <f>IF(Greenleaf[[#This Row],[Shipment Status]]="Delivered",1,0)</f>
        <v>1</v>
      </c>
    </row>
    <row r="558" spans="1:17" x14ac:dyDescent="0.45">
      <c r="A558" t="s">
        <v>898</v>
      </c>
      <c r="B558">
        <v>45490</v>
      </c>
      <c r="C558" t="s">
        <v>23</v>
      </c>
      <c r="D558" t="s">
        <v>24</v>
      </c>
      <c r="E558">
        <v>5</v>
      </c>
      <c r="F558">
        <v>25</v>
      </c>
      <c r="G558">
        <v>9.35</v>
      </c>
      <c r="H558" t="s">
        <v>313</v>
      </c>
      <c r="I558" t="s">
        <v>314</v>
      </c>
      <c r="J558" t="s">
        <v>27</v>
      </c>
      <c r="K558" t="s">
        <v>74</v>
      </c>
      <c r="L558">
        <f t="shared" si="24"/>
        <v>125</v>
      </c>
      <c r="M558">
        <f t="shared" si="25"/>
        <v>46.75</v>
      </c>
      <c r="N558">
        <f t="shared" si="26"/>
        <v>78.25</v>
      </c>
      <c r="O558" cm="1">
        <f t="array" ref="O558">_xlfn.LET(_xlpm.cat, Greenleaf[[#This Row],[Product Category]], _xlpm.prices, _xlfn._xlws.FILTER(Greenleaf[Unit Price], (Greenleaf[Product Category]=_xlpm.cat)*(Greenleaf[Unit Price]&lt;&gt;"")), IFERROR(MEDIAN(_xlpm.prices), ""))</f>
        <v>25</v>
      </c>
      <c r="P558">
        <f>IF(Greenleaf[[#This Row],[Shipment Status]]="Returned",1,0)</f>
        <v>0</v>
      </c>
      <c r="Q558">
        <f>IF(Greenleaf[[#This Row],[Shipment Status]]="Delivered",1,0)</f>
        <v>1</v>
      </c>
    </row>
    <row r="559" spans="1:17" x14ac:dyDescent="0.45">
      <c r="A559" t="s">
        <v>899</v>
      </c>
      <c r="B559">
        <v>45490</v>
      </c>
      <c r="C559" t="s">
        <v>49</v>
      </c>
      <c r="D559" t="s">
        <v>50</v>
      </c>
      <c r="E559">
        <v>8</v>
      </c>
      <c r="F559">
        <v>15</v>
      </c>
      <c r="G559">
        <v>3.62</v>
      </c>
      <c r="H559" t="s">
        <v>76</v>
      </c>
      <c r="I559" t="s">
        <v>77</v>
      </c>
      <c r="J559" t="s">
        <v>42</v>
      </c>
      <c r="K559" t="s">
        <v>70</v>
      </c>
      <c r="L559">
        <f t="shared" si="24"/>
        <v>120</v>
      </c>
      <c r="M559">
        <f t="shared" si="25"/>
        <v>28.96</v>
      </c>
      <c r="N559">
        <f t="shared" si="26"/>
        <v>91.039999999999992</v>
      </c>
      <c r="O559" cm="1">
        <f t="array" ref="O559">_xlfn.LET(_xlpm.cat, Greenleaf[[#This Row],[Product Category]], _xlpm.prices, _xlfn._xlws.FILTER(Greenleaf[Unit Price], (Greenleaf[Product Category]=_xlpm.cat)*(Greenleaf[Unit Price]&lt;&gt;"")), IFERROR(MEDIAN(_xlpm.prices), ""))</f>
        <v>15</v>
      </c>
      <c r="P559">
        <f>IF(Greenleaf[[#This Row],[Shipment Status]]="Returned",1,0)</f>
        <v>1</v>
      </c>
      <c r="Q559">
        <f>IF(Greenleaf[[#This Row],[Shipment Status]]="Delivered",1,0)</f>
        <v>0</v>
      </c>
    </row>
    <row r="560" spans="1:17" x14ac:dyDescent="0.45">
      <c r="A560" t="s">
        <v>900</v>
      </c>
      <c r="B560">
        <v>45491</v>
      </c>
      <c r="C560" t="s">
        <v>23</v>
      </c>
      <c r="D560" t="s">
        <v>24</v>
      </c>
      <c r="E560">
        <v>5</v>
      </c>
      <c r="F560">
        <v>25</v>
      </c>
      <c r="G560">
        <v>8.68</v>
      </c>
      <c r="H560" t="s">
        <v>414</v>
      </c>
      <c r="I560" t="s">
        <v>357</v>
      </c>
      <c r="J560" t="s">
        <v>27</v>
      </c>
      <c r="K560" t="s">
        <v>21</v>
      </c>
      <c r="L560">
        <f t="shared" si="24"/>
        <v>125</v>
      </c>
      <c r="M560">
        <f t="shared" si="25"/>
        <v>43.4</v>
      </c>
      <c r="N560">
        <f t="shared" si="26"/>
        <v>81.599999999999994</v>
      </c>
      <c r="O560" cm="1">
        <f t="array" ref="O560">_xlfn.LET(_xlpm.cat, Greenleaf[[#This Row],[Product Category]], _xlpm.prices, _xlfn._xlws.FILTER(Greenleaf[Unit Price], (Greenleaf[Product Category]=_xlpm.cat)*(Greenleaf[Unit Price]&lt;&gt;"")), IFERROR(MEDIAN(_xlpm.prices), ""))</f>
        <v>25</v>
      </c>
      <c r="P560">
        <f>IF(Greenleaf[[#This Row],[Shipment Status]]="Returned",1,0)</f>
        <v>0</v>
      </c>
      <c r="Q560">
        <f>IF(Greenleaf[[#This Row],[Shipment Status]]="Delivered",1,0)</f>
        <v>1</v>
      </c>
    </row>
    <row r="561" spans="1:17" x14ac:dyDescent="0.45">
      <c r="A561" t="s">
        <v>901</v>
      </c>
      <c r="B561">
        <v>45491</v>
      </c>
      <c r="C561" t="s">
        <v>49</v>
      </c>
      <c r="D561" t="s">
        <v>50</v>
      </c>
      <c r="E561">
        <v>10</v>
      </c>
      <c r="F561">
        <v>15</v>
      </c>
      <c r="G561">
        <v>3.4</v>
      </c>
      <c r="H561" t="s">
        <v>378</v>
      </c>
      <c r="I561" t="s">
        <v>379</v>
      </c>
      <c r="J561" t="s">
        <v>47</v>
      </c>
      <c r="K561" t="s">
        <v>28</v>
      </c>
      <c r="L561">
        <f t="shared" si="24"/>
        <v>150</v>
      </c>
      <c r="M561">
        <f t="shared" si="25"/>
        <v>34</v>
      </c>
      <c r="N561">
        <f t="shared" si="26"/>
        <v>116</v>
      </c>
      <c r="O561" cm="1">
        <f t="array" ref="O561">_xlfn.LET(_xlpm.cat, Greenleaf[[#This Row],[Product Category]], _xlpm.prices, _xlfn._xlws.FILTER(Greenleaf[Unit Price], (Greenleaf[Product Category]=_xlpm.cat)*(Greenleaf[Unit Price]&lt;&gt;"")), IFERROR(MEDIAN(_xlpm.prices), ""))</f>
        <v>15</v>
      </c>
      <c r="P561">
        <f>IF(Greenleaf[[#This Row],[Shipment Status]]="Returned",1,0)</f>
        <v>0</v>
      </c>
      <c r="Q561">
        <f>IF(Greenleaf[[#This Row],[Shipment Status]]="Delivered",1,0)</f>
        <v>0</v>
      </c>
    </row>
    <row r="562" spans="1:17" x14ac:dyDescent="0.45">
      <c r="A562" t="s">
        <v>902</v>
      </c>
      <c r="B562">
        <v>45491</v>
      </c>
      <c r="C562" t="s">
        <v>30</v>
      </c>
      <c r="D562" t="s">
        <v>31</v>
      </c>
      <c r="E562">
        <v>2</v>
      </c>
      <c r="F562">
        <v>40</v>
      </c>
      <c r="G562">
        <v>9.3000000000000007</v>
      </c>
      <c r="H562" t="s">
        <v>61</v>
      </c>
      <c r="I562" t="s">
        <v>62</v>
      </c>
      <c r="J562" t="s">
        <v>27</v>
      </c>
      <c r="K562" t="s">
        <v>134</v>
      </c>
      <c r="L562">
        <f t="shared" si="24"/>
        <v>80</v>
      </c>
      <c r="M562">
        <f t="shared" si="25"/>
        <v>18.600000000000001</v>
      </c>
      <c r="N562">
        <f t="shared" si="26"/>
        <v>61.4</v>
      </c>
      <c r="O562" cm="1">
        <f t="array" ref="O562">_xlfn.LET(_xlpm.cat, Greenleaf[[#This Row],[Product Category]], _xlpm.prices, _xlfn._xlws.FILTER(Greenleaf[Unit Price], (Greenleaf[Product Category]=_xlpm.cat)*(Greenleaf[Unit Price]&lt;&gt;"")), IFERROR(MEDIAN(_xlpm.prices), ""))</f>
        <v>40</v>
      </c>
      <c r="P562">
        <f>IF(Greenleaf[[#This Row],[Shipment Status]]="Returned",1,0)</f>
        <v>0</v>
      </c>
      <c r="Q562">
        <f>IF(Greenleaf[[#This Row],[Shipment Status]]="Delivered",1,0)</f>
        <v>1</v>
      </c>
    </row>
    <row r="563" spans="1:17" x14ac:dyDescent="0.45">
      <c r="A563" t="s">
        <v>903</v>
      </c>
      <c r="B563">
        <v>45491</v>
      </c>
      <c r="C563" t="s">
        <v>49</v>
      </c>
      <c r="D563" t="s">
        <v>50</v>
      </c>
      <c r="E563">
        <v>7</v>
      </c>
      <c r="F563">
        <v>15</v>
      </c>
      <c r="G563">
        <v>3.65</v>
      </c>
      <c r="H563" t="s">
        <v>904</v>
      </c>
      <c r="I563" t="s">
        <v>905</v>
      </c>
      <c r="J563" t="s">
        <v>42</v>
      </c>
      <c r="K563" t="s">
        <v>21</v>
      </c>
      <c r="L563">
        <f t="shared" si="24"/>
        <v>105</v>
      </c>
      <c r="M563">
        <f t="shared" si="25"/>
        <v>25.55</v>
      </c>
      <c r="N563">
        <f t="shared" si="26"/>
        <v>79.45</v>
      </c>
      <c r="O563" cm="1">
        <f t="array" ref="O563">_xlfn.LET(_xlpm.cat, Greenleaf[[#This Row],[Product Category]], _xlpm.prices, _xlfn._xlws.FILTER(Greenleaf[Unit Price], (Greenleaf[Product Category]=_xlpm.cat)*(Greenleaf[Unit Price]&lt;&gt;"")), IFERROR(MEDIAN(_xlpm.prices), ""))</f>
        <v>15</v>
      </c>
      <c r="P563">
        <f>IF(Greenleaf[[#This Row],[Shipment Status]]="Returned",1,0)</f>
        <v>1</v>
      </c>
      <c r="Q563">
        <f>IF(Greenleaf[[#This Row],[Shipment Status]]="Delivered",1,0)</f>
        <v>0</v>
      </c>
    </row>
    <row r="564" spans="1:17" x14ac:dyDescent="0.45">
      <c r="A564" t="s">
        <v>906</v>
      </c>
      <c r="B564">
        <v>45491</v>
      </c>
      <c r="C564" t="s">
        <v>30</v>
      </c>
      <c r="D564" t="s">
        <v>31</v>
      </c>
      <c r="E564">
        <v>2</v>
      </c>
      <c r="F564">
        <v>40</v>
      </c>
      <c r="G564">
        <v>14.04</v>
      </c>
      <c r="H564" t="s">
        <v>550</v>
      </c>
      <c r="I564" t="s">
        <v>319</v>
      </c>
      <c r="J564" t="s">
        <v>20</v>
      </c>
      <c r="K564" t="s">
        <v>38</v>
      </c>
      <c r="L564">
        <f t="shared" si="24"/>
        <v>80</v>
      </c>
      <c r="M564">
        <f t="shared" si="25"/>
        <v>28.08</v>
      </c>
      <c r="N564">
        <f t="shared" si="26"/>
        <v>51.92</v>
      </c>
      <c r="O564" cm="1">
        <f t="array" ref="O564">_xlfn.LET(_xlpm.cat, Greenleaf[[#This Row],[Product Category]], _xlpm.prices, _xlfn._xlws.FILTER(Greenleaf[Unit Price], (Greenleaf[Product Category]=_xlpm.cat)*(Greenleaf[Unit Price]&lt;&gt;"")), IFERROR(MEDIAN(_xlpm.prices), ""))</f>
        <v>40</v>
      </c>
      <c r="P564">
        <f>IF(Greenleaf[[#This Row],[Shipment Status]]="Returned",1,0)</f>
        <v>0</v>
      </c>
      <c r="Q564">
        <f>IF(Greenleaf[[#This Row],[Shipment Status]]="Delivered",1,0)</f>
        <v>0</v>
      </c>
    </row>
    <row r="565" spans="1:17" x14ac:dyDescent="0.45">
      <c r="A565" t="s">
        <v>907</v>
      </c>
      <c r="B565">
        <v>45492</v>
      </c>
      <c r="C565" t="s">
        <v>23</v>
      </c>
      <c r="D565" t="s">
        <v>24</v>
      </c>
      <c r="E565">
        <v>2</v>
      </c>
      <c r="F565">
        <v>25</v>
      </c>
      <c r="G565">
        <v>9.57</v>
      </c>
      <c r="H565" t="s">
        <v>329</v>
      </c>
      <c r="I565" t="s">
        <v>195</v>
      </c>
      <c r="J565" t="s">
        <v>27</v>
      </c>
      <c r="K565" t="s">
        <v>59</v>
      </c>
      <c r="L565">
        <f t="shared" si="24"/>
        <v>50</v>
      </c>
      <c r="M565">
        <f t="shared" si="25"/>
        <v>19.14</v>
      </c>
      <c r="N565">
        <f t="shared" si="26"/>
        <v>30.86</v>
      </c>
      <c r="O565" cm="1">
        <f t="array" ref="O565">_xlfn.LET(_xlpm.cat, Greenleaf[[#This Row],[Product Category]], _xlpm.prices, _xlfn._xlws.FILTER(Greenleaf[Unit Price], (Greenleaf[Product Category]=_xlpm.cat)*(Greenleaf[Unit Price]&lt;&gt;"")), IFERROR(MEDIAN(_xlpm.prices), ""))</f>
        <v>25</v>
      </c>
      <c r="P565">
        <f>IF(Greenleaf[[#This Row],[Shipment Status]]="Returned",1,0)</f>
        <v>0</v>
      </c>
      <c r="Q565">
        <f>IF(Greenleaf[[#This Row],[Shipment Status]]="Delivered",1,0)</f>
        <v>1</v>
      </c>
    </row>
    <row r="566" spans="1:17" x14ac:dyDescent="0.45">
      <c r="A566" t="s">
        <v>908</v>
      </c>
      <c r="B566">
        <v>45493</v>
      </c>
      <c r="C566" t="s">
        <v>30</v>
      </c>
      <c r="D566" t="s">
        <v>31</v>
      </c>
      <c r="E566">
        <v>3</v>
      </c>
      <c r="F566">
        <v>40</v>
      </c>
      <c r="G566">
        <v>12.77</v>
      </c>
      <c r="H566" t="s">
        <v>802</v>
      </c>
      <c r="I566" t="s">
        <v>333</v>
      </c>
      <c r="J566" t="s">
        <v>27</v>
      </c>
      <c r="K566" t="s">
        <v>70</v>
      </c>
      <c r="L566">
        <f t="shared" si="24"/>
        <v>120</v>
      </c>
      <c r="M566">
        <f t="shared" si="25"/>
        <v>38.31</v>
      </c>
      <c r="N566">
        <f t="shared" si="26"/>
        <v>81.69</v>
      </c>
      <c r="O566" cm="1">
        <f t="array" ref="O566">_xlfn.LET(_xlpm.cat, Greenleaf[[#This Row],[Product Category]], _xlpm.prices, _xlfn._xlws.FILTER(Greenleaf[Unit Price], (Greenleaf[Product Category]=_xlpm.cat)*(Greenleaf[Unit Price]&lt;&gt;"")), IFERROR(MEDIAN(_xlpm.prices), ""))</f>
        <v>40</v>
      </c>
      <c r="P566">
        <f>IF(Greenleaf[[#This Row],[Shipment Status]]="Returned",1,0)</f>
        <v>0</v>
      </c>
      <c r="Q566">
        <f>IF(Greenleaf[[#This Row],[Shipment Status]]="Delivered",1,0)</f>
        <v>1</v>
      </c>
    </row>
    <row r="567" spans="1:17" x14ac:dyDescent="0.45">
      <c r="A567" t="s">
        <v>909</v>
      </c>
      <c r="B567">
        <v>45494</v>
      </c>
      <c r="C567" t="s">
        <v>49</v>
      </c>
      <c r="D567" t="s">
        <v>50</v>
      </c>
      <c r="E567">
        <v>8</v>
      </c>
      <c r="F567">
        <v>15</v>
      </c>
      <c r="G567">
        <v>4.2699999999999996</v>
      </c>
      <c r="H567" t="s">
        <v>387</v>
      </c>
      <c r="I567" t="s">
        <v>161</v>
      </c>
      <c r="J567" t="s">
        <v>20</v>
      </c>
      <c r="K567" t="s">
        <v>56</v>
      </c>
      <c r="L567">
        <f t="shared" si="24"/>
        <v>120</v>
      </c>
      <c r="M567">
        <f t="shared" si="25"/>
        <v>34.159999999999997</v>
      </c>
      <c r="N567">
        <f t="shared" si="26"/>
        <v>85.84</v>
      </c>
      <c r="O567" cm="1">
        <f t="array" ref="O567">_xlfn.LET(_xlpm.cat, Greenleaf[[#This Row],[Product Category]], _xlpm.prices, _xlfn._xlws.FILTER(Greenleaf[Unit Price], (Greenleaf[Product Category]=_xlpm.cat)*(Greenleaf[Unit Price]&lt;&gt;"")), IFERROR(MEDIAN(_xlpm.prices), ""))</f>
        <v>15</v>
      </c>
      <c r="P567">
        <f>IF(Greenleaf[[#This Row],[Shipment Status]]="Returned",1,0)</f>
        <v>0</v>
      </c>
      <c r="Q567">
        <f>IF(Greenleaf[[#This Row],[Shipment Status]]="Delivered",1,0)</f>
        <v>0</v>
      </c>
    </row>
    <row r="568" spans="1:17" x14ac:dyDescent="0.45">
      <c r="A568" t="s">
        <v>910</v>
      </c>
      <c r="B568">
        <v>45494</v>
      </c>
      <c r="C568" t="s">
        <v>23</v>
      </c>
      <c r="D568" t="s">
        <v>24</v>
      </c>
      <c r="E568">
        <v>4</v>
      </c>
      <c r="F568">
        <v>25</v>
      </c>
      <c r="G568">
        <v>8.75</v>
      </c>
      <c r="H568" t="s">
        <v>397</v>
      </c>
      <c r="I568" t="s">
        <v>128</v>
      </c>
      <c r="J568" t="s">
        <v>27</v>
      </c>
      <c r="K568" t="s">
        <v>56</v>
      </c>
      <c r="L568">
        <f t="shared" si="24"/>
        <v>100</v>
      </c>
      <c r="M568">
        <f t="shared" si="25"/>
        <v>35</v>
      </c>
      <c r="N568">
        <f t="shared" si="26"/>
        <v>65</v>
      </c>
      <c r="O568" cm="1">
        <f t="array" ref="O568">_xlfn.LET(_xlpm.cat, Greenleaf[[#This Row],[Product Category]], _xlpm.prices, _xlfn._xlws.FILTER(Greenleaf[Unit Price], (Greenleaf[Product Category]=_xlpm.cat)*(Greenleaf[Unit Price]&lt;&gt;"")), IFERROR(MEDIAN(_xlpm.prices), ""))</f>
        <v>25</v>
      </c>
      <c r="P568">
        <f>IF(Greenleaf[[#This Row],[Shipment Status]]="Returned",1,0)</f>
        <v>0</v>
      </c>
      <c r="Q568">
        <f>IF(Greenleaf[[#This Row],[Shipment Status]]="Delivered",1,0)</f>
        <v>1</v>
      </c>
    </row>
    <row r="569" spans="1:17" x14ac:dyDescent="0.45">
      <c r="A569" t="s">
        <v>911</v>
      </c>
      <c r="B569">
        <v>45494</v>
      </c>
      <c r="C569" t="s">
        <v>30</v>
      </c>
      <c r="D569" t="s">
        <v>31</v>
      </c>
      <c r="E569">
        <v>3</v>
      </c>
      <c r="F569">
        <v>40</v>
      </c>
      <c r="G569">
        <v>9.3699999999999992</v>
      </c>
      <c r="H569" t="s">
        <v>763</v>
      </c>
      <c r="I569" t="s">
        <v>210</v>
      </c>
      <c r="J569" t="s">
        <v>27</v>
      </c>
      <c r="K569" t="s">
        <v>21</v>
      </c>
      <c r="L569">
        <f t="shared" si="24"/>
        <v>120</v>
      </c>
      <c r="M569">
        <f t="shared" si="25"/>
        <v>28.11</v>
      </c>
      <c r="N569">
        <f t="shared" si="26"/>
        <v>91.89</v>
      </c>
      <c r="O569" cm="1">
        <f t="array" ref="O569">_xlfn.LET(_xlpm.cat, Greenleaf[[#This Row],[Product Category]], _xlpm.prices, _xlfn._xlws.FILTER(Greenleaf[Unit Price], (Greenleaf[Product Category]=_xlpm.cat)*(Greenleaf[Unit Price]&lt;&gt;"")), IFERROR(MEDIAN(_xlpm.prices), ""))</f>
        <v>40</v>
      </c>
      <c r="P569">
        <f>IF(Greenleaf[[#This Row],[Shipment Status]]="Returned",1,0)</f>
        <v>0</v>
      </c>
      <c r="Q569">
        <f>IF(Greenleaf[[#This Row],[Shipment Status]]="Delivered",1,0)</f>
        <v>1</v>
      </c>
    </row>
    <row r="570" spans="1:17" x14ac:dyDescent="0.45">
      <c r="A570" t="s">
        <v>912</v>
      </c>
      <c r="B570">
        <v>45495</v>
      </c>
      <c r="C570" t="s">
        <v>30</v>
      </c>
      <c r="D570" t="s">
        <v>31</v>
      </c>
      <c r="E570">
        <v>5</v>
      </c>
      <c r="F570">
        <v>40</v>
      </c>
      <c r="G570">
        <v>11</v>
      </c>
      <c r="H570" t="s">
        <v>245</v>
      </c>
      <c r="I570" t="s">
        <v>100</v>
      </c>
      <c r="J570" t="s">
        <v>27</v>
      </c>
      <c r="K570" t="s">
        <v>70</v>
      </c>
      <c r="L570">
        <f t="shared" si="24"/>
        <v>200</v>
      </c>
      <c r="M570">
        <f t="shared" si="25"/>
        <v>55</v>
      </c>
      <c r="N570">
        <f t="shared" si="26"/>
        <v>145</v>
      </c>
      <c r="O570" cm="1">
        <f t="array" ref="O570">_xlfn.LET(_xlpm.cat, Greenleaf[[#This Row],[Product Category]], _xlpm.prices, _xlfn._xlws.FILTER(Greenleaf[Unit Price], (Greenleaf[Product Category]=_xlpm.cat)*(Greenleaf[Unit Price]&lt;&gt;"")), IFERROR(MEDIAN(_xlpm.prices), ""))</f>
        <v>40</v>
      </c>
      <c r="P570">
        <f>IF(Greenleaf[[#This Row],[Shipment Status]]="Returned",1,0)</f>
        <v>0</v>
      </c>
      <c r="Q570">
        <f>IF(Greenleaf[[#This Row],[Shipment Status]]="Delivered",1,0)</f>
        <v>1</v>
      </c>
    </row>
    <row r="571" spans="1:17" x14ac:dyDescent="0.45">
      <c r="A571" t="s">
        <v>913</v>
      </c>
      <c r="B571">
        <v>45495</v>
      </c>
      <c r="C571" t="s">
        <v>23</v>
      </c>
      <c r="D571" t="s">
        <v>24</v>
      </c>
      <c r="E571">
        <v>10</v>
      </c>
      <c r="F571">
        <v>25</v>
      </c>
      <c r="G571">
        <v>5.0999999999999996</v>
      </c>
      <c r="H571" t="s">
        <v>139</v>
      </c>
      <c r="I571" t="s">
        <v>140</v>
      </c>
      <c r="J571" t="s">
        <v>27</v>
      </c>
      <c r="K571" t="s">
        <v>74</v>
      </c>
      <c r="L571">
        <f t="shared" si="24"/>
        <v>250</v>
      </c>
      <c r="M571">
        <f t="shared" si="25"/>
        <v>51</v>
      </c>
      <c r="N571">
        <f t="shared" si="26"/>
        <v>199</v>
      </c>
      <c r="O571" cm="1">
        <f t="array" ref="O571">_xlfn.LET(_xlpm.cat, Greenleaf[[#This Row],[Product Category]], _xlpm.prices, _xlfn._xlws.FILTER(Greenleaf[Unit Price], (Greenleaf[Product Category]=_xlpm.cat)*(Greenleaf[Unit Price]&lt;&gt;"")), IFERROR(MEDIAN(_xlpm.prices), ""))</f>
        <v>25</v>
      </c>
      <c r="P571">
        <f>IF(Greenleaf[[#This Row],[Shipment Status]]="Returned",1,0)</f>
        <v>0</v>
      </c>
      <c r="Q571">
        <f>IF(Greenleaf[[#This Row],[Shipment Status]]="Delivered",1,0)</f>
        <v>1</v>
      </c>
    </row>
    <row r="572" spans="1:17" x14ac:dyDescent="0.45">
      <c r="A572" t="s">
        <v>914</v>
      </c>
      <c r="B572">
        <v>45495</v>
      </c>
      <c r="C572" t="s">
        <v>30</v>
      </c>
      <c r="D572" t="s">
        <v>31</v>
      </c>
      <c r="E572">
        <v>8</v>
      </c>
      <c r="F572">
        <v>40</v>
      </c>
      <c r="G572">
        <v>10.119999999999999</v>
      </c>
      <c r="H572" t="s">
        <v>176</v>
      </c>
      <c r="I572" t="s">
        <v>177</v>
      </c>
      <c r="J572" t="s">
        <v>27</v>
      </c>
      <c r="K572" t="s">
        <v>134</v>
      </c>
      <c r="L572">
        <f t="shared" si="24"/>
        <v>320</v>
      </c>
      <c r="M572">
        <f t="shared" si="25"/>
        <v>80.959999999999994</v>
      </c>
      <c r="N572">
        <f t="shared" si="26"/>
        <v>239.04000000000002</v>
      </c>
      <c r="O572" cm="1">
        <f t="array" ref="O572">_xlfn.LET(_xlpm.cat, Greenleaf[[#This Row],[Product Category]], _xlpm.prices, _xlfn._xlws.FILTER(Greenleaf[Unit Price], (Greenleaf[Product Category]=_xlpm.cat)*(Greenleaf[Unit Price]&lt;&gt;"")), IFERROR(MEDIAN(_xlpm.prices), ""))</f>
        <v>40</v>
      </c>
      <c r="P572">
        <f>IF(Greenleaf[[#This Row],[Shipment Status]]="Returned",1,0)</f>
        <v>0</v>
      </c>
      <c r="Q572">
        <f>IF(Greenleaf[[#This Row],[Shipment Status]]="Delivered",1,0)</f>
        <v>1</v>
      </c>
    </row>
    <row r="573" spans="1:17" x14ac:dyDescent="0.45">
      <c r="A573" t="s">
        <v>915</v>
      </c>
      <c r="B573">
        <v>45496</v>
      </c>
      <c r="C573" t="s">
        <v>49</v>
      </c>
      <c r="D573" t="s">
        <v>50</v>
      </c>
      <c r="E573">
        <v>7</v>
      </c>
      <c r="F573">
        <v>15</v>
      </c>
      <c r="G573">
        <v>5.88</v>
      </c>
      <c r="H573" t="s">
        <v>174</v>
      </c>
      <c r="I573" t="s">
        <v>112</v>
      </c>
      <c r="J573" t="s">
        <v>47</v>
      </c>
      <c r="K573" t="s">
        <v>21</v>
      </c>
      <c r="L573">
        <f t="shared" si="24"/>
        <v>105</v>
      </c>
      <c r="M573">
        <f t="shared" si="25"/>
        <v>41.16</v>
      </c>
      <c r="N573">
        <f t="shared" si="26"/>
        <v>63.84</v>
      </c>
      <c r="O573" cm="1">
        <f t="array" ref="O573">_xlfn.LET(_xlpm.cat, Greenleaf[[#This Row],[Product Category]], _xlpm.prices, _xlfn._xlws.FILTER(Greenleaf[Unit Price], (Greenleaf[Product Category]=_xlpm.cat)*(Greenleaf[Unit Price]&lt;&gt;"")), IFERROR(MEDIAN(_xlpm.prices), ""))</f>
        <v>15</v>
      </c>
      <c r="P573">
        <f>IF(Greenleaf[[#This Row],[Shipment Status]]="Returned",1,0)</f>
        <v>0</v>
      </c>
      <c r="Q573">
        <f>IF(Greenleaf[[#This Row],[Shipment Status]]="Delivered",1,0)</f>
        <v>0</v>
      </c>
    </row>
    <row r="574" spans="1:17" x14ac:dyDescent="0.45">
      <c r="A574" t="s">
        <v>916</v>
      </c>
      <c r="B574">
        <v>45496</v>
      </c>
      <c r="C574" t="s">
        <v>16</v>
      </c>
      <c r="D574" t="s">
        <v>17</v>
      </c>
      <c r="E574">
        <v>1</v>
      </c>
      <c r="F574">
        <v>10</v>
      </c>
      <c r="G574">
        <v>2.21</v>
      </c>
      <c r="H574" t="s">
        <v>802</v>
      </c>
      <c r="I574" t="s">
        <v>333</v>
      </c>
      <c r="J574" t="s">
        <v>27</v>
      </c>
      <c r="K574" t="s">
        <v>28</v>
      </c>
      <c r="L574">
        <f t="shared" si="24"/>
        <v>10</v>
      </c>
      <c r="M574">
        <f t="shared" si="25"/>
        <v>2.21</v>
      </c>
      <c r="N574">
        <f t="shared" si="26"/>
        <v>7.79</v>
      </c>
      <c r="O574" cm="1">
        <f t="array" ref="O574">_xlfn.LET(_xlpm.cat, Greenleaf[[#This Row],[Product Category]], _xlpm.prices, _xlfn._xlws.FILTER(Greenleaf[Unit Price], (Greenleaf[Product Category]=_xlpm.cat)*(Greenleaf[Unit Price]&lt;&gt;"")), IFERROR(MEDIAN(_xlpm.prices), ""))</f>
        <v>10</v>
      </c>
      <c r="P574">
        <f>IF(Greenleaf[[#This Row],[Shipment Status]]="Returned",1,0)</f>
        <v>0</v>
      </c>
      <c r="Q574">
        <f>IF(Greenleaf[[#This Row],[Shipment Status]]="Delivered",1,0)</f>
        <v>1</v>
      </c>
    </row>
    <row r="575" spans="1:17" x14ac:dyDescent="0.45">
      <c r="A575" t="s">
        <v>917</v>
      </c>
      <c r="B575">
        <v>45496</v>
      </c>
      <c r="C575" t="s">
        <v>30</v>
      </c>
      <c r="D575" t="s">
        <v>31</v>
      </c>
      <c r="E575">
        <v>3</v>
      </c>
      <c r="F575">
        <v>40</v>
      </c>
      <c r="G575">
        <v>8.3800000000000008</v>
      </c>
      <c r="H575" t="s">
        <v>166</v>
      </c>
      <c r="I575" t="s">
        <v>167</v>
      </c>
      <c r="J575" t="s">
        <v>27</v>
      </c>
      <c r="K575" t="s">
        <v>43</v>
      </c>
      <c r="L575">
        <f t="shared" si="24"/>
        <v>120</v>
      </c>
      <c r="M575">
        <f t="shared" si="25"/>
        <v>25.14</v>
      </c>
      <c r="N575">
        <f t="shared" si="26"/>
        <v>94.86</v>
      </c>
      <c r="O575" cm="1">
        <f t="array" ref="O575">_xlfn.LET(_xlpm.cat, Greenleaf[[#This Row],[Product Category]], _xlpm.prices, _xlfn._xlws.FILTER(Greenleaf[Unit Price], (Greenleaf[Product Category]=_xlpm.cat)*(Greenleaf[Unit Price]&lt;&gt;"")), IFERROR(MEDIAN(_xlpm.prices), ""))</f>
        <v>40</v>
      </c>
      <c r="P575">
        <f>IF(Greenleaf[[#This Row],[Shipment Status]]="Returned",1,0)</f>
        <v>0</v>
      </c>
      <c r="Q575">
        <f>IF(Greenleaf[[#This Row],[Shipment Status]]="Delivered",1,0)</f>
        <v>1</v>
      </c>
    </row>
    <row r="576" spans="1:17" x14ac:dyDescent="0.45">
      <c r="A576" t="s">
        <v>918</v>
      </c>
      <c r="B576">
        <v>45496</v>
      </c>
      <c r="C576" t="s">
        <v>66</v>
      </c>
      <c r="D576" t="s">
        <v>67</v>
      </c>
      <c r="E576">
        <v>6</v>
      </c>
      <c r="F576">
        <v>12</v>
      </c>
      <c r="G576">
        <v>2.68</v>
      </c>
      <c r="H576" t="s">
        <v>72</v>
      </c>
      <c r="I576" t="s">
        <v>73</v>
      </c>
      <c r="J576" t="s">
        <v>27</v>
      </c>
      <c r="K576" t="s">
        <v>21</v>
      </c>
      <c r="L576">
        <f t="shared" si="24"/>
        <v>72</v>
      </c>
      <c r="M576">
        <f t="shared" si="25"/>
        <v>16.080000000000002</v>
      </c>
      <c r="N576">
        <f t="shared" si="26"/>
        <v>55.92</v>
      </c>
      <c r="O576" cm="1">
        <f t="array" ref="O576">_xlfn.LET(_xlpm.cat, Greenleaf[[#This Row],[Product Category]], _xlpm.prices, _xlfn._xlws.FILTER(Greenleaf[Unit Price], (Greenleaf[Product Category]=_xlpm.cat)*(Greenleaf[Unit Price]&lt;&gt;"")), IFERROR(MEDIAN(_xlpm.prices), ""))</f>
        <v>12</v>
      </c>
      <c r="P576">
        <f>IF(Greenleaf[[#This Row],[Shipment Status]]="Returned",1,0)</f>
        <v>0</v>
      </c>
      <c r="Q576">
        <f>IF(Greenleaf[[#This Row],[Shipment Status]]="Delivered",1,0)</f>
        <v>1</v>
      </c>
    </row>
    <row r="577" spans="1:17" x14ac:dyDescent="0.45">
      <c r="A577" t="s">
        <v>919</v>
      </c>
      <c r="B577">
        <v>45498</v>
      </c>
      <c r="C577" t="s">
        <v>23</v>
      </c>
      <c r="D577" t="s">
        <v>24</v>
      </c>
      <c r="E577">
        <v>8</v>
      </c>
      <c r="F577">
        <v>25</v>
      </c>
      <c r="G577">
        <v>6.6</v>
      </c>
      <c r="H577" t="s">
        <v>305</v>
      </c>
      <c r="I577" t="s">
        <v>210</v>
      </c>
      <c r="J577" t="s">
        <v>27</v>
      </c>
      <c r="K577" t="s">
        <v>34</v>
      </c>
      <c r="L577">
        <f t="shared" si="24"/>
        <v>200</v>
      </c>
      <c r="M577">
        <f t="shared" si="25"/>
        <v>52.8</v>
      </c>
      <c r="N577">
        <f t="shared" si="26"/>
        <v>147.19999999999999</v>
      </c>
      <c r="O577" cm="1">
        <f t="array" ref="O577">_xlfn.LET(_xlpm.cat, Greenleaf[[#This Row],[Product Category]], _xlpm.prices, _xlfn._xlws.FILTER(Greenleaf[Unit Price], (Greenleaf[Product Category]=_xlpm.cat)*(Greenleaf[Unit Price]&lt;&gt;"")), IFERROR(MEDIAN(_xlpm.prices), ""))</f>
        <v>25</v>
      </c>
      <c r="P577">
        <f>IF(Greenleaf[[#This Row],[Shipment Status]]="Returned",1,0)</f>
        <v>0</v>
      </c>
      <c r="Q577">
        <f>IF(Greenleaf[[#This Row],[Shipment Status]]="Delivered",1,0)</f>
        <v>1</v>
      </c>
    </row>
    <row r="578" spans="1:17" x14ac:dyDescent="0.45">
      <c r="A578" t="s">
        <v>920</v>
      </c>
      <c r="B578">
        <v>45498</v>
      </c>
      <c r="C578" t="s">
        <v>30</v>
      </c>
      <c r="D578" t="s">
        <v>31</v>
      </c>
      <c r="E578">
        <v>4</v>
      </c>
      <c r="F578">
        <v>40</v>
      </c>
      <c r="G578">
        <v>14.82</v>
      </c>
      <c r="H578" t="s">
        <v>641</v>
      </c>
      <c r="I578" t="s">
        <v>319</v>
      </c>
      <c r="J578" t="s">
        <v>27</v>
      </c>
      <c r="K578" t="s">
        <v>28</v>
      </c>
      <c r="L578">
        <f t="shared" ref="L578:L641" si="27">E578*F578</f>
        <v>160</v>
      </c>
      <c r="M578">
        <f t="shared" ref="M578:M641" si="28">E578*G578</f>
        <v>59.28</v>
      </c>
      <c r="N578">
        <f t="shared" ref="N578:N641" si="29">L578-M578</f>
        <v>100.72</v>
      </c>
      <c r="O578" cm="1">
        <f t="array" ref="O578">_xlfn.LET(_xlpm.cat, Greenleaf[[#This Row],[Product Category]], _xlpm.prices, _xlfn._xlws.FILTER(Greenleaf[Unit Price], (Greenleaf[Product Category]=_xlpm.cat)*(Greenleaf[Unit Price]&lt;&gt;"")), IFERROR(MEDIAN(_xlpm.prices), ""))</f>
        <v>40</v>
      </c>
      <c r="P578">
        <f>IF(Greenleaf[[#This Row],[Shipment Status]]="Returned",1,0)</f>
        <v>0</v>
      </c>
      <c r="Q578">
        <f>IF(Greenleaf[[#This Row],[Shipment Status]]="Delivered",1,0)</f>
        <v>1</v>
      </c>
    </row>
    <row r="579" spans="1:17" x14ac:dyDescent="0.45">
      <c r="A579" t="s">
        <v>921</v>
      </c>
      <c r="B579">
        <v>45498</v>
      </c>
      <c r="C579" t="s">
        <v>23</v>
      </c>
      <c r="D579" t="s">
        <v>24</v>
      </c>
      <c r="E579">
        <v>7</v>
      </c>
      <c r="F579">
        <v>25</v>
      </c>
      <c r="G579">
        <v>8.67</v>
      </c>
      <c r="H579" t="s">
        <v>418</v>
      </c>
      <c r="I579" t="s">
        <v>105</v>
      </c>
      <c r="J579" t="s">
        <v>20</v>
      </c>
      <c r="K579" t="s">
        <v>38</v>
      </c>
      <c r="L579">
        <f t="shared" si="27"/>
        <v>175</v>
      </c>
      <c r="M579">
        <f t="shared" si="28"/>
        <v>60.69</v>
      </c>
      <c r="N579">
        <f t="shared" si="29"/>
        <v>114.31</v>
      </c>
      <c r="O579" cm="1">
        <f t="array" ref="O579">_xlfn.LET(_xlpm.cat, Greenleaf[[#This Row],[Product Category]], _xlpm.prices, _xlfn._xlws.FILTER(Greenleaf[Unit Price], (Greenleaf[Product Category]=_xlpm.cat)*(Greenleaf[Unit Price]&lt;&gt;"")), IFERROR(MEDIAN(_xlpm.prices), ""))</f>
        <v>25</v>
      </c>
      <c r="P579">
        <f>IF(Greenleaf[[#This Row],[Shipment Status]]="Returned",1,0)</f>
        <v>0</v>
      </c>
      <c r="Q579">
        <f>IF(Greenleaf[[#This Row],[Shipment Status]]="Delivered",1,0)</f>
        <v>0</v>
      </c>
    </row>
    <row r="580" spans="1:17" x14ac:dyDescent="0.45">
      <c r="A580" t="s">
        <v>922</v>
      </c>
      <c r="B580">
        <v>45498</v>
      </c>
      <c r="C580" t="s">
        <v>49</v>
      </c>
      <c r="D580" t="s">
        <v>50</v>
      </c>
      <c r="E580">
        <v>8</v>
      </c>
      <c r="F580">
        <v>15</v>
      </c>
      <c r="G580">
        <v>5.97</v>
      </c>
      <c r="H580" t="s">
        <v>482</v>
      </c>
      <c r="I580" t="s">
        <v>143</v>
      </c>
      <c r="J580" t="s">
        <v>27</v>
      </c>
      <c r="K580" t="s">
        <v>38</v>
      </c>
      <c r="L580">
        <f t="shared" si="27"/>
        <v>120</v>
      </c>
      <c r="M580">
        <f t="shared" si="28"/>
        <v>47.76</v>
      </c>
      <c r="N580">
        <f t="shared" si="29"/>
        <v>72.240000000000009</v>
      </c>
      <c r="O580" cm="1">
        <f t="array" ref="O580">_xlfn.LET(_xlpm.cat, Greenleaf[[#This Row],[Product Category]], _xlpm.prices, _xlfn._xlws.FILTER(Greenleaf[Unit Price], (Greenleaf[Product Category]=_xlpm.cat)*(Greenleaf[Unit Price]&lt;&gt;"")), IFERROR(MEDIAN(_xlpm.prices), ""))</f>
        <v>15</v>
      </c>
      <c r="P580">
        <f>IF(Greenleaf[[#This Row],[Shipment Status]]="Returned",1,0)</f>
        <v>0</v>
      </c>
      <c r="Q580">
        <f>IF(Greenleaf[[#This Row],[Shipment Status]]="Delivered",1,0)</f>
        <v>1</v>
      </c>
    </row>
    <row r="581" spans="1:17" x14ac:dyDescent="0.45">
      <c r="A581" t="s">
        <v>923</v>
      </c>
      <c r="B581">
        <v>45498</v>
      </c>
      <c r="C581" t="s">
        <v>66</v>
      </c>
      <c r="D581" t="s">
        <v>67</v>
      </c>
      <c r="E581">
        <v>4</v>
      </c>
      <c r="F581">
        <v>12</v>
      </c>
      <c r="G581">
        <v>3.9</v>
      </c>
      <c r="H581" t="s">
        <v>924</v>
      </c>
      <c r="I581" t="s">
        <v>925</v>
      </c>
      <c r="J581" t="s">
        <v>27</v>
      </c>
      <c r="K581" t="s">
        <v>28</v>
      </c>
      <c r="L581">
        <f t="shared" si="27"/>
        <v>48</v>
      </c>
      <c r="M581">
        <f t="shared" si="28"/>
        <v>15.6</v>
      </c>
      <c r="N581">
        <f t="shared" si="29"/>
        <v>32.4</v>
      </c>
      <c r="O581" cm="1">
        <f t="array" ref="O581">_xlfn.LET(_xlpm.cat, Greenleaf[[#This Row],[Product Category]], _xlpm.prices, _xlfn._xlws.FILTER(Greenleaf[Unit Price], (Greenleaf[Product Category]=_xlpm.cat)*(Greenleaf[Unit Price]&lt;&gt;"")), IFERROR(MEDIAN(_xlpm.prices), ""))</f>
        <v>12</v>
      </c>
      <c r="P581">
        <f>IF(Greenleaf[[#This Row],[Shipment Status]]="Returned",1,0)</f>
        <v>0</v>
      </c>
      <c r="Q581">
        <f>IF(Greenleaf[[#This Row],[Shipment Status]]="Delivered",1,0)</f>
        <v>1</v>
      </c>
    </row>
    <row r="582" spans="1:17" x14ac:dyDescent="0.45">
      <c r="A582" t="s">
        <v>926</v>
      </c>
      <c r="B582">
        <v>45498</v>
      </c>
      <c r="C582" t="s">
        <v>16</v>
      </c>
      <c r="D582" t="s">
        <v>17</v>
      </c>
      <c r="E582">
        <v>6</v>
      </c>
      <c r="F582">
        <v>10</v>
      </c>
      <c r="G582">
        <v>3.16</v>
      </c>
      <c r="H582" t="s">
        <v>731</v>
      </c>
      <c r="I582" t="s">
        <v>732</v>
      </c>
      <c r="J582" t="s">
        <v>27</v>
      </c>
      <c r="K582" t="s">
        <v>43</v>
      </c>
      <c r="L582">
        <f t="shared" si="27"/>
        <v>60</v>
      </c>
      <c r="M582">
        <f t="shared" si="28"/>
        <v>18.96</v>
      </c>
      <c r="N582">
        <f t="shared" si="29"/>
        <v>41.04</v>
      </c>
      <c r="O582" cm="1">
        <f t="array" ref="O582">_xlfn.LET(_xlpm.cat, Greenleaf[[#This Row],[Product Category]], _xlpm.prices, _xlfn._xlws.FILTER(Greenleaf[Unit Price], (Greenleaf[Product Category]=_xlpm.cat)*(Greenleaf[Unit Price]&lt;&gt;"")), IFERROR(MEDIAN(_xlpm.prices), ""))</f>
        <v>10</v>
      </c>
      <c r="P582">
        <f>IF(Greenleaf[[#This Row],[Shipment Status]]="Returned",1,0)</f>
        <v>0</v>
      </c>
      <c r="Q582">
        <f>IF(Greenleaf[[#This Row],[Shipment Status]]="Delivered",1,0)</f>
        <v>1</v>
      </c>
    </row>
    <row r="583" spans="1:17" x14ac:dyDescent="0.45">
      <c r="A583" t="s">
        <v>927</v>
      </c>
      <c r="B583">
        <v>45498</v>
      </c>
      <c r="C583" t="s">
        <v>30</v>
      </c>
      <c r="D583" t="s">
        <v>31</v>
      </c>
      <c r="E583">
        <v>3</v>
      </c>
      <c r="F583">
        <v>40</v>
      </c>
      <c r="G583">
        <v>11.05</v>
      </c>
      <c r="H583" t="s">
        <v>443</v>
      </c>
      <c r="I583" t="s">
        <v>444</v>
      </c>
      <c r="J583" t="s">
        <v>20</v>
      </c>
      <c r="K583" t="s">
        <v>70</v>
      </c>
      <c r="L583">
        <f t="shared" si="27"/>
        <v>120</v>
      </c>
      <c r="M583">
        <f t="shared" si="28"/>
        <v>33.150000000000006</v>
      </c>
      <c r="N583">
        <f t="shared" si="29"/>
        <v>86.85</v>
      </c>
      <c r="O583" cm="1">
        <f t="array" ref="O583">_xlfn.LET(_xlpm.cat, Greenleaf[[#This Row],[Product Category]], _xlpm.prices, _xlfn._xlws.FILTER(Greenleaf[Unit Price], (Greenleaf[Product Category]=_xlpm.cat)*(Greenleaf[Unit Price]&lt;&gt;"")), IFERROR(MEDIAN(_xlpm.prices), ""))</f>
        <v>40</v>
      </c>
      <c r="P583">
        <f>IF(Greenleaf[[#This Row],[Shipment Status]]="Returned",1,0)</f>
        <v>0</v>
      </c>
      <c r="Q583">
        <f>IF(Greenleaf[[#This Row],[Shipment Status]]="Delivered",1,0)</f>
        <v>0</v>
      </c>
    </row>
    <row r="584" spans="1:17" x14ac:dyDescent="0.45">
      <c r="A584" t="s">
        <v>928</v>
      </c>
      <c r="B584">
        <v>45499</v>
      </c>
      <c r="C584" t="s">
        <v>30</v>
      </c>
      <c r="D584" t="s">
        <v>31</v>
      </c>
      <c r="E584">
        <v>5</v>
      </c>
      <c r="F584">
        <v>40</v>
      </c>
      <c r="G584">
        <v>12.94</v>
      </c>
      <c r="H584" t="s">
        <v>238</v>
      </c>
      <c r="I584" t="s">
        <v>239</v>
      </c>
      <c r="J584" t="s">
        <v>27</v>
      </c>
      <c r="K584" t="s">
        <v>34</v>
      </c>
      <c r="L584">
        <f t="shared" si="27"/>
        <v>200</v>
      </c>
      <c r="M584">
        <f t="shared" si="28"/>
        <v>64.7</v>
      </c>
      <c r="N584">
        <f t="shared" si="29"/>
        <v>135.30000000000001</v>
      </c>
      <c r="O584" cm="1">
        <f t="array" ref="O584">_xlfn.LET(_xlpm.cat, Greenleaf[[#This Row],[Product Category]], _xlpm.prices, _xlfn._xlws.FILTER(Greenleaf[Unit Price], (Greenleaf[Product Category]=_xlpm.cat)*(Greenleaf[Unit Price]&lt;&gt;"")), IFERROR(MEDIAN(_xlpm.prices), ""))</f>
        <v>40</v>
      </c>
      <c r="P584">
        <f>IF(Greenleaf[[#This Row],[Shipment Status]]="Returned",1,0)</f>
        <v>0</v>
      </c>
      <c r="Q584">
        <f>IF(Greenleaf[[#This Row],[Shipment Status]]="Delivered",1,0)</f>
        <v>1</v>
      </c>
    </row>
    <row r="585" spans="1:17" x14ac:dyDescent="0.45">
      <c r="A585" t="s">
        <v>929</v>
      </c>
      <c r="B585">
        <v>45499</v>
      </c>
      <c r="C585" t="s">
        <v>16</v>
      </c>
      <c r="D585" t="s">
        <v>17</v>
      </c>
      <c r="E585">
        <v>3</v>
      </c>
      <c r="F585">
        <v>10</v>
      </c>
      <c r="G585">
        <v>2.02</v>
      </c>
      <c r="H585" t="s">
        <v>200</v>
      </c>
      <c r="I585" t="s">
        <v>201</v>
      </c>
      <c r="J585" t="s">
        <v>20</v>
      </c>
      <c r="K585" t="s">
        <v>21</v>
      </c>
      <c r="L585">
        <f t="shared" si="27"/>
        <v>30</v>
      </c>
      <c r="M585">
        <f t="shared" si="28"/>
        <v>6.0600000000000005</v>
      </c>
      <c r="N585">
        <f t="shared" si="29"/>
        <v>23.939999999999998</v>
      </c>
      <c r="O585" cm="1">
        <f t="array" ref="O585">_xlfn.LET(_xlpm.cat, Greenleaf[[#This Row],[Product Category]], _xlpm.prices, _xlfn._xlws.FILTER(Greenleaf[Unit Price], (Greenleaf[Product Category]=_xlpm.cat)*(Greenleaf[Unit Price]&lt;&gt;"")), IFERROR(MEDIAN(_xlpm.prices), ""))</f>
        <v>10</v>
      </c>
      <c r="P585">
        <f>IF(Greenleaf[[#This Row],[Shipment Status]]="Returned",1,0)</f>
        <v>0</v>
      </c>
      <c r="Q585">
        <f>IF(Greenleaf[[#This Row],[Shipment Status]]="Delivered",1,0)</f>
        <v>0</v>
      </c>
    </row>
    <row r="586" spans="1:17" x14ac:dyDescent="0.45">
      <c r="A586" t="s">
        <v>930</v>
      </c>
      <c r="B586">
        <v>45500</v>
      </c>
      <c r="C586" t="s">
        <v>30</v>
      </c>
      <c r="D586" t="s">
        <v>31</v>
      </c>
      <c r="E586">
        <v>6</v>
      </c>
      <c r="F586">
        <v>40</v>
      </c>
      <c r="G586">
        <v>13.06</v>
      </c>
      <c r="H586" t="s">
        <v>405</v>
      </c>
      <c r="I586" t="s">
        <v>214</v>
      </c>
      <c r="J586" t="s">
        <v>27</v>
      </c>
      <c r="K586" t="s">
        <v>34</v>
      </c>
      <c r="L586">
        <f t="shared" si="27"/>
        <v>240</v>
      </c>
      <c r="M586">
        <f t="shared" si="28"/>
        <v>78.36</v>
      </c>
      <c r="N586">
        <f t="shared" si="29"/>
        <v>161.63999999999999</v>
      </c>
      <c r="O586" cm="1">
        <f t="array" ref="O586">_xlfn.LET(_xlpm.cat, Greenleaf[[#This Row],[Product Category]], _xlpm.prices, _xlfn._xlws.FILTER(Greenleaf[Unit Price], (Greenleaf[Product Category]=_xlpm.cat)*(Greenleaf[Unit Price]&lt;&gt;"")), IFERROR(MEDIAN(_xlpm.prices), ""))</f>
        <v>40</v>
      </c>
      <c r="P586">
        <f>IF(Greenleaf[[#This Row],[Shipment Status]]="Returned",1,0)</f>
        <v>0</v>
      </c>
      <c r="Q586">
        <f>IF(Greenleaf[[#This Row],[Shipment Status]]="Delivered",1,0)</f>
        <v>1</v>
      </c>
    </row>
    <row r="587" spans="1:17" x14ac:dyDescent="0.45">
      <c r="A587" t="s">
        <v>931</v>
      </c>
      <c r="B587">
        <v>45500</v>
      </c>
      <c r="C587" t="s">
        <v>23</v>
      </c>
      <c r="D587" t="s">
        <v>24</v>
      </c>
      <c r="E587">
        <v>3</v>
      </c>
      <c r="F587">
        <v>25</v>
      </c>
      <c r="G587">
        <v>5.33</v>
      </c>
      <c r="H587" t="s">
        <v>457</v>
      </c>
      <c r="I587" t="s">
        <v>458</v>
      </c>
      <c r="J587" t="s">
        <v>27</v>
      </c>
      <c r="K587" t="s">
        <v>38</v>
      </c>
      <c r="L587">
        <f t="shared" si="27"/>
        <v>75</v>
      </c>
      <c r="M587">
        <f t="shared" si="28"/>
        <v>15.99</v>
      </c>
      <c r="N587">
        <f t="shared" si="29"/>
        <v>59.01</v>
      </c>
      <c r="O587" cm="1">
        <f t="array" ref="O587">_xlfn.LET(_xlpm.cat, Greenleaf[[#This Row],[Product Category]], _xlpm.prices, _xlfn._xlws.FILTER(Greenleaf[Unit Price], (Greenleaf[Product Category]=_xlpm.cat)*(Greenleaf[Unit Price]&lt;&gt;"")), IFERROR(MEDIAN(_xlpm.prices), ""))</f>
        <v>25</v>
      </c>
      <c r="P587">
        <f>IF(Greenleaf[[#This Row],[Shipment Status]]="Returned",1,0)</f>
        <v>0</v>
      </c>
      <c r="Q587">
        <f>IF(Greenleaf[[#This Row],[Shipment Status]]="Delivered",1,0)</f>
        <v>1</v>
      </c>
    </row>
    <row r="588" spans="1:17" x14ac:dyDescent="0.45">
      <c r="A588" t="s">
        <v>932</v>
      </c>
      <c r="B588">
        <v>45500</v>
      </c>
      <c r="C588" t="s">
        <v>49</v>
      </c>
      <c r="D588" t="s">
        <v>50</v>
      </c>
      <c r="E588">
        <v>6</v>
      </c>
      <c r="F588">
        <v>15</v>
      </c>
      <c r="G588">
        <v>5.32</v>
      </c>
      <c r="H588" t="s">
        <v>256</v>
      </c>
      <c r="I588" t="s">
        <v>257</v>
      </c>
      <c r="J588" t="s">
        <v>27</v>
      </c>
      <c r="K588" t="s">
        <v>34</v>
      </c>
      <c r="L588">
        <f t="shared" si="27"/>
        <v>90</v>
      </c>
      <c r="M588">
        <f t="shared" si="28"/>
        <v>31.92</v>
      </c>
      <c r="N588">
        <f t="shared" si="29"/>
        <v>58.08</v>
      </c>
      <c r="O588" cm="1">
        <f t="array" ref="O588">_xlfn.LET(_xlpm.cat, Greenleaf[[#This Row],[Product Category]], _xlpm.prices, _xlfn._xlws.FILTER(Greenleaf[Unit Price], (Greenleaf[Product Category]=_xlpm.cat)*(Greenleaf[Unit Price]&lt;&gt;"")), IFERROR(MEDIAN(_xlpm.prices), ""))</f>
        <v>15</v>
      </c>
      <c r="P588">
        <f>IF(Greenleaf[[#This Row],[Shipment Status]]="Returned",1,0)</f>
        <v>0</v>
      </c>
      <c r="Q588">
        <f>IF(Greenleaf[[#This Row],[Shipment Status]]="Delivered",1,0)</f>
        <v>1</v>
      </c>
    </row>
    <row r="589" spans="1:17" x14ac:dyDescent="0.45">
      <c r="A589" t="s">
        <v>933</v>
      </c>
      <c r="B589">
        <v>45501</v>
      </c>
      <c r="C589" t="s">
        <v>23</v>
      </c>
      <c r="D589" t="s">
        <v>24</v>
      </c>
      <c r="E589">
        <v>8</v>
      </c>
      <c r="F589">
        <v>25</v>
      </c>
      <c r="G589">
        <v>7.98</v>
      </c>
      <c r="H589" t="s">
        <v>373</v>
      </c>
      <c r="I589" t="s">
        <v>374</v>
      </c>
      <c r="J589" t="s">
        <v>27</v>
      </c>
      <c r="K589" t="s">
        <v>21</v>
      </c>
      <c r="L589">
        <f t="shared" si="27"/>
        <v>200</v>
      </c>
      <c r="M589">
        <f t="shared" si="28"/>
        <v>63.84</v>
      </c>
      <c r="N589">
        <f t="shared" si="29"/>
        <v>136.16</v>
      </c>
      <c r="O589" cm="1">
        <f t="array" ref="O589">_xlfn.LET(_xlpm.cat, Greenleaf[[#This Row],[Product Category]], _xlpm.prices, _xlfn._xlws.FILTER(Greenleaf[Unit Price], (Greenleaf[Product Category]=_xlpm.cat)*(Greenleaf[Unit Price]&lt;&gt;"")), IFERROR(MEDIAN(_xlpm.prices), ""))</f>
        <v>25</v>
      </c>
      <c r="P589">
        <f>IF(Greenleaf[[#This Row],[Shipment Status]]="Returned",1,0)</f>
        <v>0</v>
      </c>
      <c r="Q589">
        <f>IF(Greenleaf[[#This Row],[Shipment Status]]="Delivered",1,0)</f>
        <v>1</v>
      </c>
    </row>
    <row r="590" spans="1:17" x14ac:dyDescent="0.45">
      <c r="A590" t="s">
        <v>934</v>
      </c>
      <c r="B590">
        <v>45503</v>
      </c>
      <c r="C590" t="s">
        <v>49</v>
      </c>
      <c r="D590" t="s">
        <v>50</v>
      </c>
      <c r="E590">
        <v>9</v>
      </c>
      <c r="F590">
        <v>15</v>
      </c>
      <c r="G590">
        <v>5.59</v>
      </c>
      <c r="H590" t="s">
        <v>517</v>
      </c>
      <c r="I590" t="s">
        <v>518</v>
      </c>
      <c r="J590" t="s">
        <v>27</v>
      </c>
      <c r="K590" t="s">
        <v>43</v>
      </c>
      <c r="L590">
        <f t="shared" si="27"/>
        <v>135</v>
      </c>
      <c r="M590">
        <f t="shared" si="28"/>
        <v>50.31</v>
      </c>
      <c r="N590">
        <f t="shared" si="29"/>
        <v>84.69</v>
      </c>
      <c r="O590" cm="1">
        <f t="array" ref="O590">_xlfn.LET(_xlpm.cat, Greenleaf[[#This Row],[Product Category]], _xlpm.prices, _xlfn._xlws.FILTER(Greenleaf[Unit Price], (Greenleaf[Product Category]=_xlpm.cat)*(Greenleaf[Unit Price]&lt;&gt;"")), IFERROR(MEDIAN(_xlpm.prices), ""))</f>
        <v>15</v>
      </c>
      <c r="P590">
        <f>IF(Greenleaf[[#This Row],[Shipment Status]]="Returned",1,0)</f>
        <v>0</v>
      </c>
      <c r="Q590">
        <f>IF(Greenleaf[[#This Row],[Shipment Status]]="Delivered",1,0)</f>
        <v>1</v>
      </c>
    </row>
    <row r="591" spans="1:17" x14ac:dyDescent="0.45">
      <c r="A591" t="s">
        <v>935</v>
      </c>
      <c r="B591">
        <v>45503</v>
      </c>
      <c r="C591" t="s">
        <v>30</v>
      </c>
      <c r="D591" t="s">
        <v>31</v>
      </c>
      <c r="E591">
        <v>10</v>
      </c>
      <c r="F591">
        <v>40</v>
      </c>
      <c r="G591">
        <v>15.91</v>
      </c>
      <c r="H591" t="s">
        <v>216</v>
      </c>
      <c r="I591" t="s">
        <v>217</v>
      </c>
      <c r="J591" t="s">
        <v>27</v>
      </c>
      <c r="K591" t="s">
        <v>59</v>
      </c>
      <c r="L591">
        <f t="shared" si="27"/>
        <v>400</v>
      </c>
      <c r="M591">
        <f t="shared" si="28"/>
        <v>159.1</v>
      </c>
      <c r="N591">
        <f t="shared" si="29"/>
        <v>240.9</v>
      </c>
      <c r="O591" cm="1">
        <f t="array" ref="O591">_xlfn.LET(_xlpm.cat, Greenleaf[[#This Row],[Product Category]], _xlpm.prices, _xlfn._xlws.FILTER(Greenleaf[Unit Price], (Greenleaf[Product Category]=_xlpm.cat)*(Greenleaf[Unit Price]&lt;&gt;"")), IFERROR(MEDIAN(_xlpm.prices), ""))</f>
        <v>40</v>
      </c>
      <c r="P591">
        <f>IF(Greenleaf[[#This Row],[Shipment Status]]="Returned",1,0)</f>
        <v>0</v>
      </c>
      <c r="Q591">
        <f>IF(Greenleaf[[#This Row],[Shipment Status]]="Delivered",1,0)</f>
        <v>1</v>
      </c>
    </row>
    <row r="592" spans="1:17" x14ac:dyDescent="0.45">
      <c r="A592" t="s">
        <v>936</v>
      </c>
      <c r="B592">
        <v>45504</v>
      </c>
      <c r="C592" t="s">
        <v>49</v>
      </c>
      <c r="D592" t="s">
        <v>50</v>
      </c>
      <c r="E592">
        <v>9</v>
      </c>
      <c r="F592">
        <v>15</v>
      </c>
      <c r="G592">
        <v>5.14</v>
      </c>
      <c r="H592" t="s">
        <v>573</v>
      </c>
      <c r="I592" t="s">
        <v>574</v>
      </c>
      <c r="J592" t="s">
        <v>27</v>
      </c>
      <c r="K592" t="s">
        <v>38</v>
      </c>
      <c r="L592">
        <f t="shared" si="27"/>
        <v>135</v>
      </c>
      <c r="M592">
        <f t="shared" si="28"/>
        <v>46.26</v>
      </c>
      <c r="N592">
        <f t="shared" si="29"/>
        <v>88.740000000000009</v>
      </c>
      <c r="O592" cm="1">
        <f t="array" ref="O592">_xlfn.LET(_xlpm.cat, Greenleaf[[#This Row],[Product Category]], _xlpm.prices, _xlfn._xlws.FILTER(Greenleaf[Unit Price], (Greenleaf[Product Category]=_xlpm.cat)*(Greenleaf[Unit Price]&lt;&gt;"")), IFERROR(MEDIAN(_xlpm.prices), ""))</f>
        <v>15</v>
      </c>
      <c r="P592">
        <f>IF(Greenleaf[[#This Row],[Shipment Status]]="Returned",1,0)</f>
        <v>0</v>
      </c>
      <c r="Q592">
        <f>IF(Greenleaf[[#This Row],[Shipment Status]]="Delivered",1,0)</f>
        <v>1</v>
      </c>
    </row>
    <row r="593" spans="1:17" x14ac:dyDescent="0.45">
      <c r="A593" t="s">
        <v>937</v>
      </c>
      <c r="B593">
        <v>45505</v>
      </c>
      <c r="C593" t="s">
        <v>23</v>
      </c>
      <c r="D593" t="s">
        <v>24</v>
      </c>
      <c r="E593">
        <v>2</v>
      </c>
      <c r="F593">
        <v>25</v>
      </c>
      <c r="G593">
        <v>8.4</v>
      </c>
      <c r="H593" t="s">
        <v>114</v>
      </c>
      <c r="I593" t="s">
        <v>115</v>
      </c>
      <c r="J593" t="s">
        <v>27</v>
      </c>
      <c r="K593" t="s">
        <v>43</v>
      </c>
      <c r="L593">
        <f t="shared" si="27"/>
        <v>50</v>
      </c>
      <c r="M593">
        <f t="shared" si="28"/>
        <v>16.8</v>
      </c>
      <c r="N593">
        <f t="shared" si="29"/>
        <v>33.200000000000003</v>
      </c>
      <c r="O593" cm="1">
        <f t="array" ref="O593">_xlfn.LET(_xlpm.cat, Greenleaf[[#This Row],[Product Category]], _xlpm.prices, _xlfn._xlws.FILTER(Greenleaf[Unit Price], (Greenleaf[Product Category]=_xlpm.cat)*(Greenleaf[Unit Price]&lt;&gt;"")), IFERROR(MEDIAN(_xlpm.prices), ""))</f>
        <v>25</v>
      </c>
      <c r="P593">
        <f>IF(Greenleaf[[#This Row],[Shipment Status]]="Returned",1,0)</f>
        <v>0</v>
      </c>
      <c r="Q593">
        <f>IF(Greenleaf[[#This Row],[Shipment Status]]="Delivered",1,0)</f>
        <v>1</v>
      </c>
    </row>
    <row r="594" spans="1:17" x14ac:dyDescent="0.45">
      <c r="A594" t="s">
        <v>938</v>
      </c>
      <c r="B594">
        <v>45505</v>
      </c>
      <c r="C594" t="s">
        <v>49</v>
      </c>
      <c r="D594" t="s">
        <v>50</v>
      </c>
      <c r="E594">
        <v>2</v>
      </c>
      <c r="F594">
        <v>15</v>
      </c>
      <c r="G594">
        <v>4.3099999999999996</v>
      </c>
      <c r="H594" t="s">
        <v>213</v>
      </c>
      <c r="I594" t="s">
        <v>214</v>
      </c>
      <c r="J594" t="s">
        <v>42</v>
      </c>
      <c r="K594" t="s">
        <v>34</v>
      </c>
      <c r="L594">
        <f t="shared" si="27"/>
        <v>30</v>
      </c>
      <c r="M594">
        <f t="shared" si="28"/>
        <v>8.6199999999999992</v>
      </c>
      <c r="N594">
        <f t="shared" si="29"/>
        <v>21.380000000000003</v>
      </c>
      <c r="O594" cm="1">
        <f t="array" ref="O594">_xlfn.LET(_xlpm.cat, Greenleaf[[#This Row],[Product Category]], _xlpm.prices, _xlfn._xlws.FILTER(Greenleaf[Unit Price], (Greenleaf[Product Category]=_xlpm.cat)*(Greenleaf[Unit Price]&lt;&gt;"")), IFERROR(MEDIAN(_xlpm.prices), ""))</f>
        <v>15</v>
      </c>
      <c r="P594">
        <f>IF(Greenleaf[[#This Row],[Shipment Status]]="Returned",1,0)</f>
        <v>1</v>
      </c>
      <c r="Q594">
        <f>IF(Greenleaf[[#This Row],[Shipment Status]]="Delivered",1,0)</f>
        <v>0</v>
      </c>
    </row>
    <row r="595" spans="1:17" x14ac:dyDescent="0.45">
      <c r="A595" t="s">
        <v>939</v>
      </c>
      <c r="B595">
        <v>45505</v>
      </c>
      <c r="C595" t="s">
        <v>30</v>
      </c>
      <c r="D595" t="s">
        <v>31</v>
      </c>
      <c r="E595">
        <v>9</v>
      </c>
      <c r="F595">
        <v>40</v>
      </c>
      <c r="G595">
        <v>11.09</v>
      </c>
      <c r="H595" t="s">
        <v>72</v>
      </c>
      <c r="I595" t="s">
        <v>73</v>
      </c>
      <c r="J595" t="s">
        <v>27</v>
      </c>
      <c r="K595" t="s">
        <v>34</v>
      </c>
      <c r="L595">
        <f t="shared" si="27"/>
        <v>360</v>
      </c>
      <c r="M595">
        <f t="shared" si="28"/>
        <v>99.81</v>
      </c>
      <c r="N595">
        <f t="shared" si="29"/>
        <v>260.19</v>
      </c>
      <c r="O595" cm="1">
        <f t="array" ref="O595">_xlfn.LET(_xlpm.cat, Greenleaf[[#This Row],[Product Category]], _xlpm.prices, _xlfn._xlws.FILTER(Greenleaf[Unit Price], (Greenleaf[Product Category]=_xlpm.cat)*(Greenleaf[Unit Price]&lt;&gt;"")), IFERROR(MEDIAN(_xlpm.prices), ""))</f>
        <v>40</v>
      </c>
      <c r="P595">
        <f>IF(Greenleaf[[#This Row],[Shipment Status]]="Returned",1,0)</f>
        <v>0</v>
      </c>
      <c r="Q595">
        <f>IF(Greenleaf[[#This Row],[Shipment Status]]="Delivered",1,0)</f>
        <v>1</v>
      </c>
    </row>
    <row r="596" spans="1:17" x14ac:dyDescent="0.45">
      <c r="A596" t="s">
        <v>940</v>
      </c>
      <c r="B596">
        <v>45507</v>
      </c>
      <c r="C596" t="s">
        <v>66</v>
      </c>
      <c r="D596" t="s">
        <v>67</v>
      </c>
      <c r="E596">
        <v>2</v>
      </c>
      <c r="F596">
        <v>12</v>
      </c>
      <c r="G596">
        <v>3.35</v>
      </c>
      <c r="H596" t="s">
        <v>434</v>
      </c>
      <c r="I596" t="s">
        <v>257</v>
      </c>
      <c r="J596" t="s">
        <v>47</v>
      </c>
      <c r="K596" t="s">
        <v>74</v>
      </c>
      <c r="L596">
        <f t="shared" si="27"/>
        <v>24</v>
      </c>
      <c r="M596">
        <f t="shared" si="28"/>
        <v>6.7</v>
      </c>
      <c r="N596">
        <f t="shared" si="29"/>
        <v>17.3</v>
      </c>
      <c r="O596" cm="1">
        <f t="array" ref="O596">_xlfn.LET(_xlpm.cat, Greenleaf[[#This Row],[Product Category]], _xlpm.prices, _xlfn._xlws.FILTER(Greenleaf[Unit Price], (Greenleaf[Product Category]=_xlpm.cat)*(Greenleaf[Unit Price]&lt;&gt;"")), IFERROR(MEDIAN(_xlpm.prices), ""))</f>
        <v>12</v>
      </c>
      <c r="P596">
        <f>IF(Greenleaf[[#This Row],[Shipment Status]]="Returned",1,0)</f>
        <v>0</v>
      </c>
      <c r="Q596">
        <f>IF(Greenleaf[[#This Row],[Shipment Status]]="Delivered",1,0)</f>
        <v>0</v>
      </c>
    </row>
    <row r="597" spans="1:17" x14ac:dyDescent="0.45">
      <c r="A597" t="s">
        <v>941</v>
      </c>
      <c r="B597">
        <v>45508</v>
      </c>
      <c r="C597" t="s">
        <v>66</v>
      </c>
      <c r="D597" t="s">
        <v>67</v>
      </c>
      <c r="E597">
        <v>9</v>
      </c>
      <c r="F597">
        <v>12</v>
      </c>
      <c r="G597">
        <v>4.04</v>
      </c>
      <c r="H597" t="s">
        <v>99</v>
      </c>
      <c r="I597" t="s">
        <v>100</v>
      </c>
      <c r="J597" t="s">
        <v>20</v>
      </c>
      <c r="K597" t="s">
        <v>134</v>
      </c>
      <c r="L597">
        <f t="shared" si="27"/>
        <v>108</v>
      </c>
      <c r="M597">
        <f t="shared" si="28"/>
        <v>36.36</v>
      </c>
      <c r="N597">
        <f t="shared" si="29"/>
        <v>71.64</v>
      </c>
      <c r="O597" cm="1">
        <f t="array" ref="O597">_xlfn.LET(_xlpm.cat, Greenleaf[[#This Row],[Product Category]], _xlpm.prices, _xlfn._xlws.FILTER(Greenleaf[Unit Price], (Greenleaf[Product Category]=_xlpm.cat)*(Greenleaf[Unit Price]&lt;&gt;"")), IFERROR(MEDIAN(_xlpm.prices), ""))</f>
        <v>12</v>
      </c>
      <c r="P597">
        <f>IF(Greenleaf[[#This Row],[Shipment Status]]="Returned",1,0)</f>
        <v>0</v>
      </c>
      <c r="Q597">
        <f>IF(Greenleaf[[#This Row],[Shipment Status]]="Delivered",1,0)</f>
        <v>0</v>
      </c>
    </row>
    <row r="598" spans="1:17" x14ac:dyDescent="0.45">
      <c r="A598" t="s">
        <v>942</v>
      </c>
      <c r="B598">
        <v>45508</v>
      </c>
      <c r="C598" t="s">
        <v>23</v>
      </c>
      <c r="D598" t="s">
        <v>24</v>
      </c>
      <c r="E598">
        <v>2</v>
      </c>
      <c r="F598">
        <v>25</v>
      </c>
      <c r="G598">
        <v>7.09</v>
      </c>
      <c r="H598" t="s">
        <v>773</v>
      </c>
      <c r="I598" t="s">
        <v>249</v>
      </c>
      <c r="J598" t="s">
        <v>27</v>
      </c>
      <c r="K598" t="s">
        <v>43</v>
      </c>
      <c r="L598">
        <f t="shared" si="27"/>
        <v>50</v>
      </c>
      <c r="M598">
        <f t="shared" si="28"/>
        <v>14.18</v>
      </c>
      <c r="N598">
        <f t="shared" si="29"/>
        <v>35.82</v>
      </c>
      <c r="O598" cm="1">
        <f t="array" ref="O598">_xlfn.LET(_xlpm.cat, Greenleaf[[#This Row],[Product Category]], _xlpm.prices, _xlfn._xlws.FILTER(Greenleaf[Unit Price], (Greenleaf[Product Category]=_xlpm.cat)*(Greenleaf[Unit Price]&lt;&gt;"")), IFERROR(MEDIAN(_xlpm.prices), ""))</f>
        <v>25</v>
      </c>
      <c r="P598">
        <f>IF(Greenleaf[[#This Row],[Shipment Status]]="Returned",1,0)</f>
        <v>0</v>
      </c>
      <c r="Q598">
        <f>IF(Greenleaf[[#This Row],[Shipment Status]]="Delivered",1,0)</f>
        <v>1</v>
      </c>
    </row>
    <row r="599" spans="1:17" x14ac:dyDescent="0.45">
      <c r="A599" t="s">
        <v>943</v>
      </c>
      <c r="B599">
        <v>45508</v>
      </c>
      <c r="C599" t="s">
        <v>23</v>
      </c>
      <c r="D599" t="s">
        <v>24</v>
      </c>
      <c r="E599">
        <v>7</v>
      </c>
      <c r="F599">
        <v>25</v>
      </c>
      <c r="G599">
        <v>5.54</v>
      </c>
      <c r="H599" t="s">
        <v>748</v>
      </c>
      <c r="I599" t="s">
        <v>749</v>
      </c>
      <c r="J599" t="s">
        <v>27</v>
      </c>
      <c r="K599" t="s">
        <v>70</v>
      </c>
      <c r="L599">
        <f t="shared" si="27"/>
        <v>175</v>
      </c>
      <c r="M599">
        <f t="shared" si="28"/>
        <v>38.78</v>
      </c>
      <c r="N599">
        <f t="shared" si="29"/>
        <v>136.22</v>
      </c>
      <c r="O599" cm="1">
        <f t="array" ref="O599">_xlfn.LET(_xlpm.cat, Greenleaf[[#This Row],[Product Category]], _xlpm.prices, _xlfn._xlws.FILTER(Greenleaf[Unit Price], (Greenleaf[Product Category]=_xlpm.cat)*(Greenleaf[Unit Price]&lt;&gt;"")), IFERROR(MEDIAN(_xlpm.prices), ""))</f>
        <v>25</v>
      </c>
      <c r="P599">
        <f>IF(Greenleaf[[#This Row],[Shipment Status]]="Returned",1,0)</f>
        <v>0</v>
      </c>
      <c r="Q599">
        <f>IF(Greenleaf[[#This Row],[Shipment Status]]="Delivered",1,0)</f>
        <v>1</v>
      </c>
    </row>
    <row r="600" spans="1:17" x14ac:dyDescent="0.45">
      <c r="A600" t="s">
        <v>944</v>
      </c>
      <c r="B600">
        <v>45508</v>
      </c>
      <c r="C600" t="s">
        <v>30</v>
      </c>
      <c r="D600" t="s">
        <v>31</v>
      </c>
      <c r="E600">
        <v>5</v>
      </c>
      <c r="F600">
        <v>40</v>
      </c>
      <c r="G600">
        <v>8.2799999999999994</v>
      </c>
      <c r="H600" t="s">
        <v>378</v>
      </c>
      <c r="I600" t="s">
        <v>379</v>
      </c>
      <c r="J600" t="s">
        <v>20</v>
      </c>
      <c r="K600" t="s">
        <v>70</v>
      </c>
      <c r="L600">
        <f t="shared" si="27"/>
        <v>200</v>
      </c>
      <c r="M600">
        <f t="shared" si="28"/>
        <v>41.4</v>
      </c>
      <c r="N600">
        <f t="shared" si="29"/>
        <v>158.6</v>
      </c>
      <c r="O600" cm="1">
        <f t="array" ref="O600">_xlfn.LET(_xlpm.cat, Greenleaf[[#This Row],[Product Category]], _xlpm.prices, _xlfn._xlws.FILTER(Greenleaf[Unit Price], (Greenleaf[Product Category]=_xlpm.cat)*(Greenleaf[Unit Price]&lt;&gt;"")), IFERROR(MEDIAN(_xlpm.prices), ""))</f>
        <v>40</v>
      </c>
      <c r="P600">
        <f>IF(Greenleaf[[#This Row],[Shipment Status]]="Returned",1,0)</f>
        <v>0</v>
      </c>
      <c r="Q600">
        <f>IF(Greenleaf[[#This Row],[Shipment Status]]="Delivered",1,0)</f>
        <v>0</v>
      </c>
    </row>
    <row r="601" spans="1:17" x14ac:dyDescent="0.45">
      <c r="A601" t="s">
        <v>945</v>
      </c>
      <c r="B601">
        <v>45509</v>
      </c>
      <c r="C601" t="s">
        <v>23</v>
      </c>
      <c r="D601" t="s">
        <v>24</v>
      </c>
      <c r="E601">
        <v>8</v>
      </c>
      <c r="F601">
        <v>25</v>
      </c>
      <c r="G601">
        <v>9.98</v>
      </c>
      <c r="H601" t="s">
        <v>127</v>
      </c>
      <c r="I601" t="s">
        <v>128</v>
      </c>
      <c r="J601" t="s">
        <v>20</v>
      </c>
      <c r="K601" t="s">
        <v>134</v>
      </c>
      <c r="L601">
        <f t="shared" si="27"/>
        <v>200</v>
      </c>
      <c r="M601">
        <f t="shared" si="28"/>
        <v>79.84</v>
      </c>
      <c r="N601">
        <f t="shared" si="29"/>
        <v>120.16</v>
      </c>
      <c r="O601" cm="1">
        <f t="array" ref="O601">_xlfn.LET(_xlpm.cat, Greenleaf[[#This Row],[Product Category]], _xlpm.prices, _xlfn._xlws.FILTER(Greenleaf[Unit Price], (Greenleaf[Product Category]=_xlpm.cat)*(Greenleaf[Unit Price]&lt;&gt;"")), IFERROR(MEDIAN(_xlpm.prices), ""))</f>
        <v>25</v>
      </c>
      <c r="P601">
        <f>IF(Greenleaf[[#This Row],[Shipment Status]]="Returned",1,0)</f>
        <v>0</v>
      </c>
      <c r="Q601">
        <f>IF(Greenleaf[[#This Row],[Shipment Status]]="Delivered",1,0)</f>
        <v>0</v>
      </c>
    </row>
    <row r="602" spans="1:17" x14ac:dyDescent="0.45">
      <c r="A602" t="s">
        <v>946</v>
      </c>
      <c r="B602">
        <v>45509</v>
      </c>
      <c r="C602" t="s">
        <v>49</v>
      </c>
      <c r="D602" t="s">
        <v>50</v>
      </c>
      <c r="E602">
        <v>3</v>
      </c>
      <c r="F602">
        <v>15</v>
      </c>
      <c r="G602">
        <v>3.84</v>
      </c>
      <c r="H602" t="s">
        <v>457</v>
      </c>
      <c r="I602" t="s">
        <v>458</v>
      </c>
      <c r="J602" t="s">
        <v>20</v>
      </c>
      <c r="K602" t="s">
        <v>59</v>
      </c>
      <c r="L602">
        <f t="shared" si="27"/>
        <v>45</v>
      </c>
      <c r="M602">
        <f t="shared" si="28"/>
        <v>11.52</v>
      </c>
      <c r="N602">
        <f t="shared" si="29"/>
        <v>33.480000000000004</v>
      </c>
      <c r="O602" cm="1">
        <f t="array" ref="O602">_xlfn.LET(_xlpm.cat, Greenleaf[[#This Row],[Product Category]], _xlpm.prices, _xlfn._xlws.FILTER(Greenleaf[Unit Price], (Greenleaf[Product Category]=_xlpm.cat)*(Greenleaf[Unit Price]&lt;&gt;"")), IFERROR(MEDIAN(_xlpm.prices), ""))</f>
        <v>15</v>
      </c>
      <c r="P602">
        <f>IF(Greenleaf[[#This Row],[Shipment Status]]="Returned",1,0)</f>
        <v>0</v>
      </c>
      <c r="Q602">
        <f>IF(Greenleaf[[#This Row],[Shipment Status]]="Delivered",1,0)</f>
        <v>0</v>
      </c>
    </row>
    <row r="603" spans="1:17" x14ac:dyDescent="0.45">
      <c r="A603" t="s">
        <v>947</v>
      </c>
      <c r="B603">
        <v>45509</v>
      </c>
      <c r="C603" t="s">
        <v>49</v>
      </c>
      <c r="D603" t="s">
        <v>50</v>
      </c>
      <c r="E603">
        <v>1</v>
      </c>
      <c r="F603">
        <v>15</v>
      </c>
      <c r="G603">
        <v>4.22</v>
      </c>
      <c r="H603" t="s">
        <v>324</v>
      </c>
      <c r="I603" t="s">
        <v>62</v>
      </c>
      <c r="J603" t="s">
        <v>27</v>
      </c>
      <c r="K603" t="s">
        <v>59</v>
      </c>
      <c r="L603">
        <f t="shared" si="27"/>
        <v>15</v>
      </c>
      <c r="M603">
        <f t="shared" si="28"/>
        <v>4.22</v>
      </c>
      <c r="N603">
        <f t="shared" si="29"/>
        <v>10.780000000000001</v>
      </c>
      <c r="O603" cm="1">
        <f t="array" ref="O603">_xlfn.LET(_xlpm.cat, Greenleaf[[#This Row],[Product Category]], _xlpm.prices, _xlfn._xlws.FILTER(Greenleaf[Unit Price], (Greenleaf[Product Category]=_xlpm.cat)*(Greenleaf[Unit Price]&lt;&gt;"")), IFERROR(MEDIAN(_xlpm.prices), ""))</f>
        <v>15</v>
      </c>
      <c r="P603">
        <f>IF(Greenleaf[[#This Row],[Shipment Status]]="Returned",1,0)</f>
        <v>0</v>
      </c>
      <c r="Q603">
        <f>IF(Greenleaf[[#This Row],[Shipment Status]]="Delivered",1,0)</f>
        <v>1</v>
      </c>
    </row>
    <row r="604" spans="1:17" x14ac:dyDescent="0.45">
      <c r="A604" t="s">
        <v>948</v>
      </c>
      <c r="B604">
        <v>45509</v>
      </c>
      <c r="C604" t="s">
        <v>66</v>
      </c>
      <c r="D604" t="s">
        <v>67</v>
      </c>
      <c r="E604">
        <v>6</v>
      </c>
      <c r="F604">
        <v>12</v>
      </c>
      <c r="G604">
        <v>3.28</v>
      </c>
      <c r="H604" t="s">
        <v>303</v>
      </c>
      <c r="I604" t="s">
        <v>214</v>
      </c>
      <c r="J604" t="s">
        <v>27</v>
      </c>
      <c r="K604" t="s">
        <v>70</v>
      </c>
      <c r="L604">
        <f t="shared" si="27"/>
        <v>72</v>
      </c>
      <c r="M604">
        <f t="shared" si="28"/>
        <v>19.68</v>
      </c>
      <c r="N604">
        <f t="shared" si="29"/>
        <v>52.32</v>
      </c>
      <c r="O604" cm="1">
        <f t="array" ref="O604">_xlfn.LET(_xlpm.cat, Greenleaf[[#This Row],[Product Category]], _xlpm.prices, _xlfn._xlws.FILTER(Greenleaf[Unit Price], (Greenleaf[Product Category]=_xlpm.cat)*(Greenleaf[Unit Price]&lt;&gt;"")), IFERROR(MEDIAN(_xlpm.prices), ""))</f>
        <v>12</v>
      </c>
      <c r="P604">
        <f>IF(Greenleaf[[#This Row],[Shipment Status]]="Returned",1,0)</f>
        <v>0</v>
      </c>
      <c r="Q604">
        <f>IF(Greenleaf[[#This Row],[Shipment Status]]="Delivered",1,0)</f>
        <v>1</v>
      </c>
    </row>
    <row r="605" spans="1:17" x14ac:dyDescent="0.45">
      <c r="A605" t="s">
        <v>949</v>
      </c>
      <c r="B605">
        <v>45510</v>
      </c>
      <c r="C605" t="s">
        <v>49</v>
      </c>
      <c r="D605" t="s">
        <v>50</v>
      </c>
      <c r="E605">
        <v>1</v>
      </c>
      <c r="F605">
        <v>15</v>
      </c>
      <c r="G605">
        <v>3.96</v>
      </c>
      <c r="H605" t="s">
        <v>950</v>
      </c>
      <c r="I605" t="s">
        <v>951</v>
      </c>
      <c r="J605" t="s">
        <v>27</v>
      </c>
      <c r="K605" t="s">
        <v>28</v>
      </c>
      <c r="L605">
        <f t="shared" si="27"/>
        <v>15</v>
      </c>
      <c r="M605">
        <f t="shared" si="28"/>
        <v>3.96</v>
      </c>
      <c r="N605">
        <f t="shared" si="29"/>
        <v>11.04</v>
      </c>
      <c r="O605" cm="1">
        <f t="array" ref="O605">_xlfn.LET(_xlpm.cat, Greenleaf[[#This Row],[Product Category]], _xlpm.prices, _xlfn._xlws.FILTER(Greenleaf[Unit Price], (Greenleaf[Product Category]=_xlpm.cat)*(Greenleaf[Unit Price]&lt;&gt;"")), IFERROR(MEDIAN(_xlpm.prices), ""))</f>
        <v>15</v>
      </c>
      <c r="P605">
        <f>IF(Greenleaf[[#This Row],[Shipment Status]]="Returned",1,0)</f>
        <v>0</v>
      </c>
      <c r="Q605">
        <f>IF(Greenleaf[[#This Row],[Shipment Status]]="Delivered",1,0)</f>
        <v>1</v>
      </c>
    </row>
    <row r="606" spans="1:17" x14ac:dyDescent="0.45">
      <c r="A606" t="s">
        <v>952</v>
      </c>
      <c r="B606">
        <v>45510</v>
      </c>
      <c r="C606" t="s">
        <v>30</v>
      </c>
      <c r="D606" t="s">
        <v>31</v>
      </c>
      <c r="E606">
        <v>10</v>
      </c>
      <c r="F606">
        <v>40</v>
      </c>
      <c r="G606">
        <v>12.88</v>
      </c>
      <c r="H606" t="s">
        <v>684</v>
      </c>
      <c r="I606" t="s">
        <v>357</v>
      </c>
      <c r="J606" t="s">
        <v>27</v>
      </c>
      <c r="K606" t="s">
        <v>43</v>
      </c>
      <c r="L606">
        <f t="shared" si="27"/>
        <v>400</v>
      </c>
      <c r="M606">
        <f t="shared" si="28"/>
        <v>128.80000000000001</v>
      </c>
      <c r="N606">
        <f t="shared" si="29"/>
        <v>271.2</v>
      </c>
      <c r="O606" cm="1">
        <f t="array" ref="O606">_xlfn.LET(_xlpm.cat, Greenleaf[[#This Row],[Product Category]], _xlpm.prices, _xlfn._xlws.FILTER(Greenleaf[Unit Price], (Greenleaf[Product Category]=_xlpm.cat)*(Greenleaf[Unit Price]&lt;&gt;"")), IFERROR(MEDIAN(_xlpm.prices), ""))</f>
        <v>40</v>
      </c>
      <c r="P606">
        <f>IF(Greenleaf[[#This Row],[Shipment Status]]="Returned",1,0)</f>
        <v>0</v>
      </c>
      <c r="Q606">
        <f>IF(Greenleaf[[#This Row],[Shipment Status]]="Delivered",1,0)</f>
        <v>1</v>
      </c>
    </row>
    <row r="607" spans="1:17" x14ac:dyDescent="0.45">
      <c r="A607" t="s">
        <v>953</v>
      </c>
      <c r="B607">
        <v>45510</v>
      </c>
      <c r="C607" t="s">
        <v>66</v>
      </c>
      <c r="D607" t="s">
        <v>67</v>
      </c>
      <c r="E607">
        <v>9</v>
      </c>
      <c r="F607">
        <v>12</v>
      </c>
      <c r="G607">
        <v>4.04</v>
      </c>
      <c r="H607" t="s">
        <v>76</v>
      </c>
      <c r="I607" t="s">
        <v>77</v>
      </c>
      <c r="J607" t="s">
        <v>27</v>
      </c>
      <c r="K607" t="s">
        <v>59</v>
      </c>
      <c r="L607">
        <f t="shared" si="27"/>
        <v>108</v>
      </c>
      <c r="M607">
        <f t="shared" si="28"/>
        <v>36.36</v>
      </c>
      <c r="N607">
        <f t="shared" si="29"/>
        <v>71.64</v>
      </c>
      <c r="O607" cm="1">
        <f t="array" ref="O607">_xlfn.LET(_xlpm.cat, Greenleaf[[#This Row],[Product Category]], _xlpm.prices, _xlfn._xlws.FILTER(Greenleaf[Unit Price], (Greenleaf[Product Category]=_xlpm.cat)*(Greenleaf[Unit Price]&lt;&gt;"")), IFERROR(MEDIAN(_xlpm.prices), ""))</f>
        <v>12</v>
      </c>
      <c r="P607">
        <f>IF(Greenleaf[[#This Row],[Shipment Status]]="Returned",1,0)</f>
        <v>0</v>
      </c>
      <c r="Q607">
        <f>IF(Greenleaf[[#This Row],[Shipment Status]]="Delivered",1,0)</f>
        <v>1</v>
      </c>
    </row>
    <row r="608" spans="1:17" x14ac:dyDescent="0.45">
      <c r="A608" t="s">
        <v>954</v>
      </c>
      <c r="B608">
        <v>45510</v>
      </c>
      <c r="C608" t="s">
        <v>66</v>
      </c>
      <c r="D608" t="s">
        <v>67</v>
      </c>
      <c r="E608">
        <v>3</v>
      </c>
      <c r="F608">
        <v>12</v>
      </c>
      <c r="G608">
        <v>2.83</v>
      </c>
      <c r="H608" t="s">
        <v>156</v>
      </c>
      <c r="I608" t="s">
        <v>55</v>
      </c>
      <c r="J608" t="s">
        <v>42</v>
      </c>
      <c r="K608" t="s">
        <v>28</v>
      </c>
      <c r="L608">
        <f t="shared" si="27"/>
        <v>36</v>
      </c>
      <c r="M608">
        <f t="shared" si="28"/>
        <v>8.49</v>
      </c>
      <c r="N608">
        <f t="shared" si="29"/>
        <v>27.509999999999998</v>
      </c>
      <c r="O608" cm="1">
        <f t="array" ref="O608">_xlfn.LET(_xlpm.cat, Greenleaf[[#This Row],[Product Category]], _xlpm.prices, _xlfn._xlws.FILTER(Greenleaf[Unit Price], (Greenleaf[Product Category]=_xlpm.cat)*(Greenleaf[Unit Price]&lt;&gt;"")), IFERROR(MEDIAN(_xlpm.prices), ""))</f>
        <v>12</v>
      </c>
      <c r="P608">
        <f>IF(Greenleaf[[#This Row],[Shipment Status]]="Returned",1,0)</f>
        <v>1</v>
      </c>
      <c r="Q608">
        <f>IF(Greenleaf[[#This Row],[Shipment Status]]="Delivered",1,0)</f>
        <v>0</v>
      </c>
    </row>
    <row r="609" spans="1:17" x14ac:dyDescent="0.45">
      <c r="A609" t="s">
        <v>955</v>
      </c>
      <c r="B609">
        <v>45510</v>
      </c>
      <c r="C609" t="s">
        <v>23</v>
      </c>
      <c r="D609" t="s">
        <v>24</v>
      </c>
      <c r="E609">
        <v>9</v>
      </c>
      <c r="F609">
        <v>25</v>
      </c>
      <c r="G609">
        <v>9.89</v>
      </c>
      <c r="H609" t="s">
        <v>206</v>
      </c>
      <c r="I609" t="s">
        <v>207</v>
      </c>
      <c r="J609" t="s">
        <v>27</v>
      </c>
      <c r="K609" t="s">
        <v>74</v>
      </c>
      <c r="L609">
        <f t="shared" si="27"/>
        <v>225</v>
      </c>
      <c r="M609">
        <f t="shared" si="28"/>
        <v>89.01</v>
      </c>
      <c r="N609">
        <f t="shared" si="29"/>
        <v>135.99</v>
      </c>
      <c r="O609" cm="1">
        <f t="array" ref="O609">_xlfn.LET(_xlpm.cat, Greenleaf[[#This Row],[Product Category]], _xlpm.prices, _xlfn._xlws.FILTER(Greenleaf[Unit Price], (Greenleaf[Product Category]=_xlpm.cat)*(Greenleaf[Unit Price]&lt;&gt;"")), IFERROR(MEDIAN(_xlpm.prices), ""))</f>
        <v>25</v>
      </c>
      <c r="P609">
        <f>IF(Greenleaf[[#This Row],[Shipment Status]]="Returned",1,0)</f>
        <v>0</v>
      </c>
      <c r="Q609">
        <f>IF(Greenleaf[[#This Row],[Shipment Status]]="Delivered",1,0)</f>
        <v>1</v>
      </c>
    </row>
    <row r="610" spans="1:17" x14ac:dyDescent="0.45">
      <c r="A610" t="s">
        <v>956</v>
      </c>
      <c r="B610">
        <v>45510</v>
      </c>
      <c r="C610" t="s">
        <v>16</v>
      </c>
      <c r="D610" t="s">
        <v>17</v>
      </c>
      <c r="E610">
        <v>6</v>
      </c>
      <c r="F610">
        <v>10</v>
      </c>
      <c r="G610">
        <v>3.93</v>
      </c>
      <c r="H610" t="s">
        <v>571</v>
      </c>
      <c r="I610" t="s">
        <v>167</v>
      </c>
      <c r="J610" t="s">
        <v>20</v>
      </c>
      <c r="K610" t="s">
        <v>43</v>
      </c>
      <c r="L610">
        <f t="shared" si="27"/>
        <v>60</v>
      </c>
      <c r="M610">
        <f t="shared" si="28"/>
        <v>23.580000000000002</v>
      </c>
      <c r="N610">
        <f t="shared" si="29"/>
        <v>36.42</v>
      </c>
      <c r="O610" cm="1">
        <f t="array" ref="O610">_xlfn.LET(_xlpm.cat, Greenleaf[[#This Row],[Product Category]], _xlpm.prices, _xlfn._xlws.FILTER(Greenleaf[Unit Price], (Greenleaf[Product Category]=_xlpm.cat)*(Greenleaf[Unit Price]&lt;&gt;"")), IFERROR(MEDIAN(_xlpm.prices), ""))</f>
        <v>10</v>
      </c>
      <c r="P610">
        <f>IF(Greenleaf[[#This Row],[Shipment Status]]="Returned",1,0)</f>
        <v>0</v>
      </c>
      <c r="Q610">
        <f>IF(Greenleaf[[#This Row],[Shipment Status]]="Delivered",1,0)</f>
        <v>0</v>
      </c>
    </row>
    <row r="611" spans="1:17" x14ac:dyDescent="0.45">
      <c r="A611" t="s">
        <v>957</v>
      </c>
      <c r="B611">
        <v>45511</v>
      </c>
      <c r="C611" t="s">
        <v>16</v>
      </c>
      <c r="D611" t="s">
        <v>17</v>
      </c>
      <c r="E611">
        <v>5</v>
      </c>
      <c r="F611">
        <v>10</v>
      </c>
      <c r="G611">
        <v>3.41</v>
      </c>
      <c r="H611" t="s">
        <v>571</v>
      </c>
      <c r="I611" t="s">
        <v>167</v>
      </c>
      <c r="J611" t="s">
        <v>20</v>
      </c>
      <c r="K611" t="s">
        <v>56</v>
      </c>
      <c r="L611">
        <f t="shared" si="27"/>
        <v>50</v>
      </c>
      <c r="M611">
        <f t="shared" si="28"/>
        <v>17.05</v>
      </c>
      <c r="N611">
        <f t="shared" si="29"/>
        <v>32.950000000000003</v>
      </c>
      <c r="O611" cm="1">
        <f t="array" ref="O611">_xlfn.LET(_xlpm.cat, Greenleaf[[#This Row],[Product Category]], _xlpm.prices, _xlfn._xlws.FILTER(Greenleaf[Unit Price], (Greenleaf[Product Category]=_xlpm.cat)*(Greenleaf[Unit Price]&lt;&gt;"")), IFERROR(MEDIAN(_xlpm.prices), ""))</f>
        <v>10</v>
      </c>
      <c r="P611">
        <f>IF(Greenleaf[[#This Row],[Shipment Status]]="Returned",1,0)</f>
        <v>0</v>
      </c>
      <c r="Q611">
        <f>IF(Greenleaf[[#This Row],[Shipment Status]]="Delivered",1,0)</f>
        <v>0</v>
      </c>
    </row>
    <row r="612" spans="1:17" x14ac:dyDescent="0.45">
      <c r="A612" t="s">
        <v>958</v>
      </c>
      <c r="B612">
        <v>45512</v>
      </c>
      <c r="C612" t="s">
        <v>49</v>
      </c>
      <c r="D612" t="s">
        <v>50</v>
      </c>
      <c r="E612">
        <v>10</v>
      </c>
      <c r="F612">
        <v>15</v>
      </c>
      <c r="G612">
        <v>5.3</v>
      </c>
      <c r="H612" t="s">
        <v>179</v>
      </c>
      <c r="I612" t="s">
        <v>180</v>
      </c>
      <c r="J612" t="s">
        <v>27</v>
      </c>
      <c r="K612" t="s">
        <v>134</v>
      </c>
      <c r="L612">
        <f t="shared" si="27"/>
        <v>150</v>
      </c>
      <c r="M612">
        <f t="shared" si="28"/>
        <v>53</v>
      </c>
      <c r="N612">
        <f t="shared" si="29"/>
        <v>97</v>
      </c>
      <c r="O612" cm="1">
        <f t="array" ref="O612">_xlfn.LET(_xlpm.cat, Greenleaf[[#This Row],[Product Category]], _xlpm.prices, _xlfn._xlws.FILTER(Greenleaf[Unit Price], (Greenleaf[Product Category]=_xlpm.cat)*(Greenleaf[Unit Price]&lt;&gt;"")), IFERROR(MEDIAN(_xlpm.prices), ""))</f>
        <v>15</v>
      </c>
      <c r="P612">
        <f>IF(Greenleaf[[#This Row],[Shipment Status]]="Returned",1,0)</f>
        <v>0</v>
      </c>
      <c r="Q612">
        <f>IF(Greenleaf[[#This Row],[Shipment Status]]="Delivered",1,0)</f>
        <v>1</v>
      </c>
    </row>
    <row r="613" spans="1:17" x14ac:dyDescent="0.45">
      <c r="A613" t="s">
        <v>959</v>
      </c>
      <c r="B613">
        <v>45512</v>
      </c>
      <c r="C613" t="s">
        <v>66</v>
      </c>
      <c r="D613" t="s">
        <v>67</v>
      </c>
      <c r="E613">
        <v>10</v>
      </c>
      <c r="F613">
        <v>12</v>
      </c>
      <c r="G613">
        <v>3.43</v>
      </c>
      <c r="H613" t="s">
        <v>188</v>
      </c>
      <c r="I613" t="s">
        <v>189</v>
      </c>
      <c r="J613" t="s">
        <v>27</v>
      </c>
      <c r="K613" t="s">
        <v>70</v>
      </c>
      <c r="L613">
        <f t="shared" si="27"/>
        <v>120</v>
      </c>
      <c r="M613">
        <f t="shared" si="28"/>
        <v>34.300000000000004</v>
      </c>
      <c r="N613">
        <f t="shared" si="29"/>
        <v>85.699999999999989</v>
      </c>
      <c r="O613" cm="1">
        <f t="array" ref="O613">_xlfn.LET(_xlpm.cat, Greenleaf[[#This Row],[Product Category]], _xlpm.prices, _xlfn._xlws.FILTER(Greenleaf[Unit Price], (Greenleaf[Product Category]=_xlpm.cat)*(Greenleaf[Unit Price]&lt;&gt;"")), IFERROR(MEDIAN(_xlpm.prices), ""))</f>
        <v>12</v>
      </c>
      <c r="P613">
        <f>IF(Greenleaf[[#This Row],[Shipment Status]]="Returned",1,0)</f>
        <v>0</v>
      </c>
      <c r="Q613">
        <f>IF(Greenleaf[[#This Row],[Shipment Status]]="Delivered",1,0)</f>
        <v>1</v>
      </c>
    </row>
    <row r="614" spans="1:17" x14ac:dyDescent="0.45">
      <c r="A614" t="s">
        <v>960</v>
      </c>
      <c r="B614">
        <v>45512</v>
      </c>
      <c r="C614" t="s">
        <v>66</v>
      </c>
      <c r="D614" t="s">
        <v>67</v>
      </c>
      <c r="E614">
        <v>4</v>
      </c>
      <c r="F614">
        <v>12</v>
      </c>
      <c r="G614">
        <v>4.12</v>
      </c>
      <c r="H614" t="s">
        <v>145</v>
      </c>
      <c r="I614" t="s">
        <v>146</v>
      </c>
      <c r="J614" t="s">
        <v>42</v>
      </c>
      <c r="K614" t="s">
        <v>74</v>
      </c>
      <c r="L614">
        <f t="shared" si="27"/>
        <v>48</v>
      </c>
      <c r="M614">
        <f t="shared" si="28"/>
        <v>16.48</v>
      </c>
      <c r="N614">
        <f t="shared" si="29"/>
        <v>31.52</v>
      </c>
      <c r="O614" cm="1">
        <f t="array" ref="O614">_xlfn.LET(_xlpm.cat, Greenleaf[[#This Row],[Product Category]], _xlpm.prices, _xlfn._xlws.FILTER(Greenleaf[Unit Price], (Greenleaf[Product Category]=_xlpm.cat)*(Greenleaf[Unit Price]&lt;&gt;"")), IFERROR(MEDIAN(_xlpm.prices), ""))</f>
        <v>12</v>
      </c>
      <c r="P614">
        <f>IF(Greenleaf[[#This Row],[Shipment Status]]="Returned",1,0)</f>
        <v>1</v>
      </c>
      <c r="Q614">
        <f>IF(Greenleaf[[#This Row],[Shipment Status]]="Delivered",1,0)</f>
        <v>0</v>
      </c>
    </row>
    <row r="615" spans="1:17" x14ac:dyDescent="0.45">
      <c r="A615" t="s">
        <v>961</v>
      </c>
      <c r="B615">
        <v>45512</v>
      </c>
      <c r="C615" t="s">
        <v>49</v>
      </c>
      <c r="D615" t="s">
        <v>50</v>
      </c>
      <c r="E615">
        <v>8</v>
      </c>
      <c r="F615">
        <v>15</v>
      </c>
      <c r="G615">
        <v>4.28</v>
      </c>
      <c r="H615" t="s">
        <v>348</v>
      </c>
      <c r="I615" t="s">
        <v>349</v>
      </c>
      <c r="J615" t="s">
        <v>27</v>
      </c>
      <c r="K615" t="s">
        <v>59</v>
      </c>
      <c r="L615">
        <f t="shared" si="27"/>
        <v>120</v>
      </c>
      <c r="M615">
        <f t="shared" si="28"/>
        <v>34.24</v>
      </c>
      <c r="N615">
        <f t="shared" si="29"/>
        <v>85.759999999999991</v>
      </c>
      <c r="O615" cm="1">
        <f t="array" ref="O615">_xlfn.LET(_xlpm.cat, Greenleaf[[#This Row],[Product Category]], _xlpm.prices, _xlfn._xlws.FILTER(Greenleaf[Unit Price], (Greenleaf[Product Category]=_xlpm.cat)*(Greenleaf[Unit Price]&lt;&gt;"")), IFERROR(MEDIAN(_xlpm.prices), ""))</f>
        <v>15</v>
      </c>
      <c r="P615">
        <f>IF(Greenleaf[[#This Row],[Shipment Status]]="Returned",1,0)</f>
        <v>0</v>
      </c>
      <c r="Q615">
        <f>IF(Greenleaf[[#This Row],[Shipment Status]]="Delivered",1,0)</f>
        <v>1</v>
      </c>
    </row>
    <row r="616" spans="1:17" x14ac:dyDescent="0.45">
      <c r="A616" t="s">
        <v>962</v>
      </c>
      <c r="B616">
        <v>45513</v>
      </c>
      <c r="C616" t="s">
        <v>30</v>
      </c>
      <c r="D616" t="s">
        <v>31</v>
      </c>
      <c r="E616">
        <v>1</v>
      </c>
      <c r="F616">
        <v>40</v>
      </c>
      <c r="G616">
        <v>14.6</v>
      </c>
      <c r="H616" t="s">
        <v>783</v>
      </c>
      <c r="I616" t="s">
        <v>784</v>
      </c>
      <c r="J616" t="s">
        <v>47</v>
      </c>
      <c r="K616" t="s">
        <v>59</v>
      </c>
      <c r="L616">
        <f t="shared" si="27"/>
        <v>40</v>
      </c>
      <c r="M616">
        <f t="shared" si="28"/>
        <v>14.6</v>
      </c>
      <c r="N616">
        <f t="shared" si="29"/>
        <v>25.4</v>
      </c>
      <c r="O616" cm="1">
        <f t="array" ref="O616">_xlfn.LET(_xlpm.cat, Greenleaf[[#This Row],[Product Category]], _xlpm.prices, _xlfn._xlws.FILTER(Greenleaf[Unit Price], (Greenleaf[Product Category]=_xlpm.cat)*(Greenleaf[Unit Price]&lt;&gt;"")), IFERROR(MEDIAN(_xlpm.prices), ""))</f>
        <v>40</v>
      </c>
      <c r="P616">
        <f>IF(Greenleaf[[#This Row],[Shipment Status]]="Returned",1,0)</f>
        <v>0</v>
      </c>
      <c r="Q616">
        <f>IF(Greenleaf[[#This Row],[Shipment Status]]="Delivered",1,0)</f>
        <v>0</v>
      </c>
    </row>
    <row r="617" spans="1:17" x14ac:dyDescent="0.45">
      <c r="A617" t="s">
        <v>963</v>
      </c>
      <c r="B617">
        <v>45513</v>
      </c>
      <c r="C617" t="s">
        <v>66</v>
      </c>
      <c r="D617" t="s">
        <v>67</v>
      </c>
      <c r="E617">
        <v>1</v>
      </c>
      <c r="F617">
        <v>12</v>
      </c>
      <c r="G617">
        <v>3.32</v>
      </c>
      <c r="H617" t="s">
        <v>763</v>
      </c>
      <c r="I617" t="s">
        <v>210</v>
      </c>
      <c r="J617" t="s">
        <v>20</v>
      </c>
      <c r="K617" t="s">
        <v>28</v>
      </c>
      <c r="L617">
        <f t="shared" si="27"/>
        <v>12</v>
      </c>
      <c r="M617">
        <f t="shared" si="28"/>
        <v>3.32</v>
      </c>
      <c r="N617">
        <f t="shared" si="29"/>
        <v>8.68</v>
      </c>
      <c r="O617" cm="1">
        <f t="array" ref="O617">_xlfn.LET(_xlpm.cat, Greenleaf[[#This Row],[Product Category]], _xlpm.prices, _xlfn._xlws.FILTER(Greenleaf[Unit Price], (Greenleaf[Product Category]=_xlpm.cat)*(Greenleaf[Unit Price]&lt;&gt;"")), IFERROR(MEDIAN(_xlpm.prices), ""))</f>
        <v>12</v>
      </c>
      <c r="P617">
        <f>IF(Greenleaf[[#This Row],[Shipment Status]]="Returned",1,0)</f>
        <v>0</v>
      </c>
      <c r="Q617">
        <f>IF(Greenleaf[[#This Row],[Shipment Status]]="Delivered",1,0)</f>
        <v>0</v>
      </c>
    </row>
    <row r="618" spans="1:17" x14ac:dyDescent="0.45">
      <c r="A618" t="s">
        <v>964</v>
      </c>
      <c r="B618">
        <v>45513</v>
      </c>
      <c r="C618" t="s">
        <v>66</v>
      </c>
      <c r="D618" t="s">
        <v>67</v>
      </c>
      <c r="E618">
        <v>8</v>
      </c>
      <c r="F618">
        <v>12</v>
      </c>
      <c r="G618">
        <v>2.92</v>
      </c>
      <c r="H618" t="s">
        <v>224</v>
      </c>
      <c r="I618" t="s">
        <v>225</v>
      </c>
      <c r="J618" t="s">
        <v>20</v>
      </c>
      <c r="K618" t="s">
        <v>21</v>
      </c>
      <c r="L618">
        <f t="shared" si="27"/>
        <v>96</v>
      </c>
      <c r="M618">
        <f t="shared" si="28"/>
        <v>23.36</v>
      </c>
      <c r="N618">
        <f t="shared" si="29"/>
        <v>72.64</v>
      </c>
      <c r="O618" cm="1">
        <f t="array" ref="O618">_xlfn.LET(_xlpm.cat, Greenleaf[[#This Row],[Product Category]], _xlpm.prices, _xlfn._xlws.FILTER(Greenleaf[Unit Price], (Greenleaf[Product Category]=_xlpm.cat)*(Greenleaf[Unit Price]&lt;&gt;"")), IFERROR(MEDIAN(_xlpm.prices), ""))</f>
        <v>12</v>
      </c>
      <c r="P618">
        <f>IF(Greenleaf[[#This Row],[Shipment Status]]="Returned",1,0)</f>
        <v>0</v>
      </c>
      <c r="Q618">
        <f>IF(Greenleaf[[#This Row],[Shipment Status]]="Delivered",1,0)</f>
        <v>0</v>
      </c>
    </row>
    <row r="619" spans="1:17" x14ac:dyDescent="0.45">
      <c r="A619" t="s">
        <v>965</v>
      </c>
      <c r="B619">
        <v>45514</v>
      </c>
      <c r="C619" t="s">
        <v>16</v>
      </c>
      <c r="D619" t="s">
        <v>17</v>
      </c>
      <c r="E619">
        <v>6</v>
      </c>
      <c r="F619">
        <v>10</v>
      </c>
      <c r="G619">
        <v>2.2000000000000002</v>
      </c>
      <c r="H619" t="s">
        <v>232</v>
      </c>
      <c r="I619" t="s">
        <v>93</v>
      </c>
      <c r="J619" t="s">
        <v>27</v>
      </c>
      <c r="K619" t="s">
        <v>34</v>
      </c>
      <c r="L619">
        <f t="shared" si="27"/>
        <v>60</v>
      </c>
      <c r="M619">
        <f t="shared" si="28"/>
        <v>13.200000000000001</v>
      </c>
      <c r="N619">
        <f t="shared" si="29"/>
        <v>46.8</v>
      </c>
      <c r="O619" cm="1">
        <f t="array" ref="O619">_xlfn.LET(_xlpm.cat, Greenleaf[[#This Row],[Product Category]], _xlpm.prices, _xlfn._xlws.FILTER(Greenleaf[Unit Price], (Greenleaf[Product Category]=_xlpm.cat)*(Greenleaf[Unit Price]&lt;&gt;"")), IFERROR(MEDIAN(_xlpm.prices), ""))</f>
        <v>10</v>
      </c>
      <c r="P619">
        <f>IF(Greenleaf[[#This Row],[Shipment Status]]="Returned",1,0)</f>
        <v>0</v>
      </c>
      <c r="Q619">
        <f>IF(Greenleaf[[#This Row],[Shipment Status]]="Delivered",1,0)</f>
        <v>1</v>
      </c>
    </row>
    <row r="620" spans="1:17" x14ac:dyDescent="0.45">
      <c r="A620" t="s">
        <v>966</v>
      </c>
      <c r="B620">
        <v>45515</v>
      </c>
      <c r="C620" t="s">
        <v>30</v>
      </c>
      <c r="D620" t="s">
        <v>31</v>
      </c>
      <c r="E620">
        <v>5</v>
      </c>
      <c r="F620">
        <v>40</v>
      </c>
      <c r="G620">
        <v>11.64</v>
      </c>
      <c r="H620" t="s">
        <v>591</v>
      </c>
      <c r="I620" t="s">
        <v>403</v>
      </c>
      <c r="J620" t="s">
        <v>20</v>
      </c>
      <c r="K620" t="s">
        <v>28</v>
      </c>
      <c r="L620">
        <f t="shared" si="27"/>
        <v>200</v>
      </c>
      <c r="M620">
        <f t="shared" si="28"/>
        <v>58.2</v>
      </c>
      <c r="N620">
        <f t="shared" si="29"/>
        <v>141.80000000000001</v>
      </c>
      <c r="O620" cm="1">
        <f t="array" ref="O620">_xlfn.LET(_xlpm.cat, Greenleaf[[#This Row],[Product Category]], _xlpm.prices, _xlfn._xlws.FILTER(Greenleaf[Unit Price], (Greenleaf[Product Category]=_xlpm.cat)*(Greenleaf[Unit Price]&lt;&gt;"")), IFERROR(MEDIAN(_xlpm.prices), ""))</f>
        <v>40</v>
      </c>
      <c r="P620">
        <f>IF(Greenleaf[[#This Row],[Shipment Status]]="Returned",1,0)</f>
        <v>0</v>
      </c>
      <c r="Q620">
        <f>IF(Greenleaf[[#This Row],[Shipment Status]]="Delivered",1,0)</f>
        <v>0</v>
      </c>
    </row>
    <row r="621" spans="1:17" x14ac:dyDescent="0.45">
      <c r="A621" t="s">
        <v>967</v>
      </c>
      <c r="B621">
        <v>45515</v>
      </c>
      <c r="C621" t="s">
        <v>16</v>
      </c>
      <c r="D621" t="s">
        <v>17</v>
      </c>
      <c r="E621">
        <v>3</v>
      </c>
      <c r="F621">
        <v>10</v>
      </c>
      <c r="G621">
        <v>2.54</v>
      </c>
      <c r="H621" t="s">
        <v>61</v>
      </c>
      <c r="I621" t="s">
        <v>62</v>
      </c>
      <c r="J621" t="s">
        <v>27</v>
      </c>
      <c r="K621" t="s">
        <v>38</v>
      </c>
      <c r="L621">
        <f t="shared" si="27"/>
        <v>30</v>
      </c>
      <c r="M621">
        <f t="shared" si="28"/>
        <v>7.62</v>
      </c>
      <c r="N621">
        <f t="shared" si="29"/>
        <v>22.38</v>
      </c>
      <c r="O621" cm="1">
        <f t="array" ref="O621">_xlfn.LET(_xlpm.cat, Greenleaf[[#This Row],[Product Category]], _xlpm.prices, _xlfn._xlws.FILTER(Greenleaf[Unit Price], (Greenleaf[Product Category]=_xlpm.cat)*(Greenleaf[Unit Price]&lt;&gt;"")), IFERROR(MEDIAN(_xlpm.prices), ""))</f>
        <v>10</v>
      </c>
      <c r="P621">
        <f>IF(Greenleaf[[#This Row],[Shipment Status]]="Returned",1,0)</f>
        <v>0</v>
      </c>
      <c r="Q621">
        <f>IF(Greenleaf[[#This Row],[Shipment Status]]="Delivered",1,0)</f>
        <v>1</v>
      </c>
    </row>
    <row r="622" spans="1:17" x14ac:dyDescent="0.45">
      <c r="A622" t="s">
        <v>968</v>
      </c>
      <c r="B622">
        <v>45516</v>
      </c>
      <c r="C622" t="s">
        <v>23</v>
      </c>
      <c r="D622" t="s">
        <v>24</v>
      </c>
      <c r="E622">
        <v>5</v>
      </c>
      <c r="F622">
        <v>25</v>
      </c>
      <c r="G622">
        <v>9.66</v>
      </c>
      <c r="H622" t="s">
        <v>494</v>
      </c>
      <c r="I622" t="s">
        <v>495</v>
      </c>
      <c r="J622" t="s">
        <v>20</v>
      </c>
      <c r="K622" t="s">
        <v>43</v>
      </c>
      <c r="L622">
        <f t="shared" si="27"/>
        <v>125</v>
      </c>
      <c r="M622">
        <f t="shared" si="28"/>
        <v>48.3</v>
      </c>
      <c r="N622">
        <f t="shared" si="29"/>
        <v>76.7</v>
      </c>
      <c r="O622" cm="1">
        <f t="array" ref="O622">_xlfn.LET(_xlpm.cat, Greenleaf[[#This Row],[Product Category]], _xlpm.prices, _xlfn._xlws.FILTER(Greenleaf[Unit Price], (Greenleaf[Product Category]=_xlpm.cat)*(Greenleaf[Unit Price]&lt;&gt;"")), IFERROR(MEDIAN(_xlpm.prices), ""))</f>
        <v>25</v>
      </c>
      <c r="P622">
        <f>IF(Greenleaf[[#This Row],[Shipment Status]]="Returned",1,0)</f>
        <v>0</v>
      </c>
      <c r="Q622">
        <f>IF(Greenleaf[[#This Row],[Shipment Status]]="Delivered",1,0)</f>
        <v>0</v>
      </c>
    </row>
    <row r="623" spans="1:17" x14ac:dyDescent="0.45">
      <c r="A623" t="s">
        <v>969</v>
      </c>
      <c r="B623">
        <v>45516</v>
      </c>
      <c r="C623" t="s">
        <v>49</v>
      </c>
      <c r="D623" t="s">
        <v>50</v>
      </c>
      <c r="E623">
        <v>1</v>
      </c>
      <c r="F623">
        <v>15</v>
      </c>
      <c r="G623">
        <v>4.66</v>
      </c>
      <c r="H623" t="s">
        <v>245</v>
      </c>
      <c r="I623" t="s">
        <v>100</v>
      </c>
      <c r="J623" t="s">
        <v>27</v>
      </c>
      <c r="K623" t="s">
        <v>74</v>
      </c>
      <c r="L623">
        <f t="shared" si="27"/>
        <v>15</v>
      </c>
      <c r="M623">
        <f t="shared" si="28"/>
        <v>4.66</v>
      </c>
      <c r="N623">
        <f t="shared" si="29"/>
        <v>10.34</v>
      </c>
      <c r="O623" cm="1">
        <f t="array" ref="O623">_xlfn.LET(_xlpm.cat, Greenleaf[[#This Row],[Product Category]], _xlpm.prices, _xlfn._xlws.FILTER(Greenleaf[Unit Price], (Greenleaf[Product Category]=_xlpm.cat)*(Greenleaf[Unit Price]&lt;&gt;"")), IFERROR(MEDIAN(_xlpm.prices), ""))</f>
        <v>15</v>
      </c>
      <c r="P623">
        <f>IF(Greenleaf[[#This Row],[Shipment Status]]="Returned",1,0)</f>
        <v>0</v>
      </c>
      <c r="Q623">
        <f>IF(Greenleaf[[#This Row],[Shipment Status]]="Delivered",1,0)</f>
        <v>1</v>
      </c>
    </row>
    <row r="624" spans="1:17" x14ac:dyDescent="0.45">
      <c r="A624" t="s">
        <v>970</v>
      </c>
      <c r="B624">
        <v>45517</v>
      </c>
      <c r="C624" t="s">
        <v>66</v>
      </c>
      <c r="D624" t="s">
        <v>67</v>
      </c>
      <c r="E624">
        <v>10</v>
      </c>
      <c r="F624">
        <v>12</v>
      </c>
      <c r="G624">
        <v>3.4</v>
      </c>
      <c r="H624" t="s">
        <v>382</v>
      </c>
      <c r="I624" t="s">
        <v>383</v>
      </c>
      <c r="J624" t="s">
        <v>27</v>
      </c>
      <c r="K624" t="s">
        <v>59</v>
      </c>
      <c r="L624">
        <f t="shared" si="27"/>
        <v>120</v>
      </c>
      <c r="M624">
        <f t="shared" si="28"/>
        <v>34</v>
      </c>
      <c r="N624">
        <f t="shared" si="29"/>
        <v>86</v>
      </c>
      <c r="O624" cm="1">
        <f t="array" ref="O624">_xlfn.LET(_xlpm.cat, Greenleaf[[#This Row],[Product Category]], _xlpm.prices, _xlfn._xlws.FILTER(Greenleaf[Unit Price], (Greenleaf[Product Category]=_xlpm.cat)*(Greenleaf[Unit Price]&lt;&gt;"")), IFERROR(MEDIAN(_xlpm.prices), ""))</f>
        <v>12</v>
      </c>
      <c r="P624">
        <f>IF(Greenleaf[[#This Row],[Shipment Status]]="Returned",1,0)</f>
        <v>0</v>
      </c>
      <c r="Q624">
        <f>IF(Greenleaf[[#This Row],[Shipment Status]]="Delivered",1,0)</f>
        <v>1</v>
      </c>
    </row>
    <row r="625" spans="1:17" x14ac:dyDescent="0.45">
      <c r="A625" t="s">
        <v>971</v>
      </c>
      <c r="B625">
        <v>45517</v>
      </c>
      <c r="C625" t="s">
        <v>30</v>
      </c>
      <c r="D625" t="s">
        <v>31</v>
      </c>
      <c r="E625">
        <v>9</v>
      </c>
      <c r="F625">
        <v>40</v>
      </c>
      <c r="G625">
        <v>10.210000000000001</v>
      </c>
      <c r="H625" t="s">
        <v>482</v>
      </c>
      <c r="I625" t="s">
        <v>143</v>
      </c>
      <c r="J625" t="s">
        <v>27</v>
      </c>
      <c r="K625" t="s">
        <v>38</v>
      </c>
      <c r="L625">
        <f t="shared" si="27"/>
        <v>360</v>
      </c>
      <c r="M625">
        <f t="shared" si="28"/>
        <v>91.890000000000015</v>
      </c>
      <c r="N625">
        <f t="shared" si="29"/>
        <v>268.11</v>
      </c>
      <c r="O625" cm="1">
        <f t="array" ref="O625">_xlfn.LET(_xlpm.cat, Greenleaf[[#This Row],[Product Category]], _xlpm.prices, _xlfn._xlws.FILTER(Greenleaf[Unit Price], (Greenleaf[Product Category]=_xlpm.cat)*(Greenleaf[Unit Price]&lt;&gt;"")), IFERROR(MEDIAN(_xlpm.prices), ""))</f>
        <v>40</v>
      </c>
      <c r="P625">
        <f>IF(Greenleaf[[#This Row],[Shipment Status]]="Returned",1,0)</f>
        <v>0</v>
      </c>
      <c r="Q625">
        <f>IF(Greenleaf[[#This Row],[Shipment Status]]="Delivered",1,0)</f>
        <v>1</v>
      </c>
    </row>
    <row r="626" spans="1:17" x14ac:dyDescent="0.45">
      <c r="A626" t="s">
        <v>972</v>
      </c>
      <c r="B626">
        <v>45517</v>
      </c>
      <c r="C626" t="s">
        <v>23</v>
      </c>
      <c r="D626" t="s">
        <v>24</v>
      </c>
      <c r="E626">
        <v>3</v>
      </c>
      <c r="F626">
        <v>25</v>
      </c>
      <c r="G626">
        <v>8.93</v>
      </c>
      <c r="H626" t="s">
        <v>766</v>
      </c>
      <c r="I626" t="s">
        <v>767</v>
      </c>
      <c r="J626" t="s">
        <v>20</v>
      </c>
      <c r="K626" t="s">
        <v>59</v>
      </c>
      <c r="L626">
        <f t="shared" si="27"/>
        <v>75</v>
      </c>
      <c r="M626">
        <f t="shared" si="28"/>
        <v>26.79</v>
      </c>
      <c r="N626">
        <f t="shared" si="29"/>
        <v>48.21</v>
      </c>
      <c r="O626" cm="1">
        <f t="array" ref="O626">_xlfn.LET(_xlpm.cat, Greenleaf[[#This Row],[Product Category]], _xlpm.prices, _xlfn._xlws.FILTER(Greenleaf[Unit Price], (Greenleaf[Product Category]=_xlpm.cat)*(Greenleaf[Unit Price]&lt;&gt;"")), IFERROR(MEDIAN(_xlpm.prices), ""))</f>
        <v>25</v>
      </c>
      <c r="P626">
        <f>IF(Greenleaf[[#This Row],[Shipment Status]]="Returned",1,0)</f>
        <v>0</v>
      </c>
      <c r="Q626">
        <f>IF(Greenleaf[[#This Row],[Shipment Status]]="Delivered",1,0)</f>
        <v>0</v>
      </c>
    </row>
    <row r="627" spans="1:17" x14ac:dyDescent="0.45">
      <c r="A627" t="s">
        <v>973</v>
      </c>
      <c r="B627">
        <v>45517</v>
      </c>
      <c r="C627" t="s">
        <v>66</v>
      </c>
      <c r="D627" t="s">
        <v>67</v>
      </c>
      <c r="E627">
        <v>3</v>
      </c>
      <c r="F627">
        <v>12</v>
      </c>
      <c r="G627">
        <v>2.89</v>
      </c>
      <c r="H627" t="s">
        <v>974</v>
      </c>
      <c r="I627" t="s">
        <v>975</v>
      </c>
      <c r="J627" t="s">
        <v>47</v>
      </c>
      <c r="K627" t="s">
        <v>34</v>
      </c>
      <c r="L627">
        <f t="shared" si="27"/>
        <v>36</v>
      </c>
      <c r="M627">
        <f t="shared" si="28"/>
        <v>8.67</v>
      </c>
      <c r="N627">
        <f t="shared" si="29"/>
        <v>27.33</v>
      </c>
      <c r="O627" cm="1">
        <f t="array" ref="O627">_xlfn.LET(_xlpm.cat, Greenleaf[[#This Row],[Product Category]], _xlpm.prices, _xlfn._xlws.FILTER(Greenleaf[Unit Price], (Greenleaf[Product Category]=_xlpm.cat)*(Greenleaf[Unit Price]&lt;&gt;"")), IFERROR(MEDIAN(_xlpm.prices), ""))</f>
        <v>12</v>
      </c>
      <c r="P627">
        <f>IF(Greenleaf[[#This Row],[Shipment Status]]="Returned",1,0)</f>
        <v>0</v>
      </c>
      <c r="Q627">
        <f>IF(Greenleaf[[#This Row],[Shipment Status]]="Delivered",1,0)</f>
        <v>0</v>
      </c>
    </row>
    <row r="628" spans="1:17" x14ac:dyDescent="0.45">
      <c r="A628" t="s">
        <v>976</v>
      </c>
      <c r="B628">
        <v>45517</v>
      </c>
      <c r="C628" t="s">
        <v>66</v>
      </c>
      <c r="D628" t="s">
        <v>67</v>
      </c>
      <c r="E628">
        <v>9</v>
      </c>
      <c r="F628">
        <v>12</v>
      </c>
      <c r="G628">
        <v>3.61</v>
      </c>
      <c r="H628" t="s">
        <v>763</v>
      </c>
      <c r="I628" t="s">
        <v>210</v>
      </c>
      <c r="J628" t="s">
        <v>27</v>
      </c>
      <c r="K628" t="s">
        <v>59</v>
      </c>
      <c r="L628">
        <f t="shared" si="27"/>
        <v>108</v>
      </c>
      <c r="M628">
        <f t="shared" si="28"/>
        <v>32.49</v>
      </c>
      <c r="N628">
        <f t="shared" si="29"/>
        <v>75.509999999999991</v>
      </c>
      <c r="O628" cm="1">
        <f t="array" ref="O628">_xlfn.LET(_xlpm.cat, Greenleaf[[#This Row],[Product Category]], _xlpm.prices, _xlfn._xlws.FILTER(Greenleaf[Unit Price], (Greenleaf[Product Category]=_xlpm.cat)*(Greenleaf[Unit Price]&lt;&gt;"")), IFERROR(MEDIAN(_xlpm.prices), ""))</f>
        <v>12</v>
      </c>
      <c r="P628">
        <f>IF(Greenleaf[[#This Row],[Shipment Status]]="Returned",1,0)</f>
        <v>0</v>
      </c>
      <c r="Q628">
        <f>IF(Greenleaf[[#This Row],[Shipment Status]]="Delivered",1,0)</f>
        <v>1</v>
      </c>
    </row>
    <row r="629" spans="1:17" x14ac:dyDescent="0.45">
      <c r="A629" t="s">
        <v>977</v>
      </c>
      <c r="B629">
        <v>45518</v>
      </c>
      <c r="C629" t="s">
        <v>30</v>
      </c>
      <c r="D629" t="s">
        <v>31</v>
      </c>
      <c r="E629">
        <v>3</v>
      </c>
      <c r="F629">
        <v>40</v>
      </c>
      <c r="G629">
        <v>10.51</v>
      </c>
      <c r="H629" t="s">
        <v>884</v>
      </c>
      <c r="I629" t="s">
        <v>885</v>
      </c>
      <c r="J629" t="s">
        <v>27</v>
      </c>
      <c r="K629" t="s">
        <v>59</v>
      </c>
      <c r="L629">
        <f t="shared" si="27"/>
        <v>120</v>
      </c>
      <c r="M629">
        <f t="shared" si="28"/>
        <v>31.53</v>
      </c>
      <c r="N629">
        <f t="shared" si="29"/>
        <v>88.47</v>
      </c>
      <c r="O629" cm="1">
        <f t="array" ref="O629">_xlfn.LET(_xlpm.cat, Greenleaf[[#This Row],[Product Category]], _xlpm.prices, _xlfn._xlws.FILTER(Greenleaf[Unit Price], (Greenleaf[Product Category]=_xlpm.cat)*(Greenleaf[Unit Price]&lt;&gt;"")), IFERROR(MEDIAN(_xlpm.prices), ""))</f>
        <v>40</v>
      </c>
      <c r="P629">
        <f>IF(Greenleaf[[#This Row],[Shipment Status]]="Returned",1,0)</f>
        <v>0</v>
      </c>
      <c r="Q629">
        <f>IF(Greenleaf[[#This Row],[Shipment Status]]="Delivered",1,0)</f>
        <v>1</v>
      </c>
    </row>
    <row r="630" spans="1:17" x14ac:dyDescent="0.45">
      <c r="A630" t="s">
        <v>978</v>
      </c>
      <c r="B630">
        <v>45518</v>
      </c>
      <c r="C630" t="s">
        <v>16</v>
      </c>
      <c r="D630" t="s">
        <v>17</v>
      </c>
      <c r="E630">
        <v>4</v>
      </c>
      <c r="F630">
        <v>10</v>
      </c>
      <c r="G630">
        <v>3.97</v>
      </c>
      <c r="H630" t="s">
        <v>356</v>
      </c>
      <c r="I630" t="s">
        <v>357</v>
      </c>
      <c r="J630" t="s">
        <v>27</v>
      </c>
      <c r="K630" t="s">
        <v>56</v>
      </c>
      <c r="L630">
        <f t="shared" si="27"/>
        <v>40</v>
      </c>
      <c r="M630">
        <f t="shared" si="28"/>
        <v>15.88</v>
      </c>
      <c r="N630">
        <f t="shared" si="29"/>
        <v>24.119999999999997</v>
      </c>
      <c r="O630" cm="1">
        <f t="array" ref="O630">_xlfn.LET(_xlpm.cat, Greenleaf[[#This Row],[Product Category]], _xlpm.prices, _xlfn._xlws.FILTER(Greenleaf[Unit Price], (Greenleaf[Product Category]=_xlpm.cat)*(Greenleaf[Unit Price]&lt;&gt;"")), IFERROR(MEDIAN(_xlpm.prices), ""))</f>
        <v>10</v>
      </c>
      <c r="P630">
        <f>IF(Greenleaf[[#This Row],[Shipment Status]]="Returned",1,0)</f>
        <v>0</v>
      </c>
      <c r="Q630">
        <f>IF(Greenleaf[[#This Row],[Shipment Status]]="Delivered",1,0)</f>
        <v>1</v>
      </c>
    </row>
    <row r="631" spans="1:17" x14ac:dyDescent="0.45">
      <c r="A631" t="s">
        <v>979</v>
      </c>
      <c r="B631">
        <v>45519</v>
      </c>
      <c r="C631" t="s">
        <v>49</v>
      </c>
      <c r="D631" t="s">
        <v>50</v>
      </c>
      <c r="E631">
        <v>3</v>
      </c>
      <c r="F631">
        <v>15</v>
      </c>
      <c r="G631">
        <v>4.7699999999999996</v>
      </c>
      <c r="H631" t="s">
        <v>72</v>
      </c>
      <c r="I631" t="s">
        <v>73</v>
      </c>
      <c r="J631" t="s">
        <v>27</v>
      </c>
      <c r="K631" t="s">
        <v>28</v>
      </c>
      <c r="L631">
        <f t="shared" si="27"/>
        <v>45</v>
      </c>
      <c r="M631">
        <f t="shared" si="28"/>
        <v>14.309999999999999</v>
      </c>
      <c r="N631">
        <f t="shared" si="29"/>
        <v>30.69</v>
      </c>
      <c r="O631" cm="1">
        <f t="array" ref="O631">_xlfn.LET(_xlpm.cat, Greenleaf[[#This Row],[Product Category]], _xlpm.prices, _xlfn._xlws.FILTER(Greenleaf[Unit Price], (Greenleaf[Product Category]=_xlpm.cat)*(Greenleaf[Unit Price]&lt;&gt;"")), IFERROR(MEDIAN(_xlpm.prices), ""))</f>
        <v>15</v>
      </c>
      <c r="P631">
        <f>IF(Greenleaf[[#This Row],[Shipment Status]]="Returned",1,0)</f>
        <v>0</v>
      </c>
      <c r="Q631">
        <f>IF(Greenleaf[[#This Row],[Shipment Status]]="Delivered",1,0)</f>
        <v>1</v>
      </c>
    </row>
    <row r="632" spans="1:17" x14ac:dyDescent="0.45">
      <c r="A632" t="s">
        <v>980</v>
      </c>
      <c r="B632">
        <v>45519</v>
      </c>
      <c r="C632" t="s">
        <v>49</v>
      </c>
      <c r="D632" t="s">
        <v>50</v>
      </c>
      <c r="E632">
        <v>4</v>
      </c>
      <c r="F632">
        <v>15</v>
      </c>
      <c r="G632">
        <v>4.16</v>
      </c>
      <c r="H632" t="s">
        <v>558</v>
      </c>
      <c r="I632" t="s">
        <v>559</v>
      </c>
      <c r="J632" t="s">
        <v>20</v>
      </c>
      <c r="K632" t="s">
        <v>70</v>
      </c>
      <c r="L632">
        <f t="shared" si="27"/>
        <v>60</v>
      </c>
      <c r="M632">
        <f t="shared" si="28"/>
        <v>16.64</v>
      </c>
      <c r="N632">
        <f t="shared" si="29"/>
        <v>43.36</v>
      </c>
      <c r="O632" cm="1">
        <f t="array" ref="O632">_xlfn.LET(_xlpm.cat, Greenleaf[[#This Row],[Product Category]], _xlpm.prices, _xlfn._xlws.FILTER(Greenleaf[Unit Price], (Greenleaf[Product Category]=_xlpm.cat)*(Greenleaf[Unit Price]&lt;&gt;"")), IFERROR(MEDIAN(_xlpm.prices), ""))</f>
        <v>15</v>
      </c>
      <c r="P632">
        <f>IF(Greenleaf[[#This Row],[Shipment Status]]="Returned",1,0)</f>
        <v>0</v>
      </c>
      <c r="Q632">
        <f>IF(Greenleaf[[#This Row],[Shipment Status]]="Delivered",1,0)</f>
        <v>0</v>
      </c>
    </row>
    <row r="633" spans="1:17" x14ac:dyDescent="0.45">
      <c r="A633" t="s">
        <v>981</v>
      </c>
      <c r="B633">
        <v>45520</v>
      </c>
      <c r="C633" t="s">
        <v>49</v>
      </c>
      <c r="D633" t="s">
        <v>50</v>
      </c>
      <c r="E633">
        <v>6</v>
      </c>
      <c r="F633">
        <v>15</v>
      </c>
      <c r="G633">
        <v>3.31</v>
      </c>
      <c r="H633" t="s">
        <v>58</v>
      </c>
      <c r="I633" t="s">
        <v>37</v>
      </c>
      <c r="J633" t="s">
        <v>20</v>
      </c>
      <c r="K633" t="s">
        <v>43</v>
      </c>
      <c r="L633">
        <f t="shared" si="27"/>
        <v>90</v>
      </c>
      <c r="M633">
        <f t="shared" si="28"/>
        <v>19.86</v>
      </c>
      <c r="N633">
        <f t="shared" si="29"/>
        <v>70.14</v>
      </c>
      <c r="O633" cm="1">
        <f t="array" ref="O633">_xlfn.LET(_xlpm.cat, Greenleaf[[#This Row],[Product Category]], _xlpm.prices, _xlfn._xlws.FILTER(Greenleaf[Unit Price], (Greenleaf[Product Category]=_xlpm.cat)*(Greenleaf[Unit Price]&lt;&gt;"")), IFERROR(MEDIAN(_xlpm.prices), ""))</f>
        <v>15</v>
      </c>
      <c r="P633">
        <f>IF(Greenleaf[[#This Row],[Shipment Status]]="Returned",1,0)</f>
        <v>0</v>
      </c>
      <c r="Q633">
        <f>IF(Greenleaf[[#This Row],[Shipment Status]]="Delivered",1,0)</f>
        <v>0</v>
      </c>
    </row>
    <row r="634" spans="1:17" x14ac:dyDescent="0.45">
      <c r="A634" t="s">
        <v>982</v>
      </c>
      <c r="B634">
        <v>45521</v>
      </c>
      <c r="C634" t="s">
        <v>49</v>
      </c>
      <c r="D634" t="s">
        <v>50</v>
      </c>
      <c r="E634">
        <v>9</v>
      </c>
      <c r="F634">
        <v>15</v>
      </c>
      <c r="G634">
        <v>3.56</v>
      </c>
      <c r="H634" t="s">
        <v>510</v>
      </c>
      <c r="I634" t="s">
        <v>511</v>
      </c>
      <c r="J634" t="s">
        <v>27</v>
      </c>
      <c r="K634" t="s">
        <v>34</v>
      </c>
      <c r="L634">
        <f t="shared" si="27"/>
        <v>135</v>
      </c>
      <c r="M634">
        <f t="shared" si="28"/>
        <v>32.04</v>
      </c>
      <c r="N634">
        <f t="shared" si="29"/>
        <v>102.96000000000001</v>
      </c>
      <c r="O634" cm="1">
        <f t="array" ref="O634">_xlfn.LET(_xlpm.cat, Greenleaf[[#This Row],[Product Category]], _xlpm.prices, _xlfn._xlws.FILTER(Greenleaf[Unit Price], (Greenleaf[Product Category]=_xlpm.cat)*(Greenleaf[Unit Price]&lt;&gt;"")), IFERROR(MEDIAN(_xlpm.prices), ""))</f>
        <v>15</v>
      </c>
      <c r="P634">
        <f>IF(Greenleaf[[#This Row],[Shipment Status]]="Returned",1,0)</f>
        <v>0</v>
      </c>
      <c r="Q634">
        <f>IF(Greenleaf[[#This Row],[Shipment Status]]="Delivered",1,0)</f>
        <v>1</v>
      </c>
    </row>
    <row r="635" spans="1:17" x14ac:dyDescent="0.45">
      <c r="A635" t="s">
        <v>983</v>
      </c>
      <c r="B635">
        <v>45521</v>
      </c>
      <c r="C635" t="s">
        <v>16</v>
      </c>
      <c r="D635" t="s">
        <v>17</v>
      </c>
      <c r="E635">
        <v>7</v>
      </c>
      <c r="F635">
        <v>10</v>
      </c>
      <c r="G635">
        <v>2.65</v>
      </c>
      <c r="H635" t="s">
        <v>691</v>
      </c>
      <c r="I635" t="s">
        <v>692</v>
      </c>
      <c r="J635" t="s">
        <v>27</v>
      </c>
      <c r="K635" t="s">
        <v>43</v>
      </c>
      <c r="L635">
        <f t="shared" si="27"/>
        <v>70</v>
      </c>
      <c r="M635">
        <f t="shared" si="28"/>
        <v>18.55</v>
      </c>
      <c r="N635">
        <f t="shared" si="29"/>
        <v>51.45</v>
      </c>
      <c r="O635" cm="1">
        <f t="array" ref="O635">_xlfn.LET(_xlpm.cat, Greenleaf[[#This Row],[Product Category]], _xlpm.prices, _xlfn._xlws.FILTER(Greenleaf[Unit Price], (Greenleaf[Product Category]=_xlpm.cat)*(Greenleaf[Unit Price]&lt;&gt;"")), IFERROR(MEDIAN(_xlpm.prices), ""))</f>
        <v>10</v>
      </c>
      <c r="P635">
        <f>IF(Greenleaf[[#This Row],[Shipment Status]]="Returned",1,0)</f>
        <v>0</v>
      </c>
      <c r="Q635">
        <f>IF(Greenleaf[[#This Row],[Shipment Status]]="Delivered",1,0)</f>
        <v>1</v>
      </c>
    </row>
    <row r="636" spans="1:17" x14ac:dyDescent="0.45">
      <c r="A636" t="s">
        <v>984</v>
      </c>
      <c r="B636">
        <v>45521</v>
      </c>
      <c r="C636" t="s">
        <v>23</v>
      </c>
      <c r="D636" t="s">
        <v>24</v>
      </c>
      <c r="E636">
        <v>1</v>
      </c>
      <c r="F636">
        <v>25</v>
      </c>
      <c r="G636">
        <v>7.24</v>
      </c>
      <c r="H636" t="s">
        <v>166</v>
      </c>
      <c r="I636" t="s">
        <v>167</v>
      </c>
      <c r="J636" t="s">
        <v>27</v>
      </c>
      <c r="K636" t="s">
        <v>70</v>
      </c>
      <c r="L636">
        <f t="shared" si="27"/>
        <v>25</v>
      </c>
      <c r="M636">
        <f t="shared" si="28"/>
        <v>7.24</v>
      </c>
      <c r="N636">
        <f t="shared" si="29"/>
        <v>17.759999999999998</v>
      </c>
      <c r="O636" cm="1">
        <f t="array" ref="O636">_xlfn.LET(_xlpm.cat, Greenleaf[[#This Row],[Product Category]], _xlpm.prices, _xlfn._xlws.FILTER(Greenleaf[Unit Price], (Greenleaf[Product Category]=_xlpm.cat)*(Greenleaf[Unit Price]&lt;&gt;"")), IFERROR(MEDIAN(_xlpm.prices), ""))</f>
        <v>25</v>
      </c>
      <c r="P636">
        <f>IF(Greenleaf[[#This Row],[Shipment Status]]="Returned",1,0)</f>
        <v>0</v>
      </c>
      <c r="Q636">
        <f>IF(Greenleaf[[#This Row],[Shipment Status]]="Delivered",1,0)</f>
        <v>1</v>
      </c>
    </row>
    <row r="637" spans="1:17" x14ac:dyDescent="0.45">
      <c r="A637" t="s">
        <v>985</v>
      </c>
      <c r="B637">
        <v>45521</v>
      </c>
      <c r="C637" t="s">
        <v>23</v>
      </c>
      <c r="D637" t="s">
        <v>24</v>
      </c>
      <c r="E637">
        <v>10</v>
      </c>
      <c r="F637">
        <v>25</v>
      </c>
      <c r="G637">
        <v>7.06</v>
      </c>
      <c r="H637" t="s">
        <v>254</v>
      </c>
      <c r="I637" t="s">
        <v>177</v>
      </c>
      <c r="J637" t="s">
        <v>20</v>
      </c>
      <c r="K637" t="s">
        <v>74</v>
      </c>
      <c r="L637">
        <f t="shared" si="27"/>
        <v>250</v>
      </c>
      <c r="M637">
        <f t="shared" si="28"/>
        <v>70.599999999999994</v>
      </c>
      <c r="N637">
        <f t="shared" si="29"/>
        <v>179.4</v>
      </c>
      <c r="O637" cm="1">
        <f t="array" ref="O637">_xlfn.LET(_xlpm.cat, Greenleaf[[#This Row],[Product Category]], _xlpm.prices, _xlfn._xlws.FILTER(Greenleaf[Unit Price], (Greenleaf[Product Category]=_xlpm.cat)*(Greenleaf[Unit Price]&lt;&gt;"")), IFERROR(MEDIAN(_xlpm.prices), ""))</f>
        <v>25</v>
      </c>
      <c r="P637">
        <f>IF(Greenleaf[[#This Row],[Shipment Status]]="Returned",1,0)</f>
        <v>0</v>
      </c>
      <c r="Q637">
        <f>IF(Greenleaf[[#This Row],[Shipment Status]]="Delivered",1,0)</f>
        <v>0</v>
      </c>
    </row>
    <row r="638" spans="1:17" x14ac:dyDescent="0.45">
      <c r="A638" t="s">
        <v>986</v>
      </c>
      <c r="B638">
        <v>45522</v>
      </c>
      <c r="C638" t="s">
        <v>23</v>
      </c>
      <c r="D638" t="s">
        <v>24</v>
      </c>
      <c r="E638">
        <v>8</v>
      </c>
      <c r="F638">
        <v>25</v>
      </c>
      <c r="G638">
        <v>7.93</v>
      </c>
      <c r="H638" t="s">
        <v>436</v>
      </c>
      <c r="I638" t="s">
        <v>437</v>
      </c>
      <c r="J638" t="s">
        <v>27</v>
      </c>
      <c r="K638" t="s">
        <v>28</v>
      </c>
      <c r="L638">
        <f t="shared" si="27"/>
        <v>200</v>
      </c>
      <c r="M638">
        <f t="shared" si="28"/>
        <v>63.44</v>
      </c>
      <c r="N638">
        <f t="shared" si="29"/>
        <v>136.56</v>
      </c>
      <c r="O638" cm="1">
        <f t="array" ref="O638">_xlfn.LET(_xlpm.cat, Greenleaf[[#This Row],[Product Category]], _xlpm.prices, _xlfn._xlws.FILTER(Greenleaf[Unit Price], (Greenleaf[Product Category]=_xlpm.cat)*(Greenleaf[Unit Price]&lt;&gt;"")), IFERROR(MEDIAN(_xlpm.prices), ""))</f>
        <v>25</v>
      </c>
      <c r="P638">
        <f>IF(Greenleaf[[#This Row],[Shipment Status]]="Returned",1,0)</f>
        <v>0</v>
      </c>
      <c r="Q638">
        <f>IF(Greenleaf[[#This Row],[Shipment Status]]="Delivered",1,0)</f>
        <v>1</v>
      </c>
    </row>
    <row r="639" spans="1:17" x14ac:dyDescent="0.45">
      <c r="A639" t="s">
        <v>987</v>
      </c>
      <c r="B639">
        <v>45522</v>
      </c>
      <c r="C639" t="s">
        <v>66</v>
      </c>
      <c r="D639" t="s">
        <v>67</v>
      </c>
      <c r="E639">
        <v>5</v>
      </c>
      <c r="F639">
        <v>12</v>
      </c>
      <c r="G639">
        <v>3.24</v>
      </c>
      <c r="H639" t="s">
        <v>988</v>
      </c>
      <c r="I639" t="s">
        <v>390</v>
      </c>
      <c r="J639" t="s">
        <v>27</v>
      </c>
      <c r="K639" t="s">
        <v>43</v>
      </c>
      <c r="L639">
        <f t="shared" si="27"/>
        <v>60</v>
      </c>
      <c r="M639">
        <f t="shared" si="28"/>
        <v>16.200000000000003</v>
      </c>
      <c r="N639">
        <f t="shared" si="29"/>
        <v>43.8</v>
      </c>
      <c r="O639" cm="1">
        <f t="array" ref="O639">_xlfn.LET(_xlpm.cat, Greenleaf[[#This Row],[Product Category]], _xlpm.prices, _xlfn._xlws.FILTER(Greenleaf[Unit Price], (Greenleaf[Product Category]=_xlpm.cat)*(Greenleaf[Unit Price]&lt;&gt;"")), IFERROR(MEDIAN(_xlpm.prices), ""))</f>
        <v>12</v>
      </c>
      <c r="P639">
        <f>IF(Greenleaf[[#This Row],[Shipment Status]]="Returned",1,0)</f>
        <v>0</v>
      </c>
      <c r="Q639">
        <f>IF(Greenleaf[[#This Row],[Shipment Status]]="Delivered",1,0)</f>
        <v>1</v>
      </c>
    </row>
    <row r="640" spans="1:17" x14ac:dyDescent="0.45">
      <c r="A640" t="s">
        <v>989</v>
      </c>
      <c r="B640">
        <v>45522</v>
      </c>
      <c r="C640" t="s">
        <v>66</v>
      </c>
      <c r="D640" t="s">
        <v>67</v>
      </c>
      <c r="E640">
        <v>3</v>
      </c>
      <c r="F640">
        <v>12</v>
      </c>
      <c r="G640">
        <v>2.42</v>
      </c>
      <c r="H640" t="s">
        <v>594</v>
      </c>
      <c r="I640" t="s">
        <v>217</v>
      </c>
      <c r="J640" t="s">
        <v>47</v>
      </c>
      <c r="K640" t="s">
        <v>59</v>
      </c>
      <c r="L640">
        <f t="shared" si="27"/>
        <v>36</v>
      </c>
      <c r="M640">
        <f t="shared" si="28"/>
        <v>7.26</v>
      </c>
      <c r="N640">
        <f t="shared" si="29"/>
        <v>28.740000000000002</v>
      </c>
      <c r="O640" cm="1">
        <f t="array" ref="O640">_xlfn.LET(_xlpm.cat, Greenleaf[[#This Row],[Product Category]], _xlpm.prices, _xlfn._xlws.FILTER(Greenleaf[Unit Price], (Greenleaf[Product Category]=_xlpm.cat)*(Greenleaf[Unit Price]&lt;&gt;"")), IFERROR(MEDIAN(_xlpm.prices), ""))</f>
        <v>12</v>
      </c>
      <c r="P640">
        <f>IF(Greenleaf[[#This Row],[Shipment Status]]="Returned",1,0)</f>
        <v>0</v>
      </c>
      <c r="Q640">
        <f>IF(Greenleaf[[#This Row],[Shipment Status]]="Delivered",1,0)</f>
        <v>0</v>
      </c>
    </row>
    <row r="641" spans="1:17" x14ac:dyDescent="0.45">
      <c r="A641" t="s">
        <v>990</v>
      </c>
      <c r="B641">
        <v>45522</v>
      </c>
      <c r="C641" t="s">
        <v>30</v>
      </c>
      <c r="D641" t="s">
        <v>31</v>
      </c>
      <c r="E641">
        <v>4</v>
      </c>
      <c r="F641">
        <v>40</v>
      </c>
      <c r="G641">
        <v>11.94</v>
      </c>
      <c r="H641" t="s">
        <v>321</v>
      </c>
      <c r="I641" t="s">
        <v>322</v>
      </c>
      <c r="J641" t="s">
        <v>42</v>
      </c>
      <c r="K641" t="s">
        <v>74</v>
      </c>
      <c r="L641">
        <f t="shared" si="27"/>
        <v>160</v>
      </c>
      <c r="M641">
        <f t="shared" si="28"/>
        <v>47.76</v>
      </c>
      <c r="N641">
        <f t="shared" si="29"/>
        <v>112.24000000000001</v>
      </c>
      <c r="O641" cm="1">
        <f t="array" ref="O641">_xlfn.LET(_xlpm.cat, Greenleaf[[#This Row],[Product Category]], _xlpm.prices, _xlfn._xlws.FILTER(Greenleaf[Unit Price], (Greenleaf[Product Category]=_xlpm.cat)*(Greenleaf[Unit Price]&lt;&gt;"")), IFERROR(MEDIAN(_xlpm.prices), ""))</f>
        <v>40</v>
      </c>
      <c r="P641">
        <f>IF(Greenleaf[[#This Row],[Shipment Status]]="Returned",1,0)</f>
        <v>1</v>
      </c>
      <c r="Q641">
        <f>IF(Greenleaf[[#This Row],[Shipment Status]]="Delivered",1,0)</f>
        <v>0</v>
      </c>
    </row>
    <row r="642" spans="1:17" x14ac:dyDescent="0.45">
      <c r="A642" t="s">
        <v>991</v>
      </c>
      <c r="B642">
        <v>45522</v>
      </c>
      <c r="C642" t="s">
        <v>30</v>
      </c>
      <c r="D642" t="s">
        <v>31</v>
      </c>
      <c r="E642">
        <v>5</v>
      </c>
      <c r="F642">
        <v>40</v>
      </c>
      <c r="G642">
        <v>10.23</v>
      </c>
      <c r="H642" t="s">
        <v>633</v>
      </c>
      <c r="I642" t="s">
        <v>634</v>
      </c>
      <c r="J642" t="s">
        <v>42</v>
      </c>
      <c r="K642" t="s">
        <v>59</v>
      </c>
      <c r="L642">
        <f t="shared" ref="L642:L705" si="30">E642*F642</f>
        <v>200</v>
      </c>
      <c r="M642">
        <f t="shared" ref="M642:M705" si="31">E642*G642</f>
        <v>51.150000000000006</v>
      </c>
      <c r="N642">
        <f t="shared" ref="N642:N705" si="32">L642-M642</f>
        <v>148.85</v>
      </c>
      <c r="O642" cm="1">
        <f t="array" ref="O642">_xlfn.LET(_xlpm.cat, Greenleaf[[#This Row],[Product Category]], _xlpm.prices, _xlfn._xlws.FILTER(Greenleaf[Unit Price], (Greenleaf[Product Category]=_xlpm.cat)*(Greenleaf[Unit Price]&lt;&gt;"")), IFERROR(MEDIAN(_xlpm.prices), ""))</f>
        <v>40</v>
      </c>
      <c r="P642">
        <f>IF(Greenleaf[[#This Row],[Shipment Status]]="Returned",1,0)</f>
        <v>1</v>
      </c>
      <c r="Q642">
        <f>IF(Greenleaf[[#This Row],[Shipment Status]]="Delivered",1,0)</f>
        <v>0</v>
      </c>
    </row>
    <row r="643" spans="1:17" x14ac:dyDescent="0.45">
      <c r="A643" t="s">
        <v>992</v>
      </c>
      <c r="B643">
        <v>45523</v>
      </c>
      <c r="C643" t="s">
        <v>66</v>
      </c>
      <c r="D643" t="s">
        <v>67</v>
      </c>
      <c r="E643">
        <v>7</v>
      </c>
      <c r="F643">
        <v>12</v>
      </c>
      <c r="G643">
        <v>4.46</v>
      </c>
      <c r="H643" t="s">
        <v>363</v>
      </c>
      <c r="I643" t="s">
        <v>210</v>
      </c>
      <c r="J643" t="s">
        <v>27</v>
      </c>
      <c r="K643" t="s">
        <v>21</v>
      </c>
      <c r="L643">
        <f t="shared" si="30"/>
        <v>84</v>
      </c>
      <c r="M643">
        <f t="shared" si="31"/>
        <v>31.22</v>
      </c>
      <c r="N643">
        <f t="shared" si="32"/>
        <v>52.78</v>
      </c>
      <c r="O643" cm="1">
        <f t="array" ref="O643">_xlfn.LET(_xlpm.cat, Greenleaf[[#This Row],[Product Category]], _xlpm.prices, _xlfn._xlws.FILTER(Greenleaf[Unit Price], (Greenleaf[Product Category]=_xlpm.cat)*(Greenleaf[Unit Price]&lt;&gt;"")), IFERROR(MEDIAN(_xlpm.prices), ""))</f>
        <v>12</v>
      </c>
      <c r="P643">
        <f>IF(Greenleaf[[#This Row],[Shipment Status]]="Returned",1,0)</f>
        <v>0</v>
      </c>
      <c r="Q643">
        <f>IF(Greenleaf[[#This Row],[Shipment Status]]="Delivered",1,0)</f>
        <v>1</v>
      </c>
    </row>
    <row r="644" spans="1:17" x14ac:dyDescent="0.45">
      <c r="A644" t="s">
        <v>993</v>
      </c>
      <c r="B644">
        <v>45523</v>
      </c>
      <c r="C644" t="s">
        <v>66</v>
      </c>
      <c r="D644" t="s">
        <v>67</v>
      </c>
      <c r="E644">
        <v>6</v>
      </c>
      <c r="F644">
        <v>12</v>
      </c>
      <c r="G644">
        <v>4.7300000000000004</v>
      </c>
      <c r="H644" t="s">
        <v>734</v>
      </c>
      <c r="I644" t="s">
        <v>663</v>
      </c>
      <c r="J644" t="s">
        <v>20</v>
      </c>
      <c r="K644" t="s">
        <v>70</v>
      </c>
      <c r="L644">
        <f t="shared" si="30"/>
        <v>72</v>
      </c>
      <c r="M644">
        <f t="shared" si="31"/>
        <v>28.380000000000003</v>
      </c>
      <c r="N644">
        <f t="shared" si="32"/>
        <v>43.62</v>
      </c>
      <c r="O644" cm="1">
        <f t="array" ref="O644">_xlfn.LET(_xlpm.cat, Greenleaf[[#This Row],[Product Category]], _xlpm.prices, _xlfn._xlws.FILTER(Greenleaf[Unit Price], (Greenleaf[Product Category]=_xlpm.cat)*(Greenleaf[Unit Price]&lt;&gt;"")), IFERROR(MEDIAN(_xlpm.prices), ""))</f>
        <v>12</v>
      </c>
      <c r="P644">
        <f>IF(Greenleaf[[#This Row],[Shipment Status]]="Returned",1,0)</f>
        <v>0</v>
      </c>
      <c r="Q644">
        <f>IF(Greenleaf[[#This Row],[Shipment Status]]="Delivered",1,0)</f>
        <v>0</v>
      </c>
    </row>
    <row r="645" spans="1:17" x14ac:dyDescent="0.45">
      <c r="A645" t="s">
        <v>994</v>
      </c>
      <c r="B645">
        <v>45523</v>
      </c>
      <c r="C645" t="s">
        <v>49</v>
      </c>
      <c r="D645" t="s">
        <v>50</v>
      </c>
      <c r="E645">
        <v>6</v>
      </c>
      <c r="F645">
        <v>15</v>
      </c>
      <c r="G645">
        <v>3.74</v>
      </c>
      <c r="H645" t="s">
        <v>221</v>
      </c>
      <c r="I645" t="s">
        <v>222</v>
      </c>
      <c r="J645" t="s">
        <v>47</v>
      </c>
      <c r="K645" t="s">
        <v>56</v>
      </c>
      <c r="L645">
        <f t="shared" si="30"/>
        <v>90</v>
      </c>
      <c r="M645">
        <f t="shared" si="31"/>
        <v>22.44</v>
      </c>
      <c r="N645">
        <f t="shared" si="32"/>
        <v>67.56</v>
      </c>
      <c r="O645" cm="1">
        <f t="array" ref="O645">_xlfn.LET(_xlpm.cat, Greenleaf[[#This Row],[Product Category]], _xlpm.prices, _xlfn._xlws.FILTER(Greenleaf[Unit Price], (Greenleaf[Product Category]=_xlpm.cat)*(Greenleaf[Unit Price]&lt;&gt;"")), IFERROR(MEDIAN(_xlpm.prices), ""))</f>
        <v>15</v>
      </c>
      <c r="P645">
        <f>IF(Greenleaf[[#This Row],[Shipment Status]]="Returned",1,0)</f>
        <v>0</v>
      </c>
      <c r="Q645">
        <f>IF(Greenleaf[[#This Row],[Shipment Status]]="Delivered",1,0)</f>
        <v>0</v>
      </c>
    </row>
    <row r="646" spans="1:17" x14ac:dyDescent="0.45">
      <c r="A646" t="s">
        <v>995</v>
      </c>
      <c r="B646">
        <v>45523</v>
      </c>
      <c r="C646" t="s">
        <v>23</v>
      </c>
      <c r="D646" t="s">
        <v>24</v>
      </c>
      <c r="E646">
        <v>10</v>
      </c>
      <c r="F646">
        <v>25</v>
      </c>
      <c r="G646">
        <v>6.58</v>
      </c>
      <c r="H646" t="s">
        <v>296</v>
      </c>
      <c r="I646" t="s">
        <v>93</v>
      </c>
      <c r="J646" t="s">
        <v>20</v>
      </c>
      <c r="K646" t="s">
        <v>34</v>
      </c>
      <c r="L646">
        <f t="shared" si="30"/>
        <v>250</v>
      </c>
      <c r="M646">
        <f t="shared" si="31"/>
        <v>65.8</v>
      </c>
      <c r="N646">
        <f t="shared" si="32"/>
        <v>184.2</v>
      </c>
      <c r="O646" cm="1">
        <f t="array" ref="O646">_xlfn.LET(_xlpm.cat, Greenleaf[[#This Row],[Product Category]], _xlpm.prices, _xlfn._xlws.FILTER(Greenleaf[Unit Price], (Greenleaf[Product Category]=_xlpm.cat)*(Greenleaf[Unit Price]&lt;&gt;"")), IFERROR(MEDIAN(_xlpm.prices), ""))</f>
        <v>25</v>
      </c>
      <c r="P646">
        <f>IF(Greenleaf[[#This Row],[Shipment Status]]="Returned",1,0)</f>
        <v>0</v>
      </c>
      <c r="Q646">
        <f>IF(Greenleaf[[#This Row],[Shipment Status]]="Delivered",1,0)</f>
        <v>0</v>
      </c>
    </row>
    <row r="647" spans="1:17" x14ac:dyDescent="0.45">
      <c r="A647" t="s">
        <v>996</v>
      </c>
      <c r="B647">
        <v>45524</v>
      </c>
      <c r="C647" t="s">
        <v>49</v>
      </c>
      <c r="D647" t="s">
        <v>50</v>
      </c>
      <c r="E647">
        <v>2</v>
      </c>
      <c r="F647">
        <v>15</v>
      </c>
      <c r="G647">
        <v>5.88</v>
      </c>
      <c r="H647" t="s">
        <v>489</v>
      </c>
      <c r="I647" t="s">
        <v>490</v>
      </c>
      <c r="J647" t="s">
        <v>27</v>
      </c>
      <c r="K647" t="s">
        <v>59</v>
      </c>
      <c r="L647">
        <f t="shared" si="30"/>
        <v>30</v>
      </c>
      <c r="M647">
        <f t="shared" si="31"/>
        <v>11.76</v>
      </c>
      <c r="N647">
        <f t="shared" si="32"/>
        <v>18.240000000000002</v>
      </c>
      <c r="O647" cm="1">
        <f t="array" ref="O647">_xlfn.LET(_xlpm.cat, Greenleaf[[#This Row],[Product Category]], _xlpm.prices, _xlfn._xlws.FILTER(Greenleaf[Unit Price], (Greenleaf[Product Category]=_xlpm.cat)*(Greenleaf[Unit Price]&lt;&gt;"")), IFERROR(MEDIAN(_xlpm.prices), ""))</f>
        <v>15</v>
      </c>
      <c r="P647">
        <f>IF(Greenleaf[[#This Row],[Shipment Status]]="Returned",1,0)</f>
        <v>0</v>
      </c>
      <c r="Q647">
        <f>IF(Greenleaf[[#This Row],[Shipment Status]]="Delivered",1,0)</f>
        <v>1</v>
      </c>
    </row>
    <row r="648" spans="1:17" x14ac:dyDescent="0.45">
      <c r="A648" t="s">
        <v>997</v>
      </c>
      <c r="B648">
        <v>45524</v>
      </c>
      <c r="C648" t="s">
        <v>30</v>
      </c>
      <c r="D648" t="s">
        <v>31</v>
      </c>
      <c r="E648">
        <v>2</v>
      </c>
      <c r="F648">
        <v>40</v>
      </c>
      <c r="G648">
        <v>14.55</v>
      </c>
      <c r="H648" t="s">
        <v>251</v>
      </c>
      <c r="I648" t="s">
        <v>252</v>
      </c>
      <c r="J648" t="s">
        <v>20</v>
      </c>
      <c r="K648" t="s">
        <v>56</v>
      </c>
      <c r="L648">
        <f t="shared" si="30"/>
        <v>80</v>
      </c>
      <c r="M648">
        <f t="shared" si="31"/>
        <v>29.1</v>
      </c>
      <c r="N648">
        <f t="shared" si="32"/>
        <v>50.9</v>
      </c>
      <c r="O648" cm="1">
        <f t="array" ref="O648">_xlfn.LET(_xlpm.cat, Greenleaf[[#This Row],[Product Category]], _xlpm.prices, _xlfn._xlws.FILTER(Greenleaf[Unit Price], (Greenleaf[Product Category]=_xlpm.cat)*(Greenleaf[Unit Price]&lt;&gt;"")), IFERROR(MEDIAN(_xlpm.prices), ""))</f>
        <v>40</v>
      </c>
      <c r="P648">
        <f>IF(Greenleaf[[#This Row],[Shipment Status]]="Returned",1,0)</f>
        <v>0</v>
      </c>
      <c r="Q648">
        <f>IF(Greenleaf[[#This Row],[Shipment Status]]="Delivered",1,0)</f>
        <v>0</v>
      </c>
    </row>
    <row r="649" spans="1:17" x14ac:dyDescent="0.45">
      <c r="A649" t="s">
        <v>998</v>
      </c>
      <c r="B649">
        <v>45524</v>
      </c>
      <c r="C649" t="s">
        <v>16</v>
      </c>
      <c r="D649" t="s">
        <v>17</v>
      </c>
      <c r="E649">
        <v>3</v>
      </c>
      <c r="F649">
        <v>10</v>
      </c>
      <c r="G649">
        <v>2.33</v>
      </c>
      <c r="H649" t="s">
        <v>371</v>
      </c>
      <c r="I649" t="s">
        <v>26</v>
      </c>
      <c r="J649" t="s">
        <v>20</v>
      </c>
      <c r="K649" t="s">
        <v>70</v>
      </c>
      <c r="L649">
        <f t="shared" si="30"/>
        <v>30</v>
      </c>
      <c r="M649">
        <f t="shared" si="31"/>
        <v>6.99</v>
      </c>
      <c r="N649">
        <f t="shared" si="32"/>
        <v>23.009999999999998</v>
      </c>
      <c r="O649" cm="1">
        <f t="array" ref="O649">_xlfn.LET(_xlpm.cat, Greenleaf[[#This Row],[Product Category]], _xlpm.prices, _xlfn._xlws.FILTER(Greenleaf[Unit Price], (Greenleaf[Product Category]=_xlpm.cat)*(Greenleaf[Unit Price]&lt;&gt;"")), IFERROR(MEDIAN(_xlpm.prices), ""))</f>
        <v>10</v>
      </c>
      <c r="P649">
        <f>IF(Greenleaf[[#This Row],[Shipment Status]]="Returned",1,0)</f>
        <v>0</v>
      </c>
      <c r="Q649">
        <f>IF(Greenleaf[[#This Row],[Shipment Status]]="Delivered",1,0)</f>
        <v>0</v>
      </c>
    </row>
    <row r="650" spans="1:17" x14ac:dyDescent="0.45">
      <c r="A650" t="s">
        <v>999</v>
      </c>
      <c r="B650">
        <v>45524</v>
      </c>
      <c r="C650" t="s">
        <v>49</v>
      </c>
      <c r="D650" t="s">
        <v>50</v>
      </c>
      <c r="E650">
        <v>1</v>
      </c>
      <c r="F650">
        <v>15</v>
      </c>
      <c r="G650">
        <v>4.93</v>
      </c>
      <c r="H650" t="s">
        <v>324</v>
      </c>
      <c r="I650" t="s">
        <v>62</v>
      </c>
      <c r="J650" t="s">
        <v>27</v>
      </c>
      <c r="K650" t="s">
        <v>28</v>
      </c>
      <c r="L650">
        <f t="shared" si="30"/>
        <v>15</v>
      </c>
      <c r="M650">
        <f t="shared" si="31"/>
        <v>4.93</v>
      </c>
      <c r="N650">
        <f t="shared" si="32"/>
        <v>10.07</v>
      </c>
      <c r="O650" cm="1">
        <f t="array" ref="O650">_xlfn.LET(_xlpm.cat, Greenleaf[[#This Row],[Product Category]], _xlpm.prices, _xlfn._xlws.FILTER(Greenleaf[Unit Price], (Greenleaf[Product Category]=_xlpm.cat)*(Greenleaf[Unit Price]&lt;&gt;"")), IFERROR(MEDIAN(_xlpm.prices), ""))</f>
        <v>15</v>
      </c>
      <c r="P650">
        <f>IF(Greenleaf[[#This Row],[Shipment Status]]="Returned",1,0)</f>
        <v>0</v>
      </c>
      <c r="Q650">
        <f>IF(Greenleaf[[#This Row],[Shipment Status]]="Delivered",1,0)</f>
        <v>1</v>
      </c>
    </row>
    <row r="651" spans="1:17" x14ac:dyDescent="0.45">
      <c r="A651" t="s">
        <v>1000</v>
      </c>
      <c r="B651">
        <v>45524</v>
      </c>
      <c r="C651" t="s">
        <v>16</v>
      </c>
      <c r="D651" t="s">
        <v>17</v>
      </c>
      <c r="E651">
        <v>2</v>
      </c>
      <c r="F651">
        <v>10</v>
      </c>
      <c r="G651">
        <v>3.11</v>
      </c>
      <c r="H651" t="s">
        <v>858</v>
      </c>
      <c r="I651" t="s">
        <v>859</v>
      </c>
      <c r="J651" t="s">
        <v>27</v>
      </c>
      <c r="K651" t="s">
        <v>43</v>
      </c>
      <c r="L651">
        <f t="shared" si="30"/>
        <v>20</v>
      </c>
      <c r="M651">
        <f t="shared" si="31"/>
        <v>6.22</v>
      </c>
      <c r="N651">
        <f t="shared" si="32"/>
        <v>13.780000000000001</v>
      </c>
      <c r="O651" cm="1">
        <f t="array" ref="O651">_xlfn.LET(_xlpm.cat, Greenleaf[[#This Row],[Product Category]], _xlpm.prices, _xlfn._xlws.FILTER(Greenleaf[Unit Price], (Greenleaf[Product Category]=_xlpm.cat)*(Greenleaf[Unit Price]&lt;&gt;"")), IFERROR(MEDIAN(_xlpm.prices), ""))</f>
        <v>10</v>
      </c>
      <c r="P651">
        <f>IF(Greenleaf[[#This Row],[Shipment Status]]="Returned",1,0)</f>
        <v>0</v>
      </c>
      <c r="Q651">
        <f>IF(Greenleaf[[#This Row],[Shipment Status]]="Delivered",1,0)</f>
        <v>1</v>
      </c>
    </row>
    <row r="652" spans="1:17" x14ac:dyDescent="0.45">
      <c r="A652" t="s">
        <v>1001</v>
      </c>
      <c r="B652">
        <v>45524</v>
      </c>
      <c r="C652" t="s">
        <v>49</v>
      </c>
      <c r="D652" t="s">
        <v>50</v>
      </c>
      <c r="E652">
        <v>1</v>
      </c>
      <c r="F652">
        <v>15</v>
      </c>
      <c r="G652">
        <v>4.5599999999999996</v>
      </c>
      <c r="H652" t="s">
        <v>802</v>
      </c>
      <c r="I652" t="s">
        <v>333</v>
      </c>
      <c r="J652" t="s">
        <v>27</v>
      </c>
      <c r="K652" t="s">
        <v>74</v>
      </c>
      <c r="L652">
        <f t="shared" si="30"/>
        <v>15</v>
      </c>
      <c r="M652">
        <f t="shared" si="31"/>
        <v>4.5599999999999996</v>
      </c>
      <c r="N652">
        <f t="shared" si="32"/>
        <v>10.440000000000001</v>
      </c>
      <c r="O652" cm="1">
        <f t="array" ref="O652">_xlfn.LET(_xlpm.cat, Greenleaf[[#This Row],[Product Category]], _xlpm.prices, _xlfn._xlws.FILTER(Greenleaf[Unit Price], (Greenleaf[Product Category]=_xlpm.cat)*(Greenleaf[Unit Price]&lt;&gt;"")), IFERROR(MEDIAN(_xlpm.prices), ""))</f>
        <v>15</v>
      </c>
      <c r="P652">
        <f>IF(Greenleaf[[#This Row],[Shipment Status]]="Returned",1,0)</f>
        <v>0</v>
      </c>
      <c r="Q652">
        <f>IF(Greenleaf[[#This Row],[Shipment Status]]="Delivered",1,0)</f>
        <v>1</v>
      </c>
    </row>
    <row r="653" spans="1:17" x14ac:dyDescent="0.45">
      <c r="A653" t="s">
        <v>1002</v>
      </c>
      <c r="B653">
        <v>45524</v>
      </c>
      <c r="C653" t="s">
        <v>49</v>
      </c>
      <c r="D653" t="s">
        <v>50</v>
      </c>
      <c r="E653">
        <v>1</v>
      </c>
      <c r="F653">
        <v>15</v>
      </c>
      <c r="G653">
        <v>4.25</v>
      </c>
      <c r="H653" t="s">
        <v>418</v>
      </c>
      <c r="I653" t="s">
        <v>105</v>
      </c>
      <c r="J653" t="s">
        <v>27</v>
      </c>
      <c r="K653" t="s">
        <v>43</v>
      </c>
      <c r="L653">
        <f t="shared" si="30"/>
        <v>15</v>
      </c>
      <c r="M653">
        <f t="shared" si="31"/>
        <v>4.25</v>
      </c>
      <c r="N653">
        <f t="shared" si="32"/>
        <v>10.75</v>
      </c>
      <c r="O653" cm="1">
        <f t="array" ref="O653">_xlfn.LET(_xlpm.cat, Greenleaf[[#This Row],[Product Category]], _xlpm.prices, _xlfn._xlws.FILTER(Greenleaf[Unit Price], (Greenleaf[Product Category]=_xlpm.cat)*(Greenleaf[Unit Price]&lt;&gt;"")), IFERROR(MEDIAN(_xlpm.prices), ""))</f>
        <v>15</v>
      </c>
      <c r="P653">
        <f>IF(Greenleaf[[#This Row],[Shipment Status]]="Returned",1,0)</f>
        <v>0</v>
      </c>
      <c r="Q653">
        <f>IF(Greenleaf[[#This Row],[Shipment Status]]="Delivered",1,0)</f>
        <v>1</v>
      </c>
    </row>
    <row r="654" spans="1:17" x14ac:dyDescent="0.45">
      <c r="A654" t="s">
        <v>1003</v>
      </c>
      <c r="B654">
        <v>45524</v>
      </c>
      <c r="C654" t="s">
        <v>30</v>
      </c>
      <c r="D654" t="s">
        <v>31</v>
      </c>
      <c r="E654">
        <v>3</v>
      </c>
      <c r="F654">
        <v>40</v>
      </c>
      <c r="G654">
        <v>15.7</v>
      </c>
      <c r="H654" t="s">
        <v>230</v>
      </c>
      <c r="I654" t="s">
        <v>225</v>
      </c>
      <c r="J654" t="s">
        <v>20</v>
      </c>
      <c r="K654" t="s">
        <v>74</v>
      </c>
      <c r="L654">
        <f t="shared" si="30"/>
        <v>120</v>
      </c>
      <c r="M654">
        <f t="shared" si="31"/>
        <v>47.099999999999994</v>
      </c>
      <c r="N654">
        <f t="shared" si="32"/>
        <v>72.900000000000006</v>
      </c>
      <c r="O654" cm="1">
        <f t="array" ref="O654">_xlfn.LET(_xlpm.cat, Greenleaf[[#This Row],[Product Category]], _xlpm.prices, _xlfn._xlws.FILTER(Greenleaf[Unit Price], (Greenleaf[Product Category]=_xlpm.cat)*(Greenleaf[Unit Price]&lt;&gt;"")), IFERROR(MEDIAN(_xlpm.prices), ""))</f>
        <v>40</v>
      </c>
      <c r="P654">
        <f>IF(Greenleaf[[#This Row],[Shipment Status]]="Returned",1,0)</f>
        <v>0</v>
      </c>
      <c r="Q654">
        <f>IF(Greenleaf[[#This Row],[Shipment Status]]="Delivered",1,0)</f>
        <v>0</v>
      </c>
    </row>
    <row r="655" spans="1:17" x14ac:dyDescent="0.45">
      <c r="A655" t="s">
        <v>1004</v>
      </c>
      <c r="B655">
        <v>45525</v>
      </c>
      <c r="C655" t="s">
        <v>66</v>
      </c>
      <c r="D655" t="s">
        <v>67</v>
      </c>
      <c r="E655">
        <v>1</v>
      </c>
      <c r="F655">
        <v>12</v>
      </c>
      <c r="G655">
        <v>3.08</v>
      </c>
      <c r="H655" t="s">
        <v>235</v>
      </c>
      <c r="I655" t="s">
        <v>236</v>
      </c>
      <c r="J655" t="s">
        <v>27</v>
      </c>
      <c r="K655" t="s">
        <v>38</v>
      </c>
      <c r="L655">
        <f t="shared" si="30"/>
        <v>12</v>
      </c>
      <c r="M655">
        <f t="shared" si="31"/>
        <v>3.08</v>
      </c>
      <c r="N655">
        <f t="shared" si="32"/>
        <v>8.92</v>
      </c>
      <c r="O655" cm="1">
        <f t="array" ref="O655">_xlfn.LET(_xlpm.cat, Greenleaf[[#This Row],[Product Category]], _xlpm.prices, _xlfn._xlws.FILTER(Greenleaf[Unit Price], (Greenleaf[Product Category]=_xlpm.cat)*(Greenleaf[Unit Price]&lt;&gt;"")), IFERROR(MEDIAN(_xlpm.prices), ""))</f>
        <v>12</v>
      </c>
      <c r="P655">
        <f>IF(Greenleaf[[#This Row],[Shipment Status]]="Returned",1,0)</f>
        <v>0</v>
      </c>
      <c r="Q655">
        <f>IF(Greenleaf[[#This Row],[Shipment Status]]="Delivered",1,0)</f>
        <v>1</v>
      </c>
    </row>
    <row r="656" spans="1:17" x14ac:dyDescent="0.45">
      <c r="A656" t="s">
        <v>1005</v>
      </c>
      <c r="B656">
        <v>45526</v>
      </c>
      <c r="C656" t="s">
        <v>30</v>
      </c>
      <c r="D656" t="s">
        <v>31</v>
      </c>
      <c r="E656">
        <v>8</v>
      </c>
      <c r="F656">
        <v>40</v>
      </c>
      <c r="G656">
        <v>14.45</v>
      </c>
      <c r="H656" t="s">
        <v>259</v>
      </c>
      <c r="I656" t="s">
        <v>260</v>
      </c>
      <c r="J656" t="s">
        <v>20</v>
      </c>
      <c r="K656" t="s">
        <v>43</v>
      </c>
      <c r="L656">
        <f t="shared" si="30"/>
        <v>320</v>
      </c>
      <c r="M656">
        <f t="shared" si="31"/>
        <v>115.6</v>
      </c>
      <c r="N656">
        <f t="shared" si="32"/>
        <v>204.4</v>
      </c>
      <c r="O656" cm="1">
        <f t="array" ref="O656">_xlfn.LET(_xlpm.cat, Greenleaf[[#This Row],[Product Category]], _xlpm.prices, _xlfn._xlws.FILTER(Greenleaf[Unit Price], (Greenleaf[Product Category]=_xlpm.cat)*(Greenleaf[Unit Price]&lt;&gt;"")), IFERROR(MEDIAN(_xlpm.prices), ""))</f>
        <v>40</v>
      </c>
      <c r="P656">
        <f>IF(Greenleaf[[#This Row],[Shipment Status]]="Returned",1,0)</f>
        <v>0</v>
      </c>
      <c r="Q656">
        <f>IF(Greenleaf[[#This Row],[Shipment Status]]="Delivered",1,0)</f>
        <v>0</v>
      </c>
    </row>
    <row r="657" spans="1:17" x14ac:dyDescent="0.45">
      <c r="A657" t="s">
        <v>1006</v>
      </c>
      <c r="B657">
        <v>45526</v>
      </c>
      <c r="C657" t="s">
        <v>49</v>
      </c>
      <c r="D657" t="s">
        <v>50</v>
      </c>
      <c r="E657">
        <v>6</v>
      </c>
      <c r="F657">
        <v>15</v>
      </c>
      <c r="G657">
        <v>3.14</v>
      </c>
      <c r="H657" t="s">
        <v>479</v>
      </c>
      <c r="I657" t="s">
        <v>480</v>
      </c>
      <c r="J657" t="s">
        <v>47</v>
      </c>
      <c r="K657" t="s">
        <v>70</v>
      </c>
      <c r="L657">
        <f t="shared" si="30"/>
        <v>90</v>
      </c>
      <c r="M657">
        <f t="shared" si="31"/>
        <v>18.84</v>
      </c>
      <c r="N657">
        <f t="shared" si="32"/>
        <v>71.16</v>
      </c>
      <c r="O657" cm="1">
        <f t="array" ref="O657">_xlfn.LET(_xlpm.cat, Greenleaf[[#This Row],[Product Category]], _xlpm.prices, _xlfn._xlws.FILTER(Greenleaf[Unit Price], (Greenleaf[Product Category]=_xlpm.cat)*(Greenleaf[Unit Price]&lt;&gt;"")), IFERROR(MEDIAN(_xlpm.prices), ""))</f>
        <v>15</v>
      </c>
      <c r="P657">
        <f>IF(Greenleaf[[#This Row],[Shipment Status]]="Returned",1,0)</f>
        <v>0</v>
      </c>
      <c r="Q657">
        <f>IF(Greenleaf[[#This Row],[Shipment Status]]="Delivered",1,0)</f>
        <v>0</v>
      </c>
    </row>
    <row r="658" spans="1:17" x14ac:dyDescent="0.45">
      <c r="A658" t="s">
        <v>1007</v>
      </c>
      <c r="B658">
        <v>45526</v>
      </c>
      <c r="C658" t="s">
        <v>16</v>
      </c>
      <c r="D658" t="s">
        <v>17</v>
      </c>
      <c r="E658">
        <v>2</v>
      </c>
      <c r="F658">
        <v>10</v>
      </c>
      <c r="G658">
        <v>3.83</v>
      </c>
      <c r="H658" t="s">
        <v>578</v>
      </c>
      <c r="I658" t="s">
        <v>93</v>
      </c>
      <c r="J658" t="s">
        <v>27</v>
      </c>
      <c r="K658" t="s">
        <v>34</v>
      </c>
      <c r="L658">
        <f t="shared" si="30"/>
        <v>20</v>
      </c>
      <c r="M658">
        <f t="shared" si="31"/>
        <v>7.66</v>
      </c>
      <c r="N658">
        <f t="shared" si="32"/>
        <v>12.34</v>
      </c>
      <c r="O658" cm="1">
        <f t="array" ref="O658">_xlfn.LET(_xlpm.cat, Greenleaf[[#This Row],[Product Category]], _xlpm.prices, _xlfn._xlws.FILTER(Greenleaf[Unit Price], (Greenleaf[Product Category]=_xlpm.cat)*(Greenleaf[Unit Price]&lt;&gt;"")), IFERROR(MEDIAN(_xlpm.prices), ""))</f>
        <v>10</v>
      </c>
      <c r="P658">
        <f>IF(Greenleaf[[#This Row],[Shipment Status]]="Returned",1,0)</f>
        <v>0</v>
      </c>
      <c r="Q658">
        <f>IF(Greenleaf[[#This Row],[Shipment Status]]="Delivered",1,0)</f>
        <v>1</v>
      </c>
    </row>
    <row r="659" spans="1:17" x14ac:dyDescent="0.45">
      <c r="A659" t="s">
        <v>1008</v>
      </c>
      <c r="B659">
        <v>45527</v>
      </c>
      <c r="C659" t="s">
        <v>30</v>
      </c>
      <c r="D659" t="s">
        <v>31</v>
      </c>
      <c r="E659">
        <v>6</v>
      </c>
      <c r="F659">
        <v>40</v>
      </c>
      <c r="G659">
        <v>8.43</v>
      </c>
      <c r="H659" t="s">
        <v>361</v>
      </c>
      <c r="I659" t="s">
        <v>357</v>
      </c>
      <c r="J659" t="s">
        <v>27</v>
      </c>
      <c r="K659" t="s">
        <v>70</v>
      </c>
      <c r="L659">
        <f t="shared" si="30"/>
        <v>240</v>
      </c>
      <c r="M659">
        <f t="shared" si="31"/>
        <v>50.58</v>
      </c>
      <c r="N659">
        <f t="shared" si="32"/>
        <v>189.42000000000002</v>
      </c>
      <c r="O659" cm="1">
        <f t="array" ref="O659">_xlfn.LET(_xlpm.cat, Greenleaf[[#This Row],[Product Category]], _xlpm.prices, _xlfn._xlws.FILTER(Greenleaf[Unit Price], (Greenleaf[Product Category]=_xlpm.cat)*(Greenleaf[Unit Price]&lt;&gt;"")), IFERROR(MEDIAN(_xlpm.prices), ""))</f>
        <v>40</v>
      </c>
      <c r="P659">
        <f>IF(Greenleaf[[#This Row],[Shipment Status]]="Returned",1,0)</f>
        <v>0</v>
      </c>
      <c r="Q659">
        <f>IF(Greenleaf[[#This Row],[Shipment Status]]="Delivered",1,0)</f>
        <v>1</v>
      </c>
    </row>
    <row r="660" spans="1:17" x14ac:dyDescent="0.45">
      <c r="A660" t="s">
        <v>1009</v>
      </c>
      <c r="B660">
        <v>45527</v>
      </c>
      <c r="C660" t="s">
        <v>23</v>
      </c>
      <c r="D660" t="s">
        <v>24</v>
      </c>
      <c r="E660">
        <v>6</v>
      </c>
      <c r="F660">
        <v>25</v>
      </c>
      <c r="G660">
        <v>6.23</v>
      </c>
      <c r="H660" t="s">
        <v>510</v>
      </c>
      <c r="I660" t="s">
        <v>511</v>
      </c>
      <c r="J660" t="s">
        <v>27</v>
      </c>
      <c r="K660" t="s">
        <v>43</v>
      </c>
      <c r="L660">
        <f t="shared" si="30"/>
        <v>150</v>
      </c>
      <c r="M660">
        <f t="shared" si="31"/>
        <v>37.380000000000003</v>
      </c>
      <c r="N660">
        <f t="shared" si="32"/>
        <v>112.62</v>
      </c>
      <c r="O660" cm="1">
        <f t="array" ref="O660">_xlfn.LET(_xlpm.cat, Greenleaf[[#This Row],[Product Category]], _xlpm.prices, _xlfn._xlws.FILTER(Greenleaf[Unit Price], (Greenleaf[Product Category]=_xlpm.cat)*(Greenleaf[Unit Price]&lt;&gt;"")), IFERROR(MEDIAN(_xlpm.prices), ""))</f>
        <v>25</v>
      </c>
      <c r="P660">
        <f>IF(Greenleaf[[#This Row],[Shipment Status]]="Returned",1,0)</f>
        <v>0</v>
      </c>
      <c r="Q660">
        <f>IF(Greenleaf[[#This Row],[Shipment Status]]="Delivered",1,0)</f>
        <v>1</v>
      </c>
    </row>
    <row r="661" spans="1:17" x14ac:dyDescent="0.45">
      <c r="A661" t="s">
        <v>1010</v>
      </c>
      <c r="B661">
        <v>45527</v>
      </c>
      <c r="C661" t="s">
        <v>66</v>
      </c>
      <c r="D661" t="s">
        <v>67</v>
      </c>
      <c r="E661">
        <v>8</v>
      </c>
      <c r="F661">
        <v>12</v>
      </c>
      <c r="G661">
        <v>4.07</v>
      </c>
      <c r="H661" t="s">
        <v>300</v>
      </c>
      <c r="I661" t="s">
        <v>167</v>
      </c>
      <c r="J661" t="s">
        <v>27</v>
      </c>
      <c r="K661" t="s">
        <v>28</v>
      </c>
      <c r="L661">
        <f t="shared" si="30"/>
        <v>96</v>
      </c>
      <c r="M661">
        <f t="shared" si="31"/>
        <v>32.56</v>
      </c>
      <c r="N661">
        <f t="shared" si="32"/>
        <v>63.44</v>
      </c>
      <c r="O661" cm="1">
        <f t="array" ref="O661">_xlfn.LET(_xlpm.cat, Greenleaf[[#This Row],[Product Category]], _xlpm.prices, _xlfn._xlws.FILTER(Greenleaf[Unit Price], (Greenleaf[Product Category]=_xlpm.cat)*(Greenleaf[Unit Price]&lt;&gt;"")), IFERROR(MEDIAN(_xlpm.prices), ""))</f>
        <v>12</v>
      </c>
      <c r="P661">
        <f>IF(Greenleaf[[#This Row],[Shipment Status]]="Returned",1,0)</f>
        <v>0</v>
      </c>
      <c r="Q661">
        <f>IF(Greenleaf[[#This Row],[Shipment Status]]="Delivered",1,0)</f>
        <v>1</v>
      </c>
    </row>
    <row r="662" spans="1:17" x14ac:dyDescent="0.45">
      <c r="A662" t="s">
        <v>1011</v>
      </c>
      <c r="B662">
        <v>45527</v>
      </c>
      <c r="C662" t="s">
        <v>16</v>
      </c>
      <c r="D662" t="s">
        <v>17</v>
      </c>
      <c r="E662">
        <v>6</v>
      </c>
      <c r="F662">
        <v>10</v>
      </c>
      <c r="G662">
        <v>2.44</v>
      </c>
      <c r="H662" t="s">
        <v>1012</v>
      </c>
      <c r="I662" t="s">
        <v>1013</v>
      </c>
      <c r="J662" t="s">
        <v>27</v>
      </c>
      <c r="K662" t="s">
        <v>43</v>
      </c>
      <c r="L662">
        <f t="shared" si="30"/>
        <v>60</v>
      </c>
      <c r="M662">
        <f t="shared" si="31"/>
        <v>14.64</v>
      </c>
      <c r="N662">
        <f t="shared" si="32"/>
        <v>45.36</v>
      </c>
      <c r="O662" cm="1">
        <f t="array" ref="O662">_xlfn.LET(_xlpm.cat, Greenleaf[[#This Row],[Product Category]], _xlpm.prices, _xlfn._xlws.FILTER(Greenleaf[Unit Price], (Greenleaf[Product Category]=_xlpm.cat)*(Greenleaf[Unit Price]&lt;&gt;"")), IFERROR(MEDIAN(_xlpm.prices), ""))</f>
        <v>10</v>
      </c>
      <c r="P662">
        <f>IF(Greenleaf[[#This Row],[Shipment Status]]="Returned",1,0)</f>
        <v>0</v>
      </c>
      <c r="Q662">
        <f>IF(Greenleaf[[#This Row],[Shipment Status]]="Delivered",1,0)</f>
        <v>1</v>
      </c>
    </row>
    <row r="663" spans="1:17" x14ac:dyDescent="0.45">
      <c r="A663" t="s">
        <v>1014</v>
      </c>
      <c r="B663">
        <v>45527</v>
      </c>
      <c r="C663" t="s">
        <v>23</v>
      </c>
      <c r="D663" t="s">
        <v>24</v>
      </c>
      <c r="E663">
        <v>1</v>
      </c>
      <c r="F663">
        <v>25</v>
      </c>
      <c r="G663">
        <v>6.31</v>
      </c>
      <c r="H663" t="s">
        <v>783</v>
      </c>
      <c r="I663" t="s">
        <v>784</v>
      </c>
      <c r="J663" t="s">
        <v>27</v>
      </c>
      <c r="K663" t="s">
        <v>74</v>
      </c>
      <c r="L663">
        <f t="shared" si="30"/>
        <v>25</v>
      </c>
      <c r="M663">
        <f t="shared" si="31"/>
        <v>6.31</v>
      </c>
      <c r="N663">
        <f t="shared" si="32"/>
        <v>18.690000000000001</v>
      </c>
      <c r="O663" cm="1">
        <f t="array" ref="O663">_xlfn.LET(_xlpm.cat, Greenleaf[[#This Row],[Product Category]], _xlpm.prices, _xlfn._xlws.FILTER(Greenleaf[Unit Price], (Greenleaf[Product Category]=_xlpm.cat)*(Greenleaf[Unit Price]&lt;&gt;"")), IFERROR(MEDIAN(_xlpm.prices), ""))</f>
        <v>25</v>
      </c>
      <c r="P663">
        <f>IF(Greenleaf[[#This Row],[Shipment Status]]="Returned",1,0)</f>
        <v>0</v>
      </c>
      <c r="Q663">
        <f>IF(Greenleaf[[#This Row],[Shipment Status]]="Delivered",1,0)</f>
        <v>1</v>
      </c>
    </row>
    <row r="664" spans="1:17" x14ac:dyDescent="0.45">
      <c r="A664" t="s">
        <v>1015</v>
      </c>
      <c r="B664">
        <v>45528</v>
      </c>
      <c r="C664" t="s">
        <v>23</v>
      </c>
      <c r="D664" t="s">
        <v>24</v>
      </c>
      <c r="E664">
        <v>5</v>
      </c>
      <c r="F664">
        <v>25</v>
      </c>
      <c r="G664">
        <v>7.47</v>
      </c>
      <c r="H664" t="s">
        <v>185</v>
      </c>
      <c r="I664" t="s">
        <v>186</v>
      </c>
      <c r="J664" t="s">
        <v>27</v>
      </c>
      <c r="K664" t="s">
        <v>38</v>
      </c>
      <c r="L664">
        <f t="shared" si="30"/>
        <v>125</v>
      </c>
      <c r="M664">
        <f t="shared" si="31"/>
        <v>37.35</v>
      </c>
      <c r="N664">
        <f t="shared" si="32"/>
        <v>87.65</v>
      </c>
      <c r="O664" cm="1">
        <f t="array" ref="O664">_xlfn.LET(_xlpm.cat, Greenleaf[[#This Row],[Product Category]], _xlpm.prices, _xlfn._xlws.FILTER(Greenleaf[Unit Price], (Greenleaf[Product Category]=_xlpm.cat)*(Greenleaf[Unit Price]&lt;&gt;"")), IFERROR(MEDIAN(_xlpm.prices), ""))</f>
        <v>25</v>
      </c>
      <c r="P664">
        <f>IF(Greenleaf[[#This Row],[Shipment Status]]="Returned",1,0)</f>
        <v>0</v>
      </c>
      <c r="Q664">
        <f>IF(Greenleaf[[#This Row],[Shipment Status]]="Delivered",1,0)</f>
        <v>1</v>
      </c>
    </row>
    <row r="665" spans="1:17" x14ac:dyDescent="0.45">
      <c r="A665" t="s">
        <v>1016</v>
      </c>
      <c r="B665">
        <v>45528</v>
      </c>
      <c r="C665" t="s">
        <v>49</v>
      </c>
      <c r="D665" t="s">
        <v>50</v>
      </c>
      <c r="E665">
        <v>3</v>
      </c>
      <c r="F665">
        <v>15</v>
      </c>
      <c r="G665">
        <v>5.58</v>
      </c>
      <c r="H665" t="s">
        <v>72</v>
      </c>
      <c r="I665" t="s">
        <v>73</v>
      </c>
      <c r="J665" t="s">
        <v>27</v>
      </c>
      <c r="K665" t="s">
        <v>21</v>
      </c>
      <c r="L665">
        <f t="shared" si="30"/>
        <v>45</v>
      </c>
      <c r="M665">
        <f t="shared" si="31"/>
        <v>16.740000000000002</v>
      </c>
      <c r="N665">
        <f t="shared" si="32"/>
        <v>28.259999999999998</v>
      </c>
      <c r="O665" cm="1">
        <f t="array" ref="O665">_xlfn.LET(_xlpm.cat, Greenleaf[[#This Row],[Product Category]], _xlpm.prices, _xlfn._xlws.FILTER(Greenleaf[Unit Price], (Greenleaf[Product Category]=_xlpm.cat)*(Greenleaf[Unit Price]&lt;&gt;"")), IFERROR(MEDIAN(_xlpm.prices), ""))</f>
        <v>15</v>
      </c>
      <c r="P665">
        <f>IF(Greenleaf[[#This Row],[Shipment Status]]="Returned",1,0)</f>
        <v>0</v>
      </c>
      <c r="Q665">
        <f>IF(Greenleaf[[#This Row],[Shipment Status]]="Delivered",1,0)</f>
        <v>1</v>
      </c>
    </row>
    <row r="666" spans="1:17" x14ac:dyDescent="0.45">
      <c r="A666" t="s">
        <v>1017</v>
      </c>
      <c r="B666">
        <v>45528</v>
      </c>
      <c r="C666" t="s">
        <v>49</v>
      </c>
      <c r="D666" t="s">
        <v>50</v>
      </c>
      <c r="E666">
        <v>9</v>
      </c>
      <c r="F666">
        <v>15</v>
      </c>
      <c r="G666">
        <v>3.44</v>
      </c>
      <c r="H666" t="s">
        <v>203</v>
      </c>
      <c r="I666" t="s">
        <v>204</v>
      </c>
      <c r="J666" t="s">
        <v>27</v>
      </c>
      <c r="K666" t="s">
        <v>38</v>
      </c>
      <c r="L666">
        <f t="shared" si="30"/>
        <v>135</v>
      </c>
      <c r="M666">
        <f t="shared" si="31"/>
        <v>30.96</v>
      </c>
      <c r="N666">
        <f t="shared" si="32"/>
        <v>104.03999999999999</v>
      </c>
      <c r="O666" cm="1">
        <f t="array" ref="O666">_xlfn.LET(_xlpm.cat, Greenleaf[[#This Row],[Product Category]], _xlpm.prices, _xlfn._xlws.FILTER(Greenleaf[Unit Price], (Greenleaf[Product Category]=_xlpm.cat)*(Greenleaf[Unit Price]&lt;&gt;"")), IFERROR(MEDIAN(_xlpm.prices), ""))</f>
        <v>15</v>
      </c>
      <c r="P666">
        <f>IF(Greenleaf[[#This Row],[Shipment Status]]="Returned",1,0)</f>
        <v>0</v>
      </c>
      <c r="Q666">
        <f>IF(Greenleaf[[#This Row],[Shipment Status]]="Delivered",1,0)</f>
        <v>1</v>
      </c>
    </row>
    <row r="667" spans="1:17" x14ac:dyDescent="0.45">
      <c r="A667" t="s">
        <v>1018</v>
      </c>
      <c r="B667">
        <v>45528</v>
      </c>
      <c r="C667" t="s">
        <v>23</v>
      </c>
      <c r="D667" t="s">
        <v>24</v>
      </c>
      <c r="E667">
        <v>8</v>
      </c>
      <c r="F667">
        <v>25</v>
      </c>
      <c r="G667">
        <v>9.1300000000000008</v>
      </c>
      <c r="H667" t="s">
        <v>174</v>
      </c>
      <c r="I667" t="s">
        <v>112</v>
      </c>
      <c r="J667" t="s">
        <v>20</v>
      </c>
      <c r="K667" t="s">
        <v>43</v>
      </c>
      <c r="L667">
        <f t="shared" si="30"/>
        <v>200</v>
      </c>
      <c r="M667">
        <f t="shared" si="31"/>
        <v>73.040000000000006</v>
      </c>
      <c r="N667">
        <f t="shared" si="32"/>
        <v>126.96</v>
      </c>
      <c r="O667" cm="1">
        <f t="array" ref="O667">_xlfn.LET(_xlpm.cat, Greenleaf[[#This Row],[Product Category]], _xlpm.prices, _xlfn._xlws.FILTER(Greenleaf[Unit Price], (Greenleaf[Product Category]=_xlpm.cat)*(Greenleaf[Unit Price]&lt;&gt;"")), IFERROR(MEDIAN(_xlpm.prices), ""))</f>
        <v>25</v>
      </c>
      <c r="P667">
        <f>IF(Greenleaf[[#This Row],[Shipment Status]]="Returned",1,0)</f>
        <v>0</v>
      </c>
      <c r="Q667">
        <f>IF(Greenleaf[[#This Row],[Shipment Status]]="Delivered",1,0)</f>
        <v>0</v>
      </c>
    </row>
    <row r="668" spans="1:17" x14ac:dyDescent="0.45">
      <c r="A668" t="s">
        <v>1019</v>
      </c>
      <c r="B668">
        <v>45528</v>
      </c>
      <c r="C668" t="s">
        <v>66</v>
      </c>
      <c r="D668" t="s">
        <v>67</v>
      </c>
      <c r="E668">
        <v>3</v>
      </c>
      <c r="F668">
        <v>12</v>
      </c>
      <c r="G668">
        <v>2.71</v>
      </c>
      <c r="H668" t="s">
        <v>763</v>
      </c>
      <c r="I668" t="s">
        <v>210</v>
      </c>
      <c r="J668" t="s">
        <v>27</v>
      </c>
      <c r="K668" t="s">
        <v>56</v>
      </c>
      <c r="L668">
        <f t="shared" si="30"/>
        <v>36</v>
      </c>
      <c r="M668">
        <f t="shared" si="31"/>
        <v>8.129999999999999</v>
      </c>
      <c r="N668">
        <f t="shared" si="32"/>
        <v>27.87</v>
      </c>
      <c r="O668" cm="1">
        <f t="array" ref="O668">_xlfn.LET(_xlpm.cat, Greenleaf[[#This Row],[Product Category]], _xlpm.prices, _xlfn._xlws.FILTER(Greenleaf[Unit Price], (Greenleaf[Product Category]=_xlpm.cat)*(Greenleaf[Unit Price]&lt;&gt;"")), IFERROR(MEDIAN(_xlpm.prices), ""))</f>
        <v>12</v>
      </c>
      <c r="P668">
        <f>IF(Greenleaf[[#This Row],[Shipment Status]]="Returned",1,0)</f>
        <v>0</v>
      </c>
      <c r="Q668">
        <f>IF(Greenleaf[[#This Row],[Shipment Status]]="Delivered",1,0)</f>
        <v>1</v>
      </c>
    </row>
    <row r="669" spans="1:17" x14ac:dyDescent="0.45">
      <c r="A669" t="s">
        <v>1020</v>
      </c>
      <c r="B669">
        <v>45528</v>
      </c>
      <c r="C669" t="s">
        <v>49</v>
      </c>
      <c r="D669" t="s">
        <v>50</v>
      </c>
      <c r="E669">
        <v>5</v>
      </c>
      <c r="F669">
        <v>15</v>
      </c>
      <c r="G669">
        <v>3.09</v>
      </c>
      <c r="H669" t="s">
        <v>313</v>
      </c>
      <c r="I669" t="s">
        <v>314</v>
      </c>
      <c r="J669" t="s">
        <v>27</v>
      </c>
      <c r="K669" t="s">
        <v>21</v>
      </c>
      <c r="L669">
        <f t="shared" si="30"/>
        <v>75</v>
      </c>
      <c r="M669">
        <f t="shared" si="31"/>
        <v>15.45</v>
      </c>
      <c r="N669">
        <f t="shared" si="32"/>
        <v>59.55</v>
      </c>
      <c r="O669" cm="1">
        <f t="array" ref="O669">_xlfn.LET(_xlpm.cat, Greenleaf[[#This Row],[Product Category]], _xlpm.prices, _xlfn._xlws.FILTER(Greenleaf[Unit Price], (Greenleaf[Product Category]=_xlpm.cat)*(Greenleaf[Unit Price]&lt;&gt;"")), IFERROR(MEDIAN(_xlpm.prices), ""))</f>
        <v>15</v>
      </c>
      <c r="P669">
        <f>IF(Greenleaf[[#This Row],[Shipment Status]]="Returned",1,0)</f>
        <v>0</v>
      </c>
      <c r="Q669">
        <f>IF(Greenleaf[[#This Row],[Shipment Status]]="Delivered",1,0)</f>
        <v>1</v>
      </c>
    </row>
    <row r="670" spans="1:17" x14ac:dyDescent="0.45">
      <c r="A670" t="s">
        <v>1021</v>
      </c>
      <c r="B670">
        <v>45529</v>
      </c>
      <c r="C670" t="s">
        <v>16</v>
      </c>
      <c r="D670" t="s">
        <v>17</v>
      </c>
      <c r="E670">
        <v>2</v>
      </c>
      <c r="F670">
        <v>10</v>
      </c>
      <c r="G670">
        <v>3.22</v>
      </c>
      <c r="H670" t="s">
        <v>321</v>
      </c>
      <c r="I670" t="s">
        <v>322</v>
      </c>
      <c r="J670" t="s">
        <v>27</v>
      </c>
      <c r="K670" t="s">
        <v>56</v>
      </c>
      <c r="L670">
        <f t="shared" si="30"/>
        <v>20</v>
      </c>
      <c r="M670">
        <f t="shared" si="31"/>
        <v>6.44</v>
      </c>
      <c r="N670">
        <f t="shared" si="32"/>
        <v>13.559999999999999</v>
      </c>
      <c r="O670" cm="1">
        <f t="array" ref="O670">_xlfn.LET(_xlpm.cat, Greenleaf[[#This Row],[Product Category]], _xlpm.prices, _xlfn._xlws.FILTER(Greenleaf[Unit Price], (Greenleaf[Product Category]=_xlpm.cat)*(Greenleaf[Unit Price]&lt;&gt;"")), IFERROR(MEDIAN(_xlpm.prices), ""))</f>
        <v>10</v>
      </c>
      <c r="P670">
        <f>IF(Greenleaf[[#This Row],[Shipment Status]]="Returned",1,0)</f>
        <v>0</v>
      </c>
      <c r="Q670">
        <f>IF(Greenleaf[[#This Row],[Shipment Status]]="Delivered",1,0)</f>
        <v>1</v>
      </c>
    </row>
    <row r="671" spans="1:17" x14ac:dyDescent="0.45">
      <c r="A671" t="s">
        <v>1022</v>
      </c>
      <c r="B671">
        <v>45529</v>
      </c>
      <c r="C671" t="s">
        <v>66</v>
      </c>
      <c r="D671" t="s">
        <v>67</v>
      </c>
      <c r="E671">
        <v>1</v>
      </c>
      <c r="F671">
        <v>12</v>
      </c>
      <c r="G671">
        <v>2.5099999999999998</v>
      </c>
      <c r="H671" t="s">
        <v>434</v>
      </c>
      <c r="I671" t="s">
        <v>257</v>
      </c>
      <c r="J671" t="s">
        <v>27</v>
      </c>
      <c r="K671" t="s">
        <v>134</v>
      </c>
      <c r="L671">
        <f t="shared" si="30"/>
        <v>12</v>
      </c>
      <c r="M671">
        <f t="shared" si="31"/>
        <v>2.5099999999999998</v>
      </c>
      <c r="N671">
        <f t="shared" si="32"/>
        <v>9.49</v>
      </c>
      <c r="O671" cm="1">
        <f t="array" ref="O671">_xlfn.LET(_xlpm.cat, Greenleaf[[#This Row],[Product Category]], _xlpm.prices, _xlfn._xlws.FILTER(Greenleaf[Unit Price], (Greenleaf[Product Category]=_xlpm.cat)*(Greenleaf[Unit Price]&lt;&gt;"")), IFERROR(MEDIAN(_xlpm.prices), ""))</f>
        <v>12</v>
      </c>
      <c r="P671">
        <f>IF(Greenleaf[[#This Row],[Shipment Status]]="Returned",1,0)</f>
        <v>0</v>
      </c>
      <c r="Q671">
        <f>IF(Greenleaf[[#This Row],[Shipment Status]]="Delivered",1,0)</f>
        <v>1</v>
      </c>
    </row>
    <row r="672" spans="1:17" x14ac:dyDescent="0.45">
      <c r="A672" t="s">
        <v>1023</v>
      </c>
      <c r="B672">
        <v>45529</v>
      </c>
      <c r="C672" t="s">
        <v>49</v>
      </c>
      <c r="D672" t="s">
        <v>50</v>
      </c>
      <c r="E672">
        <v>2</v>
      </c>
      <c r="F672">
        <v>15</v>
      </c>
      <c r="G672">
        <v>3.49</v>
      </c>
      <c r="H672" t="s">
        <v>139</v>
      </c>
      <c r="I672" t="s">
        <v>140</v>
      </c>
      <c r="J672" t="s">
        <v>27</v>
      </c>
      <c r="K672" t="s">
        <v>38</v>
      </c>
      <c r="L672">
        <f t="shared" si="30"/>
        <v>30</v>
      </c>
      <c r="M672">
        <f t="shared" si="31"/>
        <v>6.98</v>
      </c>
      <c r="N672">
        <f t="shared" si="32"/>
        <v>23.02</v>
      </c>
      <c r="O672" cm="1">
        <f t="array" ref="O672">_xlfn.LET(_xlpm.cat, Greenleaf[[#This Row],[Product Category]], _xlpm.prices, _xlfn._xlws.FILTER(Greenleaf[Unit Price], (Greenleaf[Product Category]=_xlpm.cat)*(Greenleaf[Unit Price]&lt;&gt;"")), IFERROR(MEDIAN(_xlpm.prices), ""))</f>
        <v>15</v>
      </c>
      <c r="P672">
        <f>IF(Greenleaf[[#This Row],[Shipment Status]]="Returned",1,0)</f>
        <v>0</v>
      </c>
      <c r="Q672">
        <f>IF(Greenleaf[[#This Row],[Shipment Status]]="Delivered",1,0)</f>
        <v>1</v>
      </c>
    </row>
    <row r="673" spans="1:17" x14ac:dyDescent="0.45">
      <c r="A673" t="s">
        <v>1024</v>
      </c>
      <c r="B673">
        <v>45529</v>
      </c>
      <c r="C673" t="s">
        <v>49</v>
      </c>
      <c r="D673" t="s">
        <v>50</v>
      </c>
      <c r="E673">
        <v>8</v>
      </c>
      <c r="F673">
        <v>15</v>
      </c>
      <c r="G673">
        <v>5.72</v>
      </c>
      <c r="H673" t="s">
        <v>139</v>
      </c>
      <c r="I673" t="s">
        <v>140</v>
      </c>
      <c r="J673" t="s">
        <v>27</v>
      </c>
      <c r="K673" t="s">
        <v>134</v>
      </c>
      <c r="L673">
        <f t="shared" si="30"/>
        <v>120</v>
      </c>
      <c r="M673">
        <f t="shared" si="31"/>
        <v>45.76</v>
      </c>
      <c r="N673">
        <f t="shared" si="32"/>
        <v>74.240000000000009</v>
      </c>
      <c r="O673" cm="1">
        <f t="array" ref="O673">_xlfn.LET(_xlpm.cat, Greenleaf[[#This Row],[Product Category]], _xlpm.prices, _xlfn._xlws.FILTER(Greenleaf[Unit Price], (Greenleaf[Product Category]=_xlpm.cat)*(Greenleaf[Unit Price]&lt;&gt;"")), IFERROR(MEDIAN(_xlpm.prices), ""))</f>
        <v>15</v>
      </c>
      <c r="P673">
        <f>IF(Greenleaf[[#This Row],[Shipment Status]]="Returned",1,0)</f>
        <v>0</v>
      </c>
      <c r="Q673">
        <f>IF(Greenleaf[[#This Row],[Shipment Status]]="Delivered",1,0)</f>
        <v>1</v>
      </c>
    </row>
    <row r="674" spans="1:17" x14ac:dyDescent="0.45">
      <c r="A674" t="s">
        <v>1025</v>
      </c>
      <c r="B674">
        <v>45530</v>
      </c>
      <c r="C674" t="s">
        <v>30</v>
      </c>
      <c r="D674" t="s">
        <v>31</v>
      </c>
      <c r="E674">
        <v>4</v>
      </c>
      <c r="F674">
        <v>40</v>
      </c>
      <c r="G674">
        <v>15.33</v>
      </c>
      <c r="H674" t="s">
        <v>156</v>
      </c>
      <c r="I674" t="s">
        <v>55</v>
      </c>
      <c r="J674" t="s">
        <v>20</v>
      </c>
      <c r="K674" t="s">
        <v>74</v>
      </c>
      <c r="L674">
        <f t="shared" si="30"/>
        <v>160</v>
      </c>
      <c r="M674">
        <f t="shared" si="31"/>
        <v>61.32</v>
      </c>
      <c r="N674">
        <f t="shared" si="32"/>
        <v>98.68</v>
      </c>
      <c r="O674" cm="1">
        <f t="array" ref="O674">_xlfn.LET(_xlpm.cat, Greenleaf[[#This Row],[Product Category]], _xlpm.prices, _xlfn._xlws.FILTER(Greenleaf[Unit Price], (Greenleaf[Product Category]=_xlpm.cat)*(Greenleaf[Unit Price]&lt;&gt;"")), IFERROR(MEDIAN(_xlpm.prices), ""))</f>
        <v>40</v>
      </c>
      <c r="P674">
        <f>IF(Greenleaf[[#This Row],[Shipment Status]]="Returned",1,0)</f>
        <v>0</v>
      </c>
      <c r="Q674">
        <f>IF(Greenleaf[[#This Row],[Shipment Status]]="Delivered",1,0)</f>
        <v>0</v>
      </c>
    </row>
    <row r="675" spans="1:17" x14ac:dyDescent="0.45">
      <c r="A675" t="s">
        <v>1026</v>
      </c>
      <c r="B675">
        <v>45531</v>
      </c>
      <c r="C675" t="s">
        <v>30</v>
      </c>
      <c r="D675" t="s">
        <v>31</v>
      </c>
      <c r="E675">
        <v>4</v>
      </c>
      <c r="F675">
        <v>40</v>
      </c>
      <c r="G675">
        <v>11.38</v>
      </c>
      <c r="H675" t="s">
        <v>68</v>
      </c>
      <c r="I675" t="s">
        <v>69</v>
      </c>
      <c r="J675" t="s">
        <v>20</v>
      </c>
      <c r="K675" t="s">
        <v>28</v>
      </c>
      <c r="L675">
        <f t="shared" si="30"/>
        <v>160</v>
      </c>
      <c r="M675">
        <f t="shared" si="31"/>
        <v>45.52</v>
      </c>
      <c r="N675">
        <f t="shared" si="32"/>
        <v>114.47999999999999</v>
      </c>
      <c r="O675" cm="1">
        <f t="array" ref="O675">_xlfn.LET(_xlpm.cat, Greenleaf[[#This Row],[Product Category]], _xlpm.prices, _xlfn._xlws.FILTER(Greenleaf[Unit Price], (Greenleaf[Product Category]=_xlpm.cat)*(Greenleaf[Unit Price]&lt;&gt;"")), IFERROR(MEDIAN(_xlpm.prices), ""))</f>
        <v>40</v>
      </c>
      <c r="P675">
        <f>IF(Greenleaf[[#This Row],[Shipment Status]]="Returned",1,0)</f>
        <v>0</v>
      </c>
      <c r="Q675">
        <f>IF(Greenleaf[[#This Row],[Shipment Status]]="Delivered",1,0)</f>
        <v>0</v>
      </c>
    </row>
    <row r="676" spans="1:17" x14ac:dyDescent="0.45">
      <c r="A676" t="s">
        <v>1027</v>
      </c>
      <c r="B676">
        <v>45532</v>
      </c>
      <c r="C676" t="s">
        <v>23</v>
      </c>
      <c r="D676" t="s">
        <v>24</v>
      </c>
      <c r="E676">
        <v>10</v>
      </c>
      <c r="F676">
        <v>25</v>
      </c>
      <c r="G676">
        <v>6.25</v>
      </c>
      <c r="H676" t="s">
        <v>783</v>
      </c>
      <c r="I676" t="s">
        <v>784</v>
      </c>
      <c r="J676" t="s">
        <v>27</v>
      </c>
      <c r="K676" t="s">
        <v>59</v>
      </c>
      <c r="L676">
        <f t="shared" si="30"/>
        <v>250</v>
      </c>
      <c r="M676">
        <f t="shared" si="31"/>
        <v>62.5</v>
      </c>
      <c r="N676">
        <f t="shared" si="32"/>
        <v>187.5</v>
      </c>
      <c r="O676" cm="1">
        <f t="array" ref="O676">_xlfn.LET(_xlpm.cat, Greenleaf[[#This Row],[Product Category]], _xlpm.prices, _xlfn._xlws.FILTER(Greenleaf[Unit Price], (Greenleaf[Product Category]=_xlpm.cat)*(Greenleaf[Unit Price]&lt;&gt;"")), IFERROR(MEDIAN(_xlpm.prices), ""))</f>
        <v>25</v>
      </c>
      <c r="P676">
        <f>IF(Greenleaf[[#This Row],[Shipment Status]]="Returned",1,0)</f>
        <v>0</v>
      </c>
      <c r="Q676">
        <f>IF(Greenleaf[[#This Row],[Shipment Status]]="Delivered",1,0)</f>
        <v>1</v>
      </c>
    </row>
    <row r="677" spans="1:17" x14ac:dyDescent="0.45">
      <c r="A677" t="s">
        <v>1028</v>
      </c>
      <c r="B677">
        <v>45532</v>
      </c>
      <c r="C677" t="s">
        <v>30</v>
      </c>
      <c r="D677" t="s">
        <v>31</v>
      </c>
      <c r="E677">
        <v>5</v>
      </c>
      <c r="F677">
        <v>40</v>
      </c>
      <c r="G677">
        <v>8.4600000000000009</v>
      </c>
      <c r="H677" t="s">
        <v>332</v>
      </c>
      <c r="I677" t="s">
        <v>333</v>
      </c>
      <c r="J677" t="s">
        <v>20</v>
      </c>
      <c r="K677" t="s">
        <v>38</v>
      </c>
      <c r="L677">
        <f t="shared" si="30"/>
        <v>200</v>
      </c>
      <c r="M677">
        <f t="shared" si="31"/>
        <v>42.300000000000004</v>
      </c>
      <c r="N677">
        <f t="shared" si="32"/>
        <v>157.69999999999999</v>
      </c>
      <c r="O677" cm="1">
        <f t="array" ref="O677">_xlfn.LET(_xlpm.cat, Greenleaf[[#This Row],[Product Category]], _xlpm.prices, _xlfn._xlws.FILTER(Greenleaf[Unit Price], (Greenleaf[Product Category]=_xlpm.cat)*(Greenleaf[Unit Price]&lt;&gt;"")), IFERROR(MEDIAN(_xlpm.prices), ""))</f>
        <v>40</v>
      </c>
      <c r="P677">
        <f>IF(Greenleaf[[#This Row],[Shipment Status]]="Returned",1,0)</f>
        <v>0</v>
      </c>
      <c r="Q677">
        <f>IF(Greenleaf[[#This Row],[Shipment Status]]="Delivered",1,0)</f>
        <v>0</v>
      </c>
    </row>
    <row r="678" spans="1:17" x14ac:dyDescent="0.45">
      <c r="A678" t="s">
        <v>1029</v>
      </c>
      <c r="B678">
        <v>45532</v>
      </c>
      <c r="C678" t="s">
        <v>49</v>
      </c>
      <c r="D678" t="s">
        <v>50</v>
      </c>
      <c r="E678">
        <v>2</v>
      </c>
      <c r="F678">
        <v>15</v>
      </c>
      <c r="G678">
        <v>5.69</v>
      </c>
      <c r="H678" t="s">
        <v>368</v>
      </c>
      <c r="I678" t="s">
        <v>369</v>
      </c>
      <c r="J678" t="s">
        <v>27</v>
      </c>
      <c r="K678" t="s">
        <v>38</v>
      </c>
      <c r="L678">
        <f t="shared" si="30"/>
        <v>30</v>
      </c>
      <c r="M678">
        <f t="shared" si="31"/>
        <v>11.38</v>
      </c>
      <c r="N678">
        <f t="shared" si="32"/>
        <v>18.619999999999997</v>
      </c>
      <c r="O678" cm="1">
        <f t="array" ref="O678">_xlfn.LET(_xlpm.cat, Greenleaf[[#This Row],[Product Category]], _xlpm.prices, _xlfn._xlws.FILTER(Greenleaf[Unit Price], (Greenleaf[Product Category]=_xlpm.cat)*(Greenleaf[Unit Price]&lt;&gt;"")), IFERROR(MEDIAN(_xlpm.prices), ""))</f>
        <v>15</v>
      </c>
      <c r="P678">
        <f>IF(Greenleaf[[#This Row],[Shipment Status]]="Returned",1,0)</f>
        <v>0</v>
      </c>
      <c r="Q678">
        <f>IF(Greenleaf[[#This Row],[Shipment Status]]="Delivered",1,0)</f>
        <v>1</v>
      </c>
    </row>
    <row r="679" spans="1:17" x14ac:dyDescent="0.45">
      <c r="A679" t="s">
        <v>1030</v>
      </c>
      <c r="B679">
        <v>45532</v>
      </c>
      <c r="C679" t="s">
        <v>23</v>
      </c>
      <c r="D679" t="s">
        <v>24</v>
      </c>
      <c r="E679">
        <v>7</v>
      </c>
      <c r="F679">
        <v>25</v>
      </c>
      <c r="G679">
        <v>9</v>
      </c>
      <c r="H679" t="s">
        <v>104</v>
      </c>
      <c r="I679" t="s">
        <v>105</v>
      </c>
      <c r="J679" t="s">
        <v>42</v>
      </c>
      <c r="K679" t="s">
        <v>21</v>
      </c>
      <c r="L679">
        <f t="shared" si="30"/>
        <v>175</v>
      </c>
      <c r="M679">
        <f t="shared" si="31"/>
        <v>63</v>
      </c>
      <c r="N679">
        <f t="shared" si="32"/>
        <v>112</v>
      </c>
      <c r="O679" cm="1">
        <f t="array" ref="O679">_xlfn.LET(_xlpm.cat, Greenleaf[[#This Row],[Product Category]], _xlpm.prices, _xlfn._xlws.FILTER(Greenleaf[Unit Price], (Greenleaf[Product Category]=_xlpm.cat)*(Greenleaf[Unit Price]&lt;&gt;"")), IFERROR(MEDIAN(_xlpm.prices), ""))</f>
        <v>25</v>
      </c>
      <c r="P679">
        <f>IF(Greenleaf[[#This Row],[Shipment Status]]="Returned",1,0)</f>
        <v>1</v>
      </c>
      <c r="Q679">
        <f>IF(Greenleaf[[#This Row],[Shipment Status]]="Delivered",1,0)</f>
        <v>0</v>
      </c>
    </row>
    <row r="680" spans="1:17" x14ac:dyDescent="0.45">
      <c r="A680" t="s">
        <v>1031</v>
      </c>
      <c r="B680">
        <v>45532</v>
      </c>
      <c r="C680" t="s">
        <v>30</v>
      </c>
      <c r="D680" t="s">
        <v>31</v>
      </c>
      <c r="E680">
        <v>3</v>
      </c>
      <c r="F680">
        <v>40</v>
      </c>
      <c r="G680">
        <v>10.23</v>
      </c>
      <c r="H680" t="s">
        <v>414</v>
      </c>
      <c r="I680" t="s">
        <v>357</v>
      </c>
      <c r="J680" t="s">
        <v>20</v>
      </c>
      <c r="K680" t="s">
        <v>59</v>
      </c>
      <c r="L680">
        <f t="shared" si="30"/>
        <v>120</v>
      </c>
      <c r="M680">
        <f t="shared" si="31"/>
        <v>30.69</v>
      </c>
      <c r="N680">
        <f t="shared" si="32"/>
        <v>89.31</v>
      </c>
      <c r="O680" cm="1">
        <f t="array" ref="O680">_xlfn.LET(_xlpm.cat, Greenleaf[[#This Row],[Product Category]], _xlpm.prices, _xlfn._xlws.FILTER(Greenleaf[Unit Price], (Greenleaf[Product Category]=_xlpm.cat)*(Greenleaf[Unit Price]&lt;&gt;"")), IFERROR(MEDIAN(_xlpm.prices), ""))</f>
        <v>40</v>
      </c>
      <c r="P680">
        <f>IF(Greenleaf[[#This Row],[Shipment Status]]="Returned",1,0)</f>
        <v>0</v>
      </c>
      <c r="Q680">
        <f>IF(Greenleaf[[#This Row],[Shipment Status]]="Delivered",1,0)</f>
        <v>0</v>
      </c>
    </row>
    <row r="681" spans="1:17" x14ac:dyDescent="0.45">
      <c r="A681" t="s">
        <v>1032</v>
      </c>
      <c r="B681">
        <v>45533</v>
      </c>
      <c r="C681" t="s">
        <v>49</v>
      </c>
      <c r="D681" t="s">
        <v>50</v>
      </c>
      <c r="E681">
        <v>9</v>
      </c>
      <c r="F681">
        <v>15</v>
      </c>
      <c r="G681">
        <v>4.82</v>
      </c>
      <c r="H681" t="s">
        <v>326</v>
      </c>
      <c r="I681" t="s">
        <v>327</v>
      </c>
      <c r="J681" t="s">
        <v>20</v>
      </c>
      <c r="K681" t="s">
        <v>34</v>
      </c>
      <c r="L681">
        <f t="shared" si="30"/>
        <v>135</v>
      </c>
      <c r="M681">
        <f t="shared" si="31"/>
        <v>43.38</v>
      </c>
      <c r="N681">
        <f t="shared" si="32"/>
        <v>91.62</v>
      </c>
      <c r="O681" cm="1">
        <f t="array" ref="O681">_xlfn.LET(_xlpm.cat, Greenleaf[[#This Row],[Product Category]], _xlpm.prices, _xlfn._xlws.FILTER(Greenleaf[Unit Price], (Greenleaf[Product Category]=_xlpm.cat)*(Greenleaf[Unit Price]&lt;&gt;"")), IFERROR(MEDIAN(_xlpm.prices), ""))</f>
        <v>15</v>
      </c>
      <c r="P681">
        <f>IF(Greenleaf[[#This Row],[Shipment Status]]="Returned",1,0)</f>
        <v>0</v>
      </c>
      <c r="Q681">
        <f>IF(Greenleaf[[#This Row],[Shipment Status]]="Delivered",1,0)</f>
        <v>0</v>
      </c>
    </row>
    <row r="682" spans="1:17" x14ac:dyDescent="0.45">
      <c r="A682" t="s">
        <v>1033</v>
      </c>
      <c r="B682">
        <v>45534</v>
      </c>
      <c r="C682" t="s">
        <v>16</v>
      </c>
      <c r="D682" t="s">
        <v>17</v>
      </c>
      <c r="E682">
        <v>2</v>
      </c>
      <c r="F682">
        <v>10</v>
      </c>
      <c r="G682">
        <v>2.09</v>
      </c>
      <c r="H682" t="s">
        <v>573</v>
      </c>
      <c r="I682" t="s">
        <v>574</v>
      </c>
      <c r="J682" t="s">
        <v>27</v>
      </c>
      <c r="K682" t="s">
        <v>56</v>
      </c>
      <c r="L682">
        <f t="shared" si="30"/>
        <v>20</v>
      </c>
      <c r="M682">
        <f t="shared" si="31"/>
        <v>4.18</v>
      </c>
      <c r="N682">
        <f t="shared" si="32"/>
        <v>15.82</v>
      </c>
      <c r="O682" cm="1">
        <f t="array" ref="O682">_xlfn.LET(_xlpm.cat, Greenleaf[[#This Row],[Product Category]], _xlpm.prices, _xlfn._xlws.FILTER(Greenleaf[Unit Price], (Greenleaf[Product Category]=_xlpm.cat)*(Greenleaf[Unit Price]&lt;&gt;"")), IFERROR(MEDIAN(_xlpm.prices), ""))</f>
        <v>10</v>
      </c>
      <c r="P682">
        <f>IF(Greenleaf[[#This Row],[Shipment Status]]="Returned",1,0)</f>
        <v>0</v>
      </c>
      <c r="Q682">
        <f>IF(Greenleaf[[#This Row],[Shipment Status]]="Delivered",1,0)</f>
        <v>1</v>
      </c>
    </row>
    <row r="683" spans="1:17" x14ac:dyDescent="0.45">
      <c r="A683" t="s">
        <v>1034</v>
      </c>
      <c r="B683">
        <v>45534</v>
      </c>
      <c r="C683" t="s">
        <v>16</v>
      </c>
      <c r="D683" t="s">
        <v>17</v>
      </c>
      <c r="E683">
        <v>4</v>
      </c>
      <c r="F683">
        <v>10</v>
      </c>
      <c r="G683">
        <v>3.56</v>
      </c>
      <c r="H683" t="s">
        <v>132</v>
      </c>
      <c r="I683" t="s">
        <v>133</v>
      </c>
      <c r="J683" t="s">
        <v>27</v>
      </c>
      <c r="K683" t="s">
        <v>74</v>
      </c>
      <c r="L683">
        <f t="shared" si="30"/>
        <v>40</v>
      </c>
      <c r="M683">
        <f t="shared" si="31"/>
        <v>14.24</v>
      </c>
      <c r="N683">
        <f t="shared" si="32"/>
        <v>25.759999999999998</v>
      </c>
      <c r="O683" cm="1">
        <f t="array" ref="O683">_xlfn.LET(_xlpm.cat, Greenleaf[[#This Row],[Product Category]], _xlpm.prices, _xlfn._xlws.FILTER(Greenleaf[Unit Price], (Greenleaf[Product Category]=_xlpm.cat)*(Greenleaf[Unit Price]&lt;&gt;"")), IFERROR(MEDIAN(_xlpm.prices), ""))</f>
        <v>10</v>
      </c>
      <c r="P683">
        <f>IF(Greenleaf[[#This Row],[Shipment Status]]="Returned",1,0)</f>
        <v>0</v>
      </c>
      <c r="Q683">
        <f>IF(Greenleaf[[#This Row],[Shipment Status]]="Delivered",1,0)</f>
        <v>1</v>
      </c>
    </row>
    <row r="684" spans="1:17" x14ac:dyDescent="0.45">
      <c r="A684" t="s">
        <v>1035</v>
      </c>
      <c r="B684">
        <v>45535</v>
      </c>
      <c r="C684" t="s">
        <v>16</v>
      </c>
      <c r="D684" t="s">
        <v>17</v>
      </c>
      <c r="E684">
        <v>3</v>
      </c>
      <c r="F684">
        <v>10</v>
      </c>
      <c r="G684">
        <v>3.83</v>
      </c>
      <c r="H684" t="s">
        <v>469</v>
      </c>
      <c r="I684" t="s">
        <v>470</v>
      </c>
      <c r="J684" t="s">
        <v>27</v>
      </c>
      <c r="K684" t="s">
        <v>28</v>
      </c>
      <c r="L684">
        <f t="shared" si="30"/>
        <v>30</v>
      </c>
      <c r="M684">
        <f t="shared" si="31"/>
        <v>11.49</v>
      </c>
      <c r="N684">
        <f t="shared" si="32"/>
        <v>18.509999999999998</v>
      </c>
      <c r="O684" cm="1">
        <f t="array" ref="O684">_xlfn.LET(_xlpm.cat, Greenleaf[[#This Row],[Product Category]], _xlpm.prices, _xlfn._xlws.FILTER(Greenleaf[Unit Price], (Greenleaf[Product Category]=_xlpm.cat)*(Greenleaf[Unit Price]&lt;&gt;"")), IFERROR(MEDIAN(_xlpm.prices), ""))</f>
        <v>10</v>
      </c>
      <c r="P684">
        <f>IF(Greenleaf[[#This Row],[Shipment Status]]="Returned",1,0)</f>
        <v>0</v>
      </c>
      <c r="Q684">
        <f>IF(Greenleaf[[#This Row],[Shipment Status]]="Delivered",1,0)</f>
        <v>1</v>
      </c>
    </row>
    <row r="685" spans="1:17" x14ac:dyDescent="0.45">
      <c r="A685" t="s">
        <v>1036</v>
      </c>
      <c r="B685">
        <v>45535</v>
      </c>
      <c r="C685" t="s">
        <v>23</v>
      </c>
      <c r="D685" t="s">
        <v>24</v>
      </c>
      <c r="E685">
        <v>5</v>
      </c>
      <c r="F685">
        <v>25</v>
      </c>
      <c r="G685">
        <v>7.66</v>
      </c>
      <c r="H685" t="s">
        <v>58</v>
      </c>
      <c r="I685" t="s">
        <v>37</v>
      </c>
      <c r="J685" t="s">
        <v>20</v>
      </c>
      <c r="K685" t="s">
        <v>21</v>
      </c>
      <c r="L685">
        <f t="shared" si="30"/>
        <v>125</v>
      </c>
      <c r="M685">
        <f t="shared" si="31"/>
        <v>38.299999999999997</v>
      </c>
      <c r="N685">
        <f t="shared" si="32"/>
        <v>86.7</v>
      </c>
      <c r="O685" cm="1">
        <f t="array" ref="O685">_xlfn.LET(_xlpm.cat, Greenleaf[[#This Row],[Product Category]], _xlpm.prices, _xlfn._xlws.FILTER(Greenleaf[Unit Price], (Greenleaf[Product Category]=_xlpm.cat)*(Greenleaf[Unit Price]&lt;&gt;"")), IFERROR(MEDIAN(_xlpm.prices), ""))</f>
        <v>25</v>
      </c>
      <c r="P685">
        <f>IF(Greenleaf[[#This Row],[Shipment Status]]="Returned",1,0)</f>
        <v>0</v>
      </c>
      <c r="Q685">
        <f>IF(Greenleaf[[#This Row],[Shipment Status]]="Delivered",1,0)</f>
        <v>0</v>
      </c>
    </row>
    <row r="686" spans="1:17" x14ac:dyDescent="0.45">
      <c r="A686" t="s">
        <v>1037</v>
      </c>
      <c r="B686">
        <v>45536</v>
      </c>
      <c r="C686" t="s">
        <v>30</v>
      </c>
      <c r="D686" t="s">
        <v>31</v>
      </c>
      <c r="E686">
        <v>8</v>
      </c>
      <c r="F686">
        <v>40</v>
      </c>
      <c r="G686">
        <v>12.16</v>
      </c>
      <c r="H686" t="s">
        <v>363</v>
      </c>
      <c r="I686" t="s">
        <v>210</v>
      </c>
      <c r="J686" t="s">
        <v>42</v>
      </c>
      <c r="K686" t="s">
        <v>59</v>
      </c>
      <c r="L686">
        <f t="shared" si="30"/>
        <v>320</v>
      </c>
      <c r="M686">
        <f t="shared" si="31"/>
        <v>97.28</v>
      </c>
      <c r="N686">
        <f t="shared" si="32"/>
        <v>222.72</v>
      </c>
      <c r="O686" cm="1">
        <f t="array" ref="O686">_xlfn.LET(_xlpm.cat, Greenleaf[[#This Row],[Product Category]], _xlpm.prices, _xlfn._xlws.FILTER(Greenleaf[Unit Price], (Greenleaf[Product Category]=_xlpm.cat)*(Greenleaf[Unit Price]&lt;&gt;"")), IFERROR(MEDIAN(_xlpm.prices), ""))</f>
        <v>40</v>
      </c>
      <c r="P686">
        <f>IF(Greenleaf[[#This Row],[Shipment Status]]="Returned",1,0)</f>
        <v>1</v>
      </c>
      <c r="Q686">
        <f>IF(Greenleaf[[#This Row],[Shipment Status]]="Delivered",1,0)</f>
        <v>0</v>
      </c>
    </row>
    <row r="687" spans="1:17" x14ac:dyDescent="0.45">
      <c r="A687" t="s">
        <v>1038</v>
      </c>
      <c r="B687">
        <v>45537</v>
      </c>
      <c r="C687" t="s">
        <v>66</v>
      </c>
      <c r="D687" t="s">
        <v>67</v>
      </c>
      <c r="E687">
        <v>7</v>
      </c>
      <c r="F687">
        <v>12</v>
      </c>
      <c r="G687">
        <v>3.97</v>
      </c>
      <c r="H687" t="s">
        <v>361</v>
      </c>
      <c r="I687" t="s">
        <v>357</v>
      </c>
      <c r="J687" t="s">
        <v>27</v>
      </c>
      <c r="K687" t="s">
        <v>43</v>
      </c>
      <c r="L687">
        <f t="shared" si="30"/>
        <v>84</v>
      </c>
      <c r="M687">
        <f t="shared" si="31"/>
        <v>27.790000000000003</v>
      </c>
      <c r="N687">
        <f t="shared" si="32"/>
        <v>56.209999999999994</v>
      </c>
      <c r="O687" cm="1">
        <f t="array" ref="O687">_xlfn.LET(_xlpm.cat, Greenleaf[[#This Row],[Product Category]], _xlpm.prices, _xlfn._xlws.FILTER(Greenleaf[Unit Price], (Greenleaf[Product Category]=_xlpm.cat)*(Greenleaf[Unit Price]&lt;&gt;"")), IFERROR(MEDIAN(_xlpm.prices), ""))</f>
        <v>12</v>
      </c>
      <c r="P687">
        <f>IF(Greenleaf[[#This Row],[Shipment Status]]="Returned",1,0)</f>
        <v>0</v>
      </c>
      <c r="Q687">
        <f>IF(Greenleaf[[#This Row],[Shipment Status]]="Delivered",1,0)</f>
        <v>1</v>
      </c>
    </row>
    <row r="688" spans="1:17" x14ac:dyDescent="0.45">
      <c r="A688" t="s">
        <v>1039</v>
      </c>
      <c r="B688">
        <v>45537</v>
      </c>
      <c r="C688" t="s">
        <v>23</v>
      </c>
      <c r="D688" t="s">
        <v>24</v>
      </c>
      <c r="E688">
        <v>4</v>
      </c>
      <c r="F688">
        <v>25</v>
      </c>
      <c r="G688">
        <v>6.53</v>
      </c>
      <c r="H688" t="s">
        <v>102</v>
      </c>
      <c r="I688" t="s">
        <v>97</v>
      </c>
      <c r="J688" t="s">
        <v>47</v>
      </c>
      <c r="K688" t="s">
        <v>56</v>
      </c>
      <c r="L688">
        <f t="shared" si="30"/>
        <v>100</v>
      </c>
      <c r="M688">
        <f t="shared" si="31"/>
        <v>26.12</v>
      </c>
      <c r="N688">
        <f t="shared" si="32"/>
        <v>73.88</v>
      </c>
      <c r="O688" cm="1">
        <f t="array" ref="O688">_xlfn.LET(_xlpm.cat, Greenleaf[[#This Row],[Product Category]], _xlpm.prices, _xlfn._xlws.FILTER(Greenleaf[Unit Price], (Greenleaf[Product Category]=_xlpm.cat)*(Greenleaf[Unit Price]&lt;&gt;"")), IFERROR(MEDIAN(_xlpm.prices), ""))</f>
        <v>25</v>
      </c>
      <c r="P688">
        <f>IF(Greenleaf[[#This Row],[Shipment Status]]="Returned",1,0)</f>
        <v>0</v>
      </c>
      <c r="Q688">
        <f>IF(Greenleaf[[#This Row],[Shipment Status]]="Delivered",1,0)</f>
        <v>0</v>
      </c>
    </row>
    <row r="689" spans="1:17" x14ac:dyDescent="0.45">
      <c r="A689" t="s">
        <v>1040</v>
      </c>
      <c r="B689">
        <v>45537</v>
      </c>
      <c r="C689" t="s">
        <v>49</v>
      </c>
      <c r="D689" t="s">
        <v>50</v>
      </c>
      <c r="E689">
        <v>3</v>
      </c>
      <c r="F689">
        <v>15</v>
      </c>
      <c r="G689">
        <v>3.29</v>
      </c>
      <c r="H689" t="s">
        <v>763</v>
      </c>
      <c r="I689" t="s">
        <v>210</v>
      </c>
      <c r="J689" t="s">
        <v>27</v>
      </c>
      <c r="K689" t="s">
        <v>134</v>
      </c>
      <c r="L689">
        <f t="shared" si="30"/>
        <v>45</v>
      </c>
      <c r="M689">
        <f t="shared" si="31"/>
        <v>9.870000000000001</v>
      </c>
      <c r="N689">
        <f t="shared" si="32"/>
        <v>35.129999999999995</v>
      </c>
      <c r="O689" cm="1">
        <f t="array" ref="O689">_xlfn.LET(_xlpm.cat, Greenleaf[[#This Row],[Product Category]], _xlpm.prices, _xlfn._xlws.FILTER(Greenleaf[Unit Price], (Greenleaf[Product Category]=_xlpm.cat)*(Greenleaf[Unit Price]&lt;&gt;"")), IFERROR(MEDIAN(_xlpm.prices), ""))</f>
        <v>15</v>
      </c>
      <c r="P689">
        <f>IF(Greenleaf[[#This Row],[Shipment Status]]="Returned",1,0)</f>
        <v>0</v>
      </c>
      <c r="Q689">
        <f>IF(Greenleaf[[#This Row],[Shipment Status]]="Delivered",1,0)</f>
        <v>1</v>
      </c>
    </row>
    <row r="690" spans="1:17" x14ac:dyDescent="0.45">
      <c r="A690" t="s">
        <v>1041</v>
      </c>
      <c r="B690">
        <v>45538</v>
      </c>
      <c r="C690" t="s">
        <v>66</v>
      </c>
      <c r="D690" t="s">
        <v>67</v>
      </c>
      <c r="E690">
        <v>10</v>
      </c>
      <c r="F690">
        <v>12</v>
      </c>
      <c r="G690">
        <v>2.42</v>
      </c>
      <c r="H690" t="s">
        <v>436</v>
      </c>
      <c r="I690" t="s">
        <v>437</v>
      </c>
      <c r="J690" t="s">
        <v>20</v>
      </c>
      <c r="K690" t="s">
        <v>21</v>
      </c>
      <c r="L690">
        <f t="shared" si="30"/>
        <v>120</v>
      </c>
      <c r="M690">
        <f t="shared" si="31"/>
        <v>24.2</v>
      </c>
      <c r="N690">
        <f t="shared" si="32"/>
        <v>95.8</v>
      </c>
      <c r="O690" cm="1">
        <f t="array" ref="O690">_xlfn.LET(_xlpm.cat, Greenleaf[[#This Row],[Product Category]], _xlpm.prices, _xlfn._xlws.FILTER(Greenleaf[Unit Price], (Greenleaf[Product Category]=_xlpm.cat)*(Greenleaf[Unit Price]&lt;&gt;"")), IFERROR(MEDIAN(_xlpm.prices), ""))</f>
        <v>12</v>
      </c>
      <c r="P690">
        <f>IF(Greenleaf[[#This Row],[Shipment Status]]="Returned",1,0)</f>
        <v>0</v>
      </c>
      <c r="Q690">
        <f>IF(Greenleaf[[#This Row],[Shipment Status]]="Delivered",1,0)</f>
        <v>0</v>
      </c>
    </row>
    <row r="691" spans="1:17" x14ac:dyDescent="0.45">
      <c r="A691" t="s">
        <v>1042</v>
      </c>
      <c r="B691">
        <v>45538</v>
      </c>
      <c r="C691" t="s">
        <v>23</v>
      </c>
      <c r="D691" t="s">
        <v>24</v>
      </c>
      <c r="E691">
        <v>5</v>
      </c>
      <c r="F691">
        <v>25</v>
      </c>
      <c r="G691">
        <v>7.76</v>
      </c>
      <c r="H691" t="s">
        <v>684</v>
      </c>
      <c r="I691" t="s">
        <v>357</v>
      </c>
      <c r="J691" t="s">
        <v>27</v>
      </c>
      <c r="K691" t="s">
        <v>59</v>
      </c>
      <c r="L691">
        <f t="shared" si="30"/>
        <v>125</v>
      </c>
      <c r="M691">
        <f t="shared" si="31"/>
        <v>38.799999999999997</v>
      </c>
      <c r="N691">
        <f t="shared" si="32"/>
        <v>86.2</v>
      </c>
      <c r="O691" cm="1">
        <f t="array" ref="O691">_xlfn.LET(_xlpm.cat, Greenleaf[[#This Row],[Product Category]], _xlpm.prices, _xlfn._xlws.FILTER(Greenleaf[Unit Price], (Greenleaf[Product Category]=_xlpm.cat)*(Greenleaf[Unit Price]&lt;&gt;"")), IFERROR(MEDIAN(_xlpm.prices), ""))</f>
        <v>25</v>
      </c>
      <c r="P691">
        <f>IF(Greenleaf[[#This Row],[Shipment Status]]="Returned",1,0)</f>
        <v>0</v>
      </c>
      <c r="Q691">
        <f>IF(Greenleaf[[#This Row],[Shipment Status]]="Delivered",1,0)</f>
        <v>1</v>
      </c>
    </row>
    <row r="692" spans="1:17" x14ac:dyDescent="0.45">
      <c r="A692" t="s">
        <v>1043</v>
      </c>
      <c r="B692">
        <v>45539</v>
      </c>
      <c r="C692" t="s">
        <v>16</v>
      </c>
      <c r="D692" t="s">
        <v>17</v>
      </c>
      <c r="E692">
        <v>9</v>
      </c>
      <c r="F692">
        <v>10</v>
      </c>
      <c r="G692">
        <v>3.63</v>
      </c>
      <c r="H692" t="s">
        <v>851</v>
      </c>
      <c r="I692" t="s">
        <v>852</v>
      </c>
      <c r="J692" t="s">
        <v>27</v>
      </c>
      <c r="K692" t="s">
        <v>74</v>
      </c>
      <c r="L692">
        <f t="shared" si="30"/>
        <v>90</v>
      </c>
      <c r="M692">
        <f t="shared" si="31"/>
        <v>32.67</v>
      </c>
      <c r="N692">
        <f t="shared" si="32"/>
        <v>57.33</v>
      </c>
      <c r="O692" cm="1">
        <f t="array" ref="O692">_xlfn.LET(_xlpm.cat, Greenleaf[[#This Row],[Product Category]], _xlpm.prices, _xlfn._xlws.FILTER(Greenleaf[Unit Price], (Greenleaf[Product Category]=_xlpm.cat)*(Greenleaf[Unit Price]&lt;&gt;"")), IFERROR(MEDIAN(_xlpm.prices), ""))</f>
        <v>10</v>
      </c>
      <c r="P692">
        <f>IF(Greenleaf[[#This Row],[Shipment Status]]="Returned",1,0)</f>
        <v>0</v>
      </c>
      <c r="Q692">
        <f>IF(Greenleaf[[#This Row],[Shipment Status]]="Delivered",1,0)</f>
        <v>1</v>
      </c>
    </row>
    <row r="693" spans="1:17" x14ac:dyDescent="0.45">
      <c r="A693" t="s">
        <v>1044</v>
      </c>
      <c r="B693">
        <v>45539</v>
      </c>
      <c r="C693" t="s">
        <v>16</v>
      </c>
      <c r="D693" t="s">
        <v>17</v>
      </c>
      <c r="E693">
        <v>8</v>
      </c>
      <c r="F693">
        <v>10</v>
      </c>
      <c r="G693">
        <v>2.33</v>
      </c>
      <c r="H693" t="s">
        <v>300</v>
      </c>
      <c r="I693" t="s">
        <v>167</v>
      </c>
      <c r="J693" t="s">
        <v>20</v>
      </c>
      <c r="K693" t="s">
        <v>134</v>
      </c>
      <c r="L693">
        <f t="shared" si="30"/>
        <v>80</v>
      </c>
      <c r="M693">
        <f t="shared" si="31"/>
        <v>18.64</v>
      </c>
      <c r="N693">
        <f t="shared" si="32"/>
        <v>61.36</v>
      </c>
      <c r="O693" cm="1">
        <f t="array" ref="O693">_xlfn.LET(_xlpm.cat, Greenleaf[[#This Row],[Product Category]], _xlpm.prices, _xlfn._xlws.FILTER(Greenleaf[Unit Price], (Greenleaf[Product Category]=_xlpm.cat)*(Greenleaf[Unit Price]&lt;&gt;"")), IFERROR(MEDIAN(_xlpm.prices), ""))</f>
        <v>10</v>
      </c>
      <c r="P693">
        <f>IF(Greenleaf[[#This Row],[Shipment Status]]="Returned",1,0)</f>
        <v>0</v>
      </c>
      <c r="Q693">
        <f>IF(Greenleaf[[#This Row],[Shipment Status]]="Delivered",1,0)</f>
        <v>0</v>
      </c>
    </row>
    <row r="694" spans="1:17" x14ac:dyDescent="0.45">
      <c r="A694" t="s">
        <v>1045</v>
      </c>
      <c r="B694">
        <v>45539</v>
      </c>
      <c r="C694" t="s">
        <v>49</v>
      </c>
      <c r="D694" t="s">
        <v>50</v>
      </c>
      <c r="E694">
        <v>4</v>
      </c>
      <c r="F694">
        <v>15</v>
      </c>
      <c r="G694">
        <v>4.5599999999999996</v>
      </c>
      <c r="H694" t="s">
        <v>58</v>
      </c>
      <c r="I694" t="s">
        <v>37</v>
      </c>
      <c r="J694" t="s">
        <v>27</v>
      </c>
      <c r="K694" t="s">
        <v>34</v>
      </c>
      <c r="L694">
        <f t="shared" si="30"/>
        <v>60</v>
      </c>
      <c r="M694">
        <f t="shared" si="31"/>
        <v>18.239999999999998</v>
      </c>
      <c r="N694">
        <f t="shared" si="32"/>
        <v>41.760000000000005</v>
      </c>
      <c r="O694" cm="1">
        <f t="array" ref="O694">_xlfn.LET(_xlpm.cat, Greenleaf[[#This Row],[Product Category]], _xlpm.prices, _xlfn._xlws.FILTER(Greenleaf[Unit Price], (Greenleaf[Product Category]=_xlpm.cat)*(Greenleaf[Unit Price]&lt;&gt;"")), IFERROR(MEDIAN(_xlpm.prices), ""))</f>
        <v>15</v>
      </c>
      <c r="P694">
        <f>IF(Greenleaf[[#This Row],[Shipment Status]]="Returned",1,0)</f>
        <v>0</v>
      </c>
      <c r="Q694">
        <f>IF(Greenleaf[[#This Row],[Shipment Status]]="Delivered",1,0)</f>
        <v>1</v>
      </c>
    </row>
    <row r="695" spans="1:17" x14ac:dyDescent="0.45">
      <c r="A695" t="s">
        <v>1046</v>
      </c>
      <c r="B695">
        <v>45539</v>
      </c>
      <c r="C695" t="s">
        <v>49</v>
      </c>
      <c r="D695" t="s">
        <v>50</v>
      </c>
      <c r="E695">
        <v>7</v>
      </c>
      <c r="F695">
        <v>15</v>
      </c>
      <c r="G695">
        <v>5.0599999999999996</v>
      </c>
      <c r="H695" t="s">
        <v>72</v>
      </c>
      <c r="I695" t="s">
        <v>73</v>
      </c>
      <c r="J695" t="s">
        <v>20</v>
      </c>
      <c r="K695" t="s">
        <v>21</v>
      </c>
      <c r="L695">
        <f t="shared" si="30"/>
        <v>105</v>
      </c>
      <c r="M695">
        <f t="shared" si="31"/>
        <v>35.419999999999995</v>
      </c>
      <c r="N695">
        <f t="shared" si="32"/>
        <v>69.580000000000013</v>
      </c>
      <c r="O695" cm="1">
        <f t="array" ref="O695">_xlfn.LET(_xlpm.cat, Greenleaf[[#This Row],[Product Category]], _xlpm.prices, _xlfn._xlws.FILTER(Greenleaf[Unit Price], (Greenleaf[Product Category]=_xlpm.cat)*(Greenleaf[Unit Price]&lt;&gt;"")), IFERROR(MEDIAN(_xlpm.prices), ""))</f>
        <v>15</v>
      </c>
      <c r="P695">
        <f>IF(Greenleaf[[#This Row],[Shipment Status]]="Returned",1,0)</f>
        <v>0</v>
      </c>
      <c r="Q695">
        <f>IF(Greenleaf[[#This Row],[Shipment Status]]="Delivered",1,0)</f>
        <v>0</v>
      </c>
    </row>
    <row r="696" spans="1:17" x14ac:dyDescent="0.45">
      <c r="A696" t="s">
        <v>1047</v>
      </c>
      <c r="B696">
        <v>45540</v>
      </c>
      <c r="C696" t="s">
        <v>23</v>
      </c>
      <c r="D696" t="s">
        <v>24</v>
      </c>
      <c r="E696">
        <v>1</v>
      </c>
      <c r="F696">
        <v>25</v>
      </c>
      <c r="G696">
        <v>8.42</v>
      </c>
      <c r="H696" t="s">
        <v>884</v>
      </c>
      <c r="I696" t="s">
        <v>885</v>
      </c>
      <c r="J696" t="s">
        <v>20</v>
      </c>
      <c r="K696" t="s">
        <v>56</v>
      </c>
      <c r="L696">
        <f t="shared" si="30"/>
        <v>25</v>
      </c>
      <c r="M696">
        <f t="shared" si="31"/>
        <v>8.42</v>
      </c>
      <c r="N696">
        <f t="shared" si="32"/>
        <v>16.579999999999998</v>
      </c>
      <c r="O696" cm="1">
        <f t="array" ref="O696">_xlfn.LET(_xlpm.cat, Greenleaf[[#This Row],[Product Category]], _xlpm.prices, _xlfn._xlws.FILTER(Greenleaf[Unit Price], (Greenleaf[Product Category]=_xlpm.cat)*(Greenleaf[Unit Price]&lt;&gt;"")), IFERROR(MEDIAN(_xlpm.prices), ""))</f>
        <v>25</v>
      </c>
      <c r="P696">
        <f>IF(Greenleaf[[#This Row],[Shipment Status]]="Returned",1,0)</f>
        <v>0</v>
      </c>
      <c r="Q696">
        <f>IF(Greenleaf[[#This Row],[Shipment Status]]="Delivered",1,0)</f>
        <v>0</v>
      </c>
    </row>
    <row r="697" spans="1:17" x14ac:dyDescent="0.45">
      <c r="A697" t="s">
        <v>1048</v>
      </c>
      <c r="B697">
        <v>45541</v>
      </c>
      <c r="C697" t="s">
        <v>16</v>
      </c>
      <c r="D697" t="s">
        <v>17</v>
      </c>
      <c r="E697">
        <v>7</v>
      </c>
      <c r="F697">
        <v>10</v>
      </c>
      <c r="G697">
        <v>3.96</v>
      </c>
      <c r="H697" t="s">
        <v>1049</v>
      </c>
      <c r="I697" t="s">
        <v>574</v>
      </c>
      <c r="J697" t="s">
        <v>27</v>
      </c>
      <c r="K697" t="s">
        <v>38</v>
      </c>
      <c r="L697">
        <f t="shared" si="30"/>
        <v>70</v>
      </c>
      <c r="M697">
        <f t="shared" si="31"/>
        <v>27.72</v>
      </c>
      <c r="N697">
        <f t="shared" si="32"/>
        <v>42.28</v>
      </c>
      <c r="O697" cm="1">
        <f t="array" ref="O697">_xlfn.LET(_xlpm.cat, Greenleaf[[#This Row],[Product Category]], _xlpm.prices, _xlfn._xlws.FILTER(Greenleaf[Unit Price], (Greenleaf[Product Category]=_xlpm.cat)*(Greenleaf[Unit Price]&lt;&gt;"")), IFERROR(MEDIAN(_xlpm.prices), ""))</f>
        <v>10</v>
      </c>
      <c r="P697">
        <f>IF(Greenleaf[[#This Row],[Shipment Status]]="Returned",1,0)</f>
        <v>0</v>
      </c>
      <c r="Q697">
        <f>IF(Greenleaf[[#This Row],[Shipment Status]]="Delivered",1,0)</f>
        <v>1</v>
      </c>
    </row>
    <row r="698" spans="1:17" x14ac:dyDescent="0.45">
      <c r="A698" t="s">
        <v>1050</v>
      </c>
      <c r="B698">
        <v>45542</v>
      </c>
      <c r="C698" t="s">
        <v>49</v>
      </c>
      <c r="D698" t="s">
        <v>50</v>
      </c>
      <c r="E698">
        <v>5</v>
      </c>
      <c r="F698">
        <v>15</v>
      </c>
      <c r="G698">
        <v>5.13</v>
      </c>
      <c r="H698" t="s">
        <v>25</v>
      </c>
      <c r="I698" t="s">
        <v>26</v>
      </c>
      <c r="J698" t="s">
        <v>20</v>
      </c>
      <c r="K698" t="s">
        <v>28</v>
      </c>
      <c r="L698">
        <f t="shared" si="30"/>
        <v>75</v>
      </c>
      <c r="M698">
        <f t="shared" si="31"/>
        <v>25.65</v>
      </c>
      <c r="N698">
        <f t="shared" si="32"/>
        <v>49.35</v>
      </c>
      <c r="O698" cm="1">
        <f t="array" ref="O698">_xlfn.LET(_xlpm.cat, Greenleaf[[#This Row],[Product Category]], _xlpm.prices, _xlfn._xlws.FILTER(Greenleaf[Unit Price], (Greenleaf[Product Category]=_xlpm.cat)*(Greenleaf[Unit Price]&lt;&gt;"")), IFERROR(MEDIAN(_xlpm.prices), ""))</f>
        <v>15</v>
      </c>
      <c r="P698">
        <f>IF(Greenleaf[[#This Row],[Shipment Status]]="Returned",1,0)</f>
        <v>0</v>
      </c>
      <c r="Q698">
        <f>IF(Greenleaf[[#This Row],[Shipment Status]]="Delivered",1,0)</f>
        <v>0</v>
      </c>
    </row>
    <row r="699" spans="1:17" x14ac:dyDescent="0.45">
      <c r="A699" t="s">
        <v>1051</v>
      </c>
      <c r="B699">
        <v>45542</v>
      </c>
      <c r="C699" t="s">
        <v>23</v>
      </c>
      <c r="D699" t="s">
        <v>24</v>
      </c>
      <c r="E699">
        <v>1</v>
      </c>
      <c r="F699">
        <v>25</v>
      </c>
      <c r="G699">
        <v>8.6199999999999992</v>
      </c>
      <c r="H699" t="s">
        <v>397</v>
      </c>
      <c r="I699" t="s">
        <v>128</v>
      </c>
      <c r="J699" t="s">
        <v>27</v>
      </c>
      <c r="K699" t="s">
        <v>38</v>
      </c>
      <c r="L699">
        <f t="shared" si="30"/>
        <v>25</v>
      </c>
      <c r="M699">
        <f t="shared" si="31"/>
        <v>8.6199999999999992</v>
      </c>
      <c r="N699">
        <f t="shared" si="32"/>
        <v>16.380000000000003</v>
      </c>
      <c r="O699" cm="1">
        <f t="array" ref="O699">_xlfn.LET(_xlpm.cat, Greenleaf[[#This Row],[Product Category]], _xlpm.prices, _xlfn._xlws.FILTER(Greenleaf[Unit Price], (Greenleaf[Product Category]=_xlpm.cat)*(Greenleaf[Unit Price]&lt;&gt;"")), IFERROR(MEDIAN(_xlpm.prices), ""))</f>
        <v>25</v>
      </c>
      <c r="P699">
        <f>IF(Greenleaf[[#This Row],[Shipment Status]]="Returned",1,0)</f>
        <v>0</v>
      </c>
      <c r="Q699">
        <f>IF(Greenleaf[[#This Row],[Shipment Status]]="Delivered",1,0)</f>
        <v>1</v>
      </c>
    </row>
    <row r="700" spans="1:17" x14ac:dyDescent="0.45">
      <c r="A700" t="s">
        <v>1052</v>
      </c>
      <c r="B700">
        <v>45542</v>
      </c>
      <c r="C700" t="s">
        <v>23</v>
      </c>
      <c r="D700" t="s">
        <v>24</v>
      </c>
      <c r="E700">
        <v>2</v>
      </c>
      <c r="F700">
        <v>25</v>
      </c>
      <c r="G700">
        <v>8.64</v>
      </c>
      <c r="H700" t="s">
        <v>473</v>
      </c>
      <c r="I700" t="s">
        <v>474</v>
      </c>
      <c r="J700" t="s">
        <v>27</v>
      </c>
      <c r="K700" t="s">
        <v>21</v>
      </c>
      <c r="L700">
        <f t="shared" si="30"/>
        <v>50</v>
      </c>
      <c r="M700">
        <f t="shared" si="31"/>
        <v>17.28</v>
      </c>
      <c r="N700">
        <f t="shared" si="32"/>
        <v>32.72</v>
      </c>
      <c r="O700" cm="1">
        <f t="array" ref="O700">_xlfn.LET(_xlpm.cat, Greenleaf[[#This Row],[Product Category]], _xlpm.prices, _xlfn._xlws.FILTER(Greenleaf[Unit Price], (Greenleaf[Product Category]=_xlpm.cat)*(Greenleaf[Unit Price]&lt;&gt;"")), IFERROR(MEDIAN(_xlpm.prices), ""))</f>
        <v>25</v>
      </c>
      <c r="P700">
        <f>IF(Greenleaf[[#This Row],[Shipment Status]]="Returned",1,0)</f>
        <v>0</v>
      </c>
      <c r="Q700">
        <f>IF(Greenleaf[[#This Row],[Shipment Status]]="Delivered",1,0)</f>
        <v>1</v>
      </c>
    </row>
    <row r="701" spans="1:17" x14ac:dyDescent="0.45">
      <c r="A701" t="s">
        <v>1053</v>
      </c>
      <c r="B701">
        <v>45543</v>
      </c>
      <c r="C701" t="s">
        <v>23</v>
      </c>
      <c r="D701" t="s">
        <v>24</v>
      </c>
      <c r="E701">
        <v>7</v>
      </c>
      <c r="F701">
        <v>25</v>
      </c>
      <c r="G701">
        <v>9</v>
      </c>
      <c r="H701" t="s">
        <v>436</v>
      </c>
      <c r="I701" t="s">
        <v>437</v>
      </c>
      <c r="J701" t="s">
        <v>27</v>
      </c>
      <c r="K701" t="s">
        <v>134</v>
      </c>
      <c r="L701">
        <f t="shared" si="30"/>
        <v>175</v>
      </c>
      <c r="M701">
        <f t="shared" si="31"/>
        <v>63</v>
      </c>
      <c r="N701">
        <f t="shared" si="32"/>
        <v>112</v>
      </c>
      <c r="O701" cm="1">
        <f t="array" ref="O701">_xlfn.LET(_xlpm.cat, Greenleaf[[#This Row],[Product Category]], _xlpm.prices, _xlfn._xlws.FILTER(Greenleaf[Unit Price], (Greenleaf[Product Category]=_xlpm.cat)*(Greenleaf[Unit Price]&lt;&gt;"")), IFERROR(MEDIAN(_xlpm.prices), ""))</f>
        <v>25</v>
      </c>
      <c r="P701">
        <f>IF(Greenleaf[[#This Row],[Shipment Status]]="Returned",1,0)</f>
        <v>0</v>
      </c>
      <c r="Q701">
        <f>IF(Greenleaf[[#This Row],[Shipment Status]]="Delivered",1,0)</f>
        <v>1</v>
      </c>
    </row>
    <row r="702" spans="1:17" x14ac:dyDescent="0.45">
      <c r="A702" t="s">
        <v>1054</v>
      </c>
      <c r="B702">
        <v>45543</v>
      </c>
      <c r="C702" t="s">
        <v>66</v>
      </c>
      <c r="D702" t="s">
        <v>67</v>
      </c>
      <c r="E702">
        <v>8</v>
      </c>
      <c r="F702">
        <v>12</v>
      </c>
      <c r="G702">
        <v>3.81</v>
      </c>
      <c r="H702" t="s">
        <v>420</v>
      </c>
      <c r="I702" t="s">
        <v>242</v>
      </c>
      <c r="J702" t="s">
        <v>27</v>
      </c>
      <c r="K702" t="s">
        <v>43</v>
      </c>
      <c r="L702">
        <f t="shared" si="30"/>
        <v>96</v>
      </c>
      <c r="M702">
        <f t="shared" si="31"/>
        <v>30.48</v>
      </c>
      <c r="N702">
        <f t="shared" si="32"/>
        <v>65.52</v>
      </c>
      <c r="O702" cm="1">
        <f t="array" ref="O702">_xlfn.LET(_xlpm.cat, Greenleaf[[#This Row],[Product Category]], _xlpm.prices, _xlfn._xlws.FILTER(Greenleaf[Unit Price], (Greenleaf[Product Category]=_xlpm.cat)*(Greenleaf[Unit Price]&lt;&gt;"")), IFERROR(MEDIAN(_xlpm.prices), ""))</f>
        <v>12</v>
      </c>
      <c r="P702">
        <f>IF(Greenleaf[[#This Row],[Shipment Status]]="Returned",1,0)</f>
        <v>0</v>
      </c>
      <c r="Q702">
        <f>IF(Greenleaf[[#This Row],[Shipment Status]]="Delivered",1,0)</f>
        <v>1</v>
      </c>
    </row>
    <row r="703" spans="1:17" x14ac:dyDescent="0.45">
      <c r="A703" t="s">
        <v>1055</v>
      </c>
      <c r="B703">
        <v>45543</v>
      </c>
      <c r="C703" t="s">
        <v>16</v>
      </c>
      <c r="D703" t="s">
        <v>17</v>
      </c>
      <c r="E703">
        <v>5</v>
      </c>
      <c r="F703">
        <v>10</v>
      </c>
      <c r="G703">
        <v>2.76</v>
      </c>
      <c r="H703" t="s">
        <v>241</v>
      </c>
      <c r="I703" t="s">
        <v>242</v>
      </c>
      <c r="J703" t="s">
        <v>27</v>
      </c>
      <c r="K703" t="s">
        <v>34</v>
      </c>
      <c r="L703">
        <f t="shared" si="30"/>
        <v>50</v>
      </c>
      <c r="M703">
        <f t="shared" si="31"/>
        <v>13.799999999999999</v>
      </c>
      <c r="N703">
        <f t="shared" si="32"/>
        <v>36.200000000000003</v>
      </c>
      <c r="O703" cm="1">
        <f t="array" ref="O703">_xlfn.LET(_xlpm.cat, Greenleaf[[#This Row],[Product Category]], _xlpm.prices, _xlfn._xlws.FILTER(Greenleaf[Unit Price], (Greenleaf[Product Category]=_xlpm.cat)*(Greenleaf[Unit Price]&lt;&gt;"")), IFERROR(MEDIAN(_xlpm.prices), ""))</f>
        <v>10</v>
      </c>
      <c r="P703">
        <f>IF(Greenleaf[[#This Row],[Shipment Status]]="Returned",1,0)</f>
        <v>0</v>
      </c>
      <c r="Q703">
        <f>IF(Greenleaf[[#This Row],[Shipment Status]]="Delivered",1,0)</f>
        <v>1</v>
      </c>
    </row>
    <row r="704" spans="1:17" x14ac:dyDescent="0.45">
      <c r="A704" t="s">
        <v>1056</v>
      </c>
      <c r="B704">
        <v>45543</v>
      </c>
      <c r="C704" t="s">
        <v>16</v>
      </c>
      <c r="D704" t="s">
        <v>17</v>
      </c>
      <c r="E704">
        <v>9</v>
      </c>
      <c r="F704">
        <v>10</v>
      </c>
      <c r="G704">
        <v>2.41</v>
      </c>
      <c r="H704" t="s">
        <v>251</v>
      </c>
      <c r="I704" t="s">
        <v>252</v>
      </c>
      <c r="J704" t="s">
        <v>27</v>
      </c>
      <c r="K704" t="s">
        <v>43</v>
      </c>
      <c r="L704">
        <f t="shared" si="30"/>
        <v>90</v>
      </c>
      <c r="M704">
        <f t="shared" si="31"/>
        <v>21.69</v>
      </c>
      <c r="N704">
        <f t="shared" si="32"/>
        <v>68.31</v>
      </c>
      <c r="O704" cm="1">
        <f t="array" ref="O704">_xlfn.LET(_xlpm.cat, Greenleaf[[#This Row],[Product Category]], _xlpm.prices, _xlfn._xlws.FILTER(Greenleaf[Unit Price], (Greenleaf[Product Category]=_xlpm.cat)*(Greenleaf[Unit Price]&lt;&gt;"")), IFERROR(MEDIAN(_xlpm.prices), ""))</f>
        <v>10</v>
      </c>
      <c r="P704">
        <f>IF(Greenleaf[[#This Row],[Shipment Status]]="Returned",1,0)</f>
        <v>0</v>
      </c>
      <c r="Q704">
        <f>IF(Greenleaf[[#This Row],[Shipment Status]]="Delivered",1,0)</f>
        <v>1</v>
      </c>
    </row>
    <row r="705" spans="1:17" x14ac:dyDescent="0.45">
      <c r="A705" t="s">
        <v>1057</v>
      </c>
      <c r="B705">
        <v>45545</v>
      </c>
      <c r="C705" t="s">
        <v>66</v>
      </c>
      <c r="D705" t="s">
        <v>67</v>
      </c>
      <c r="E705">
        <v>1</v>
      </c>
      <c r="F705">
        <v>12</v>
      </c>
      <c r="G705">
        <v>3.1</v>
      </c>
      <c r="H705" t="s">
        <v>160</v>
      </c>
      <c r="I705" t="s">
        <v>161</v>
      </c>
      <c r="J705" t="s">
        <v>20</v>
      </c>
      <c r="K705" t="s">
        <v>59</v>
      </c>
      <c r="L705">
        <f t="shared" si="30"/>
        <v>12</v>
      </c>
      <c r="M705">
        <f t="shared" si="31"/>
        <v>3.1</v>
      </c>
      <c r="N705">
        <f t="shared" si="32"/>
        <v>8.9</v>
      </c>
      <c r="O705" cm="1">
        <f t="array" ref="O705">_xlfn.LET(_xlpm.cat, Greenleaf[[#This Row],[Product Category]], _xlpm.prices, _xlfn._xlws.FILTER(Greenleaf[Unit Price], (Greenleaf[Product Category]=_xlpm.cat)*(Greenleaf[Unit Price]&lt;&gt;"")), IFERROR(MEDIAN(_xlpm.prices), ""))</f>
        <v>12</v>
      </c>
      <c r="P705">
        <f>IF(Greenleaf[[#This Row],[Shipment Status]]="Returned",1,0)</f>
        <v>0</v>
      </c>
      <c r="Q705">
        <f>IF(Greenleaf[[#This Row],[Shipment Status]]="Delivered",1,0)</f>
        <v>0</v>
      </c>
    </row>
    <row r="706" spans="1:17" x14ac:dyDescent="0.45">
      <c r="A706" t="s">
        <v>1058</v>
      </c>
      <c r="B706">
        <v>45545</v>
      </c>
      <c r="C706" t="s">
        <v>66</v>
      </c>
      <c r="D706" t="s">
        <v>67</v>
      </c>
      <c r="E706">
        <v>10</v>
      </c>
      <c r="F706">
        <v>12</v>
      </c>
      <c r="G706">
        <v>3.77</v>
      </c>
      <c r="H706" t="s">
        <v>453</v>
      </c>
      <c r="I706" t="s">
        <v>454</v>
      </c>
      <c r="J706" t="s">
        <v>20</v>
      </c>
      <c r="K706" t="s">
        <v>59</v>
      </c>
      <c r="L706">
        <f t="shared" ref="L706:L769" si="33">E706*F706</f>
        <v>120</v>
      </c>
      <c r="M706">
        <f t="shared" ref="M706:M769" si="34">E706*G706</f>
        <v>37.700000000000003</v>
      </c>
      <c r="N706">
        <f t="shared" ref="N706:N769" si="35">L706-M706</f>
        <v>82.3</v>
      </c>
      <c r="O706" cm="1">
        <f t="array" ref="O706">_xlfn.LET(_xlpm.cat, Greenleaf[[#This Row],[Product Category]], _xlpm.prices, _xlfn._xlws.FILTER(Greenleaf[Unit Price], (Greenleaf[Product Category]=_xlpm.cat)*(Greenleaf[Unit Price]&lt;&gt;"")), IFERROR(MEDIAN(_xlpm.prices), ""))</f>
        <v>12</v>
      </c>
      <c r="P706">
        <f>IF(Greenleaf[[#This Row],[Shipment Status]]="Returned",1,0)</f>
        <v>0</v>
      </c>
      <c r="Q706">
        <f>IF(Greenleaf[[#This Row],[Shipment Status]]="Delivered",1,0)</f>
        <v>0</v>
      </c>
    </row>
    <row r="707" spans="1:17" x14ac:dyDescent="0.45">
      <c r="A707" t="s">
        <v>1059</v>
      </c>
      <c r="B707">
        <v>45546</v>
      </c>
      <c r="C707" t="s">
        <v>16</v>
      </c>
      <c r="D707" t="s">
        <v>17</v>
      </c>
      <c r="E707">
        <v>9</v>
      </c>
      <c r="F707">
        <v>10</v>
      </c>
      <c r="G707">
        <v>2.02</v>
      </c>
      <c r="H707" t="s">
        <v>182</v>
      </c>
      <c r="I707" t="s">
        <v>183</v>
      </c>
      <c r="J707" t="s">
        <v>20</v>
      </c>
      <c r="K707" t="s">
        <v>70</v>
      </c>
      <c r="L707">
        <f t="shared" si="33"/>
        <v>90</v>
      </c>
      <c r="M707">
        <f t="shared" si="34"/>
        <v>18.18</v>
      </c>
      <c r="N707">
        <f t="shared" si="35"/>
        <v>71.819999999999993</v>
      </c>
      <c r="O707" cm="1">
        <f t="array" ref="O707">_xlfn.LET(_xlpm.cat, Greenleaf[[#This Row],[Product Category]], _xlpm.prices, _xlfn._xlws.FILTER(Greenleaf[Unit Price], (Greenleaf[Product Category]=_xlpm.cat)*(Greenleaf[Unit Price]&lt;&gt;"")), IFERROR(MEDIAN(_xlpm.prices), ""))</f>
        <v>10</v>
      </c>
      <c r="P707">
        <f>IF(Greenleaf[[#This Row],[Shipment Status]]="Returned",1,0)</f>
        <v>0</v>
      </c>
      <c r="Q707">
        <f>IF(Greenleaf[[#This Row],[Shipment Status]]="Delivered",1,0)</f>
        <v>0</v>
      </c>
    </row>
    <row r="708" spans="1:17" x14ac:dyDescent="0.45">
      <c r="A708" t="s">
        <v>1060</v>
      </c>
      <c r="B708">
        <v>45546</v>
      </c>
      <c r="C708" t="s">
        <v>30</v>
      </c>
      <c r="D708" t="s">
        <v>31</v>
      </c>
      <c r="E708">
        <v>4</v>
      </c>
      <c r="F708">
        <v>40</v>
      </c>
      <c r="G708">
        <v>11.92</v>
      </c>
      <c r="H708" t="s">
        <v>203</v>
      </c>
      <c r="I708" t="s">
        <v>204</v>
      </c>
      <c r="J708" t="s">
        <v>20</v>
      </c>
      <c r="K708" t="s">
        <v>43</v>
      </c>
      <c r="L708">
        <f t="shared" si="33"/>
        <v>160</v>
      </c>
      <c r="M708">
        <f t="shared" si="34"/>
        <v>47.68</v>
      </c>
      <c r="N708">
        <f t="shared" si="35"/>
        <v>112.32</v>
      </c>
      <c r="O708" cm="1">
        <f t="array" ref="O708">_xlfn.LET(_xlpm.cat, Greenleaf[[#This Row],[Product Category]], _xlpm.prices, _xlfn._xlws.FILTER(Greenleaf[Unit Price], (Greenleaf[Product Category]=_xlpm.cat)*(Greenleaf[Unit Price]&lt;&gt;"")), IFERROR(MEDIAN(_xlpm.prices), ""))</f>
        <v>40</v>
      </c>
      <c r="P708">
        <f>IF(Greenleaf[[#This Row],[Shipment Status]]="Returned",1,0)</f>
        <v>0</v>
      </c>
      <c r="Q708">
        <f>IF(Greenleaf[[#This Row],[Shipment Status]]="Delivered",1,0)</f>
        <v>0</v>
      </c>
    </row>
    <row r="709" spans="1:17" x14ac:dyDescent="0.45">
      <c r="A709" t="s">
        <v>1061</v>
      </c>
      <c r="B709">
        <v>45546</v>
      </c>
      <c r="C709" t="s">
        <v>16</v>
      </c>
      <c r="D709" t="s">
        <v>17</v>
      </c>
      <c r="E709">
        <v>8</v>
      </c>
      <c r="F709">
        <v>10</v>
      </c>
      <c r="G709">
        <v>3.58</v>
      </c>
      <c r="H709" t="s">
        <v>457</v>
      </c>
      <c r="I709" t="s">
        <v>458</v>
      </c>
      <c r="J709" t="s">
        <v>27</v>
      </c>
      <c r="K709" t="s">
        <v>34</v>
      </c>
      <c r="L709">
        <f t="shared" si="33"/>
        <v>80</v>
      </c>
      <c r="M709">
        <f t="shared" si="34"/>
        <v>28.64</v>
      </c>
      <c r="N709">
        <f t="shared" si="35"/>
        <v>51.36</v>
      </c>
      <c r="O709" cm="1">
        <f t="array" ref="O709">_xlfn.LET(_xlpm.cat, Greenleaf[[#This Row],[Product Category]], _xlpm.prices, _xlfn._xlws.FILTER(Greenleaf[Unit Price], (Greenleaf[Product Category]=_xlpm.cat)*(Greenleaf[Unit Price]&lt;&gt;"")), IFERROR(MEDIAN(_xlpm.prices), ""))</f>
        <v>10</v>
      </c>
      <c r="P709">
        <f>IF(Greenleaf[[#This Row],[Shipment Status]]="Returned",1,0)</f>
        <v>0</v>
      </c>
      <c r="Q709">
        <f>IF(Greenleaf[[#This Row],[Shipment Status]]="Delivered",1,0)</f>
        <v>1</v>
      </c>
    </row>
    <row r="710" spans="1:17" x14ac:dyDescent="0.45">
      <c r="A710" t="s">
        <v>1062</v>
      </c>
      <c r="B710">
        <v>45546</v>
      </c>
      <c r="C710" t="s">
        <v>23</v>
      </c>
      <c r="D710" t="s">
        <v>24</v>
      </c>
      <c r="E710">
        <v>10</v>
      </c>
      <c r="F710">
        <v>25</v>
      </c>
      <c r="G710">
        <v>8.3699999999999992</v>
      </c>
      <c r="H710" t="s">
        <v>145</v>
      </c>
      <c r="I710" t="s">
        <v>146</v>
      </c>
      <c r="J710" t="s">
        <v>20</v>
      </c>
      <c r="K710" t="s">
        <v>21</v>
      </c>
      <c r="L710">
        <f t="shared" si="33"/>
        <v>250</v>
      </c>
      <c r="M710">
        <f t="shared" si="34"/>
        <v>83.699999999999989</v>
      </c>
      <c r="N710">
        <f t="shared" si="35"/>
        <v>166.3</v>
      </c>
      <c r="O710" cm="1">
        <f t="array" ref="O710">_xlfn.LET(_xlpm.cat, Greenleaf[[#This Row],[Product Category]], _xlpm.prices, _xlfn._xlws.FILTER(Greenleaf[Unit Price], (Greenleaf[Product Category]=_xlpm.cat)*(Greenleaf[Unit Price]&lt;&gt;"")), IFERROR(MEDIAN(_xlpm.prices), ""))</f>
        <v>25</v>
      </c>
      <c r="P710">
        <f>IF(Greenleaf[[#This Row],[Shipment Status]]="Returned",1,0)</f>
        <v>0</v>
      </c>
      <c r="Q710">
        <f>IF(Greenleaf[[#This Row],[Shipment Status]]="Delivered",1,0)</f>
        <v>0</v>
      </c>
    </row>
    <row r="711" spans="1:17" x14ac:dyDescent="0.45">
      <c r="A711" t="s">
        <v>1063</v>
      </c>
      <c r="B711">
        <v>45546</v>
      </c>
      <c r="C711" t="s">
        <v>66</v>
      </c>
      <c r="D711" t="s">
        <v>67</v>
      </c>
      <c r="E711">
        <v>1</v>
      </c>
      <c r="F711">
        <v>12</v>
      </c>
      <c r="G711">
        <v>4.25</v>
      </c>
      <c r="H711" t="s">
        <v>530</v>
      </c>
      <c r="I711" t="s">
        <v>531</v>
      </c>
      <c r="J711" t="s">
        <v>20</v>
      </c>
      <c r="K711" t="s">
        <v>38</v>
      </c>
      <c r="L711">
        <f t="shared" si="33"/>
        <v>12</v>
      </c>
      <c r="M711">
        <f t="shared" si="34"/>
        <v>4.25</v>
      </c>
      <c r="N711">
        <f t="shared" si="35"/>
        <v>7.75</v>
      </c>
      <c r="O711" cm="1">
        <f t="array" ref="O711">_xlfn.LET(_xlpm.cat, Greenleaf[[#This Row],[Product Category]], _xlpm.prices, _xlfn._xlws.FILTER(Greenleaf[Unit Price], (Greenleaf[Product Category]=_xlpm.cat)*(Greenleaf[Unit Price]&lt;&gt;"")), IFERROR(MEDIAN(_xlpm.prices), ""))</f>
        <v>12</v>
      </c>
      <c r="P711">
        <f>IF(Greenleaf[[#This Row],[Shipment Status]]="Returned",1,0)</f>
        <v>0</v>
      </c>
      <c r="Q711">
        <f>IF(Greenleaf[[#This Row],[Shipment Status]]="Delivered",1,0)</f>
        <v>0</v>
      </c>
    </row>
    <row r="712" spans="1:17" x14ac:dyDescent="0.45">
      <c r="A712" t="s">
        <v>1064</v>
      </c>
      <c r="B712">
        <v>45548</v>
      </c>
      <c r="C712" t="s">
        <v>49</v>
      </c>
      <c r="D712" t="s">
        <v>50</v>
      </c>
      <c r="E712">
        <v>4</v>
      </c>
      <c r="F712">
        <v>15</v>
      </c>
      <c r="G712">
        <v>4.2</v>
      </c>
      <c r="H712" t="s">
        <v>54</v>
      </c>
      <c r="I712" t="s">
        <v>55</v>
      </c>
      <c r="J712" t="s">
        <v>42</v>
      </c>
      <c r="K712" t="s">
        <v>56</v>
      </c>
      <c r="L712">
        <f t="shared" si="33"/>
        <v>60</v>
      </c>
      <c r="M712">
        <f t="shared" si="34"/>
        <v>16.8</v>
      </c>
      <c r="N712">
        <f t="shared" si="35"/>
        <v>43.2</v>
      </c>
      <c r="O712" cm="1">
        <f t="array" ref="O712">_xlfn.LET(_xlpm.cat, Greenleaf[[#This Row],[Product Category]], _xlpm.prices, _xlfn._xlws.FILTER(Greenleaf[Unit Price], (Greenleaf[Product Category]=_xlpm.cat)*(Greenleaf[Unit Price]&lt;&gt;"")), IFERROR(MEDIAN(_xlpm.prices), ""))</f>
        <v>15</v>
      </c>
      <c r="P712">
        <f>IF(Greenleaf[[#This Row],[Shipment Status]]="Returned",1,0)</f>
        <v>1</v>
      </c>
      <c r="Q712">
        <f>IF(Greenleaf[[#This Row],[Shipment Status]]="Delivered",1,0)</f>
        <v>0</v>
      </c>
    </row>
    <row r="713" spans="1:17" x14ac:dyDescent="0.45">
      <c r="A713" t="s">
        <v>1065</v>
      </c>
      <c r="B713">
        <v>45548</v>
      </c>
      <c r="C713" t="s">
        <v>49</v>
      </c>
      <c r="D713" t="s">
        <v>50</v>
      </c>
      <c r="E713">
        <v>4</v>
      </c>
      <c r="F713">
        <v>15</v>
      </c>
      <c r="G713">
        <v>4.03</v>
      </c>
      <c r="H713" t="s">
        <v>300</v>
      </c>
      <c r="I713" t="s">
        <v>167</v>
      </c>
      <c r="J713" t="s">
        <v>27</v>
      </c>
      <c r="K713" t="s">
        <v>43</v>
      </c>
      <c r="L713">
        <f t="shared" si="33"/>
        <v>60</v>
      </c>
      <c r="M713">
        <f t="shared" si="34"/>
        <v>16.12</v>
      </c>
      <c r="N713">
        <f t="shared" si="35"/>
        <v>43.879999999999995</v>
      </c>
      <c r="O713" cm="1">
        <f t="array" ref="O713">_xlfn.LET(_xlpm.cat, Greenleaf[[#This Row],[Product Category]], _xlpm.prices, _xlfn._xlws.FILTER(Greenleaf[Unit Price], (Greenleaf[Product Category]=_xlpm.cat)*(Greenleaf[Unit Price]&lt;&gt;"")), IFERROR(MEDIAN(_xlpm.prices), ""))</f>
        <v>15</v>
      </c>
      <c r="P713">
        <f>IF(Greenleaf[[#This Row],[Shipment Status]]="Returned",1,0)</f>
        <v>0</v>
      </c>
      <c r="Q713">
        <f>IF(Greenleaf[[#This Row],[Shipment Status]]="Delivered",1,0)</f>
        <v>1</v>
      </c>
    </row>
    <row r="714" spans="1:17" x14ac:dyDescent="0.45">
      <c r="A714" t="s">
        <v>1066</v>
      </c>
      <c r="B714">
        <v>45548</v>
      </c>
      <c r="C714" t="s">
        <v>66</v>
      </c>
      <c r="D714" t="s">
        <v>67</v>
      </c>
      <c r="E714">
        <v>4</v>
      </c>
      <c r="F714">
        <v>12</v>
      </c>
      <c r="G714">
        <v>2.68</v>
      </c>
      <c r="H714" t="s">
        <v>36</v>
      </c>
      <c r="I714" t="s">
        <v>37</v>
      </c>
      <c r="J714" t="s">
        <v>47</v>
      </c>
      <c r="K714" t="s">
        <v>28</v>
      </c>
      <c r="L714">
        <f t="shared" si="33"/>
        <v>48</v>
      </c>
      <c r="M714">
        <f t="shared" si="34"/>
        <v>10.72</v>
      </c>
      <c r="N714">
        <f t="shared" si="35"/>
        <v>37.28</v>
      </c>
      <c r="O714" cm="1">
        <f t="array" ref="O714">_xlfn.LET(_xlpm.cat, Greenleaf[[#This Row],[Product Category]], _xlpm.prices, _xlfn._xlws.FILTER(Greenleaf[Unit Price], (Greenleaf[Product Category]=_xlpm.cat)*(Greenleaf[Unit Price]&lt;&gt;"")), IFERROR(MEDIAN(_xlpm.prices), ""))</f>
        <v>12</v>
      </c>
      <c r="P714">
        <f>IF(Greenleaf[[#This Row],[Shipment Status]]="Returned",1,0)</f>
        <v>0</v>
      </c>
      <c r="Q714">
        <f>IF(Greenleaf[[#This Row],[Shipment Status]]="Delivered",1,0)</f>
        <v>0</v>
      </c>
    </row>
    <row r="715" spans="1:17" x14ac:dyDescent="0.45">
      <c r="A715" t="s">
        <v>1067</v>
      </c>
      <c r="B715">
        <v>45549</v>
      </c>
      <c r="C715" t="s">
        <v>16</v>
      </c>
      <c r="D715" t="s">
        <v>17</v>
      </c>
      <c r="E715">
        <v>10</v>
      </c>
      <c r="F715">
        <v>10</v>
      </c>
      <c r="G715">
        <v>2.65</v>
      </c>
      <c r="H715" t="s">
        <v>414</v>
      </c>
      <c r="I715" t="s">
        <v>357</v>
      </c>
      <c r="J715" t="s">
        <v>27</v>
      </c>
      <c r="K715" t="s">
        <v>56</v>
      </c>
      <c r="L715">
        <f t="shared" si="33"/>
        <v>100</v>
      </c>
      <c r="M715">
        <f t="shared" si="34"/>
        <v>26.5</v>
      </c>
      <c r="N715">
        <f t="shared" si="35"/>
        <v>73.5</v>
      </c>
      <c r="O715" cm="1">
        <f t="array" ref="O715">_xlfn.LET(_xlpm.cat, Greenleaf[[#This Row],[Product Category]], _xlpm.prices, _xlfn._xlws.FILTER(Greenleaf[Unit Price], (Greenleaf[Product Category]=_xlpm.cat)*(Greenleaf[Unit Price]&lt;&gt;"")), IFERROR(MEDIAN(_xlpm.prices), ""))</f>
        <v>10</v>
      </c>
      <c r="P715">
        <f>IF(Greenleaf[[#This Row],[Shipment Status]]="Returned",1,0)</f>
        <v>0</v>
      </c>
      <c r="Q715">
        <f>IF(Greenleaf[[#This Row],[Shipment Status]]="Delivered",1,0)</f>
        <v>1</v>
      </c>
    </row>
    <row r="716" spans="1:17" x14ac:dyDescent="0.45">
      <c r="A716" t="s">
        <v>1068</v>
      </c>
      <c r="B716">
        <v>45549</v>
      </c>
      <c r="C716" t="s">
        <v>30</v>
      </c>
      <c r="D716" t="s">
        <v>31</v>
      </c>
      <c r="E716">
        <v>8</v>
      </c>
      <c r="F716">
        <v>40</v>
      </c>
      <c r="G716">
        <v>8.8699999999999992</v>
      </c>
      <c r="H716" t="s">
        <v>387</v>
      </c>
      <c r="I716" t="s">
        <v>161</v>
      </c>
      <c r="J716" t="s">
        <v>20</v>
      </c>
      <c r="K716" t="s">
        <v>134</v>
      </c>
      <c r="L716">
        <f t="shared" si="33"/>
        <v>320</v>
      </c>
      <c r="M716">
        <f t="shared" si="34"/>
        <v>70.959999999999994</v>
      </c>
      <c r="N716">
        <f t="shared" si="35"/>
        <v>249.04000000000002</v>
      </c>
      <c r="O716" cm="1">
        <f t="array" ref="O716">_xlfn.LET(_xlpm.cat, Greenleaf[[#This Row],[Product Category]], _xlpm.prices, _xlfn._xlws.FILTER(Greenleaf[Unit Price], (Greenleaf[Product Category]=_xlpm.cat)*(Greenleaf[Unit Price]&lt;&gt;"")), IFERROR(MEDIAN(_xlpm.prices), ""))</f>
        <v>40</v>
      </c>
      <c r="P716">
        <f>IF(Greenleaf[[#This Row],[Shipment Status]]="Returned",1,0)</f>
        <v>0</v>
      </c>
      <c r="Q716">
        <f>IF(Greenleaf[[#This Row],[Shipment Status]]="Delivered",1,0)</f>
        <v>0</v>
      </c>
    </row>
    <row r="717" spans="1:17" x14ac:dyDescent="0.45">
      <c r="A717" t="s">
        <v>1069</v>
      </c>
      <c r="B717">
        <v>45550</v>
      </c>
      <c r="C717" t="s">
        <v>30</v>
      </c>
      <c r="D717" t="s">
        <v>31</v>
      </c>
      <c r="E717">
        <v>3</v>
      </c>
      <c r="F717">
        <v>40</v>
      </c>
      <c r="G717">
        <v>14.24</v>
      </c>
      <c r="H717" t="s">
        <v>479</v>
      </c>
      <c r="I717" t="s">
        <v>480</v>
      </c>
      <c r="J717" t="s">
        <v>27</v>
      </c>
      <c r="K717" t="s">
        <v>38</v>
      </c>
      <c r="L717">
        <f t="shared" si="33"/>
        <v>120</v>
      </c>
      <c r="M717">
        <f t="shared" si="34"/>
        <v>42.72</v>
      </c>
      <c r="N717">
        <f t="shared" si="35"/>
        <v>77.28</v>
      </c>
      <c r="O717" cm="1">
        <f t="array" ref="O717">_xlfn.LET(_xlpm.cat, Greenleaf[[#This Row],[Product Category]], _xlpm.prices, _xlfn._xlws.FILTER(Greenleaf[Unit Price], (Greenleaf[Product Category]=_xlpm.cat)*(Greenleaf[Unit Price]&lt;&gt;"")), IFERROR(MEDIAN(_xlpm.prices), ""))</f>
        <v>40</v>
      </c>
      <c r="P717">
        <f>IF(Greenleaf[[#This Row],[Shipment Status]]="Returned",1,0)</f>
        <v>0</v>
      </c>
      <c r="Q717">
        <f>IF(Greenleaf[[#This Row],[Shipment Status]]="Delivered",1,0)</f>
        <v>1</v>
      </c>
    </row>
    <row r="718" spans="1:17" x14ac:dyDescent="0.45">
      <c r="A718" t="s">
        <v>1070</v>
      </c>
      <c r="B718">
        <v>45550</v>
      </c>
      <c r="C718" t="s">
        <v>16</v>
      </c>
      <c r="D718" t="s">
        <v>17</v>
      </c>
      <c r="E718">
        <v>2</v>
      </c>
      <c r="F718">
        <v>10</v>
      </c>
      <c r="G718">
        <v>3.03</v>
      </c>
      <c r="H718" t="s">
        <v>1071</v>
      </c>
      <c r="I718" t="s">
        <v>477</v>
      </c>
      <c r="J718" t="s">
        <v>20</v>
      </c>
      <c r="K718" t="s">
        <v>43</v>
      </c>
      <c r="L718">
        <f t="shared" si="33"/>
        <v>20</v>
      </c>
      <c r="M718">
        <f t="shared" si="34"/>
        <v>6.06</v>
      </c>
      <c r="N718">
        <f t="shared" si="35"/>
        <v>13.940000000000001</v>
      </c>
      <c r="O718" cm="1">
        <f t="array" ref="O718">_xlfn.LET(_xlpm.cat, Greenleaf[[#This Row],[Product Category]], _xlpm.prices, _xlfn._xlws.FILTER(Greenleaf[Unit Price], (Greenleaf[Product Category]=_xlpm.cat)*(Greenleaf[Unit Price]&lt;&gt;"")), IFERROR(MEDIAN(_xlpm.prices), ""))</f>
        <v>10</v>
      </c>
      <c r="P718">
        <f>IF(Greenleaf[[#This Row],[Shipment Status]]="Returned",1,0)</f>
        <v>0</v>
      </c>
      <c r="Q718">
        <f>IF(Greenleaf[[#This Row],[Shipment Status]]="Delivered",1,0)</f>
        <v>0</v>
      </c>
    </row>
    <row r="719" spans="1:17" x14ac:dyDescent="0.45">
      <c r="A719" t="s">
        <v>1072</v>
      </c>
      <c r="B719">
        <v>45551</v>
      </c>
      <c r="C719" t="s">
        <v>16</v>
      </c>
      <c r="D719" t="s">
        <v>17</v>
      </c>
      <c r="E719">
        <v>9</v>
      </c>
      <c r="F719">
        <v>10</v>
      </c>
      <c r="G719">
        <v>2.11</v>
      </c>
      <c r="H719" t="s">
        <v>18</v>
      </c>
      <c r="I719" t="s">
        <v>19</v>
      </c>
      <c r="J719" t="s">
        <v>20</v>
      </c>
      <c r="K719" t="s">
        <v>38</v>
      </c>
      <c r="L719">
        <f t="shared" si="33"/>
        <v>90</v>
      </c>
      <c r="M719">
        <f t="shared" si="34"/>
        <v>18.989999999999998</v>
      </c>
      <c r="N719">
        <f t="shared" si="35"/>
        <v>71.010000000000005</v>
      </c>
      <c r="O719" cm="1">
        <f t="array" ref="O719">_xlfn.LET(_xlpm.cat, Greenleaf[[#This Row],[Product Category]], _xlpm.prices, _xlfn._xlws.FILTER(Greenleaf[Unit Price], (Greenleaf[Product Category]=_xlpm.cat)*(Greenleaf[Unit Price]&lt;&gt;"")), IFERROR(MEDIAN(_xlpm.prices), ""))</f>
        <v>10</v>
      </c>
      <c r="P719">
        <f>IF(Greenleaf[[#This Row],[Shipment Status]]="Returned",1,0)</f>
        <v>0</v>
      </c>
      <c r="Q719">
        <f>IF(Greenleaf[[#This Row],[Shipment Status]]="Delivered",1,0)</f>
        <v>0</v>
      </c>
    </row>
    <row r="720" spans="1:17" x14ac:dyDescent="0.45">
      <c r="A720" t="s">
        <v>1073</v>
      </c>
      <c r="B720">
        <v>45551</v>
      </c>
      <c r="C720" t="s">
        <v>23</v>
      </c>
      <c r="D720" t="s">
        <v>24</v>
      </c>
      <c r="E720">
        <v>10</v>
      </c>
      <c r="F720">
        <v>25</v>
      </c>
      <c r="G720">
        <v>6.58</v>
      </c>
      <c r="H720" t="s">
        <v>439</v>
      </c>
      <c r="I720" t="s">
        <v>440</v>
      </c>
      <c r="J720" t="s">
        <v>27</v>
      </c>
      <c r="K720" t="s">
        <v>38</v>
      </c>
      <c r="L720">
        <f t="shared" si="33"/>
        <v>250</v>
      </c>
      <c r="M720">
        <f t="shared" si="34"/>
        <v>65.8</v>
      </c>
      <c r="N720">
        <f t="shared" si="35"/>
        <v>184.2</v>
      </c>
      <c r="O720" cm="1">
        <f t="array" ref="O720">_xlfn.LET(_xlpm.cat, Greenleaf[[#This Row],[Product Category]], _xlpm.prices, _xlfn._xlws.FILTER(Greenleaf[Unit Price], (Greenleaf[Product Category]=_xlpm.cat)*(Greenleaf[Unit Price]&lt;&gt;"")), IFERROR(MEDIAN(_xlpm.prices), ""))</f>
        <v>25</v>
      </c>
      <c r="P720">
        <f>IF(Greenleaf[[#This Row],[Shipment Status]]="Returned",1,0)</f>
        <v>0</v>
      </c>
      <c r="Q720">
        <f>IF(Greenleaf[[#This Row],[Shipment Status]]="Delivered",1,0)</f>
        <v>1</v>
      </c>
    </row>
    <row r="721" spans="1:17" x14ac:dyDescent="0.45">
      <c r="A721" t="s">
        <v>1074</v>
      </c>
      <c r="B721">
        <v>45552</v>
      </c>
      <c r="C721" t="s">
        <v>30</v>
      </c>
      <c r="D721" t="s">
        <v>31</v>
      </c>
      <c r="E721">
        <v>6</v>
      </c>
      <c r="F721">
        <v>40</v>
      </c>
      <c r="G721">
        <v>15.57</v>
      </c>
      <c r="H721" t="s">
        <v>482</v>
      </c>
      <c r="I721" t="s">
        <v>143</v>
      </c>
      <c r="J721" t="s">
        <v>27</v>
      </c>
      <c r="K721" t="s">
        <v>43</v>
      </c>
      <c r="L721">
        <f t="shared" si="33"/>
        <v>240</v>
      </c>
      <c r="M721">
        <f t="shared" si="34"/>
        <v>93.42</v>
      </c>
      <c r="N721">
        <f t="shared" si="35"/>
        <v>146.57999999999998</v>
      </c>
      <c r="O721" cm="1">
        <f t="array" ref="O721">_xlfn.LET(_xlpm.cat, Greenleaf[[#This Row],[Product Category]], _xlpm.prices, _xlfn._xlws.FILTER(Greenleaf[Unit Price], (Greenleaf[Product Category]=_xlpm.cat)*(Greenleaf[Unit Price]&lt;&gt;"")), IFERROR(MEDIAN(_xlpm.prices), ""))</f>
        <v>40</v>
      </c>
      <c r="P721">
        <f>IF(Greenleaf[[#This Row],[Shipment Status]]="Returned",1,0)</f>
        <v>0</v>
      </c>
      <c r="Q721">
        <f>IF(Greenleaf[[#This Row],[Shipment Status]]="Delivered",1,0)</f>
        <v>1</v>
      </c>
    </row>
    <row r="722" spans="1:17" x14ac:dyDescent="0.45">
      <c r="A722" t="s">
        <v>1075</v>
      </c>
      <c r="B722">
        <v>45552</v>
      </c>
      <c r="C722" t="s">
        <v>23</v>
      </c>
      <c r="D722" t="s">
        <v>24</v>
      </c>
      <c r="E722">
        <v>9</v>
      </c>
      <c r="F722">
        <v>25</v>
      </c>
      <c r="G722">
        <v>8.24</v>
      </c>
      <c r="H722" t="s">
        <v>303</v>
      </c>
      <c r="I722" t="s">
        <v>214</v>
      </c>
      <c r="J722" t="s">
        <v>27</v>
      </c>
      <c r="K722" t="s">
        <v>21</v>
      </c>
      <c r="L722">
        <f t="shared" si="33"/>
        <v>225</v>
      </c>
      <c r="M722">
        <f t="shared" si="34"/>
        <v>74.16</v>
      </c>
      <c r="N722">
        <f t="shared" si="35"/>
        <v>150.84</v>
      </c>
      <c r="O722" cm="1">
        <f t="array" ref="O722">_xlfn.LET(_xlpm.cat, Greenleaf[[#This Row],[Product Category]], _xlpm.prices, _xlfn._xlws.FILTER(Greenleaf[Unit Price], (Greenleaf[Product Category]=_xlpm.cat)*(Greenleaf[Unit Price]&lt;&gt;"")), IFERROR(MEDIAN(_xlpm.prices), ""))</f>
        <v>25</v>
      </c>
      <c r="P722">
        <f>IF(Greenleaf[[#This Row],[Shipment Status]]="Returned",1,0)</f>
        <v>0</v>
      </c>
      <c r="Q722">
        <f>IF(Greenleaf[[#This Row],[Shipment Status]]="Delivered",1,0)</f>
        <v>1</v>
      </c>
    </row>
    <row r="723" spans="1:17" x14ac:dyDescent="0.45">
      <c r="A723" t="s">
        <v>1076</v>
      </c>
      <c r="B723">
        <v>45552</v>
      </c>
      <c r="C723" t="s">
        <v>23</v>
      </c>
      <c r="D723" t="s">
        <v>24</v>
      </c>
      <c r="E723">
        <v>10</v>
      </c>
      <c r="F723">
        <v>25</v>
      </c>
      <c r="G723">
        <v>5.84</v>
      </c>
      <c r="H723" t="s">
        <v>851</v>
      </c>
      <c r="I723" t="s">
        <v>852</v>
      </c>
      <c r="J723" t="s">
        <v>20</v>
      </c>
      <c r="K723" t="s">
        <v>21</v>
      </c>
      <c r="L723">
        <f t="shared" si="33"/>
        <v>250</v>
      </c>
      <c r="M723">
        <f t="shared" si="34"/>
        <v>58.4</v>
      </c>
      <c r="N723">
        <f t="shared" si="35"/>
        <v>191.6</v>
      </c>
      <c r="O723" cm="1">
        <f t="array" ref="O723">_xlfn.LET(_xlpm.cat, Greenleaf[[#This Row],[Product Category]], _xlpm.prices, _xlfn._xlws.FILTER(Greenleaf[Unit Price], (Greenleaf[Product Category]=_xlpm.cat)*(Greenleaf[Unit Price]&lt;&gt;"")), IFERROR(MEDIAN(_xlpm.prices), ""))</f>
        <v>25</v>
      </c>
      <c r="P723">
        <f>IF(Greenleaf[[#This Row],[Shipment Status]]="Returned",1,0)</f>
        <v>0</v>
      </c>
      <c r="Q723">
        <f>IF(Greenleaf[[#This Row],[Shipment Status]]="Delivered",1,0)</f>
        <v>0</v>
      </c>
    </row>
    <row r="724" spans="1:17" x14ac:dyDescent="0.45">
      <c r="A724" t="s">
        <v>1077</v>
      </c>
      <c r="B724">
        <v>45553</v>
      </c>
      <c r="C724" t="s">
        <v>16</v>
      </c>
      <c r="D724" t="s">
        <v>17</v>
      </c>
      <c r="E724">
        <v>4</v>
      </c>
      <c r="F724">
        <v>10</v>
      </c>
      <c r="G724">
        <v>3.28</v>
      </c>
      <c r="H724" t="s">
        <v>25</v>
      </c>
      <c r="I724" t="s">
        <v>26</v>
      </c>
      <c r="J724" t="s">
        <v>27</v>
      </c>
      <c r="K724" t="s">
        <v>70</v>
      </c>
      <c r="L724">
        <f t="shared" si="33"/>
        <v>40</v>
      </c>
      <c r="M724">
        <f t="shared" si="34"/>
        <v>13.12</v>
      </c>
      <c r="N724">
        <f t="shared" si="35"/>
        <v>26.880000000000003</v>
      </c>
      <c r="O724" cm="1">
        <f t="array" ref="O724">_xlfn.LET(_xlpm.cat, Greenleaf[[#This Row],[Product Category]], _xlpm.prices, _xlfn._xlws.FILTER(Greenleaf[Unit Price], (Greenleaf[Product Category]=_xlpm.cat)*(Greenleaf[Unit Price]&lt;&gt;"")), IFERROR(MEDIAN(_xlpm.prices), ""))</f>
        <v>10</v>
      </c>
      <c r="P724">
        <f>IF(Greenleaf[[#This Row],[Shipment Status]]="Returned",1,0)</f>
        <v>0</v>
      </c>
      <c r="Q724">
        <f>IF(Greenleaf[[#This Row],[Shipment Status]]="Delivered",1,0)</f>
        <v>1</v>
      </c>
    </row>
    <row r="725" spans="1:17" x14ac:dyDescent="0.45">
      <c r="A725" t="s">
        <v>1078</v>
      </c>
      <c r="B725">
        <v>45553</v>
      </c>
      <c r="C725" t="s">
        <v>23</v>
      </c>
      <c r="D725" t="s">
        <v>24</v>
      </c>
      <c r="E725">
        <v>8</v>
      </c>
      <c r="F725">
        <v>25</v>
      </c>
      <c r="G725">
        <v>9.33</v>
      </c>
      <c r="H725" t="s">
        <v>310</v>
      </c>
      <c r="I725" t="s">
        <v>311</v>
      </c>
      <c r="J725" t="s">
        <v>27</v>
      </c>
      <c r="K725" t="s">
        <v>74</v>
      </c>
      <c r="L725">
        <f t="shared" si="33"/>
        <v>200</v>
      </c>
      <c r="M725">
        <f t="shared" si="34"/>
        <v>74.64</v>
      </c>
      <c r="N725">
        <f t="shared" si="35"/>
        <v>125.36</v>
      </c>
      <c r="O725" cm="1">
        <f t="array" ref="O725">_xlfn.LET(_xlpm.cat, Greenleaf[[#This Row],[Product Category]], _xlpm.prices, _xlfn._xlws.FILTER(Greenleaf[Unit Price], (Greenleaf[Product Category]=_xlpm.cat)*(Greenleaf[Unit Price]&lt;&gt;"")), IFERROR(MEDIAN(_xlpm.prices), ""))</f>
        <v>25</v>
      </c>
      <c r="P725">
        <f>IF(Greenleaf[[#This Row],[Shipment Status]]="Returned",1,0)</f>
        <v>0</v>
      </c>
      <c r="Q725">
        <f>IF(Greenleaf[[#This Row],[Shipment Status]]="Delivered",1,0)</f>
        <v>1</v>
      </c>
    </row>
    <row r="726" spans="1:17" x14ac:dyDescent="0.45">
      <c r="A726" t="s">
        <v>1079</v>
      </c>
      <c r="B726">
        <v>45554</v>
      </c>
      <c r="C726" t="s">
        <v>49</v>
      </c>
      <c r="D726" t="s">
        <v>50</v>
      </c>
      <c r="E726">
        <v>10</v>
      </c>
      <c r="F726">
        <v>15</v>
      </c>
      <c r="G726">
        <v>5.0199999999999996</v>
      </c>
      <c r="H726" t="s">
        <v>326</v>
      </c>
      <c r="I726" t="s">
        <v>327</v>
      </c>
      <c r="J726" t="s">
        <v>27</v>
      </c>
      <c r="K726" t="s">
        <v>134</v>
      </c>
      <c r="L726">
        <f t="shared" si="33"/>
        <v>150</v>
      </c>
      <c r="M726">
        <f t="shared" si="34"/>
        <v>50.199999999999996</v>
      </c>
      <c r="N726">
        <f t="shared" si="35"/>
        <v>99.800000000000011</v>
      </c>
      <c r="O726" cm="1">
        <f t="array" ref="O726">_xlfn.LET(_xlpm.cat, Greenleaf[[#This Row],[Product Category]], _xlpm.prices, _xlfn._xlws.FILTER(Greenleaf[Unit Price], (Greenleaf[Product Category]=_xlpm.cat)*(Greenleaf[Unit Price]&lt;&gt;"")), IFERROR(MEDIAN(_xlpm.prices), ""))</f>
        <v>15</v>
      </c>
      <c r="P726">
        <f>IF(Greenleaf[[#This Row],[Shipment Status]]="Returned",1,0)</f>
        <v>0</v>
      </c>
      <c r="Q726">
        <f>IF(Greenleaf[[#This Row],[Shipment Status]]="Delivered",1,0)</f>
        <v>1</v>
      </c>
    </row>
    <row r="727" spans="1:17" x14ac:dyDescent="0.45">
      <c r="A727" t="s">
        <v>1080</v>
      </c>
      <c r="B727">
        <v>45554</v>
      </c>
      <c r="C727" t="s">
        <v>23</v>
      </c>
      <c r="D727" t="s">
        <v>24</v>
      </c>
      <c r="E727">
        <v>1</v>
      </c>
      <c r="F727">
        <v>25</v>
      </c>
      <c r="G727">
        <v>8.68</v>
      </c>
      <c r="H727" t="s">
        <v>361</v>
      </c>
      <c r="I727" t="s">
        <v>357</v>
      </c>
      <c r="J727" t="s">
        <v>47</v>
      </c>
      <c r="K727" t="s">
        <v>28</v>
      </c>
      <c r="L727">
        <f t="shared" si="33"/>
        <v>25</v>
      </c>
      <c r="M727">
        <f t="shared" si="34"/>
        <v>8.68</v>
      </c>
      <c r="N727">
        <f t="shared" si="35"/>
        <v>16.32</v>
      </c>
      <c r="O727" cm="1">
        <f t="array" ref="O727">_xlfn.LET(_xlpm.cat, Greenleaf[[#This Row],[Product Category]], _xlpm.prices, _xlfn._xlws.FILTER(Greenleaf[Unit Price], (Greenleaf[Product Category]=_xlpm.cat)*(Greenleaf[Unit Price]&lt;&gt;"")), IFERROR(MEDIAN(_xlpm.prices), ""))</f>
        <v>25</v>
      </c>
      <c r="P727">
        <f>IF(Greenleaf[[#This Row],[Shipment Status]]="Returned",1,0)</f>
        <v>0</v>
      </c>
      <c r="Q727">
        <f>IF(Greenleaf[[#This Row],[Shipment Status]]="Delivered",1,0)</f>
        <v>0</v>
      </c>
    </row>
    <row r="728" spans="1:17" x14ac:dyDescent="0.45">
      <c r="A728" t="s">
        <v>1081</v>
      </c>
      <c r="B728">
        <v>45554</v>
      </c>
      <c r="C728" t="s">
        <v>30</v>
      </c>
      <c r="D728" t="s">
        <v>31</v>
      </c>
      <c r="E728">
        <v>7</v>
      </c>
      <c r="F728">
        <v>40</v>
      </c>
      <c r="G728">
        <v>8.74</v>
      </c>
      <c r="H728" t="s">
        <v>731</v>
      </c>
      <c r="I728" t="s">
        <v>732</v>
      </c>
      <c r="J728" t="s">
        <v>20</v>
      </c>
      <c r="K728" t="s">
        <v>43</v>
      </c>
      <c r="L728">
        <f t="shared" si="33"/>
        <v>280</v>
      </c>
      <c r="M728">
        <f t="shared" si="34"/>
        <v>61.18</v>
      </c>
      <c r="N728">
        <f t="shared" si="35"/>
        <v>218.82</v>
      </c>
      <c r="O728" cm="1">
        <f t="array" ref="O728">_xlfn.LET(_xlpm.cat, Greenleaf[[#This Row],[Product Category]], _xlpm.prices, _xlfn._xlws.FILTER(Greenleaf[Unit Price], (Greenleaf[Product Category]=_xlpm.cat)*(Greenleaf[Unit Price]&lt;&gt;"")), IFERROR(MEDIAN(_xlpm.prices), ""))</f>
        <v>40</v>
      </c>
      <c r="P728">
        <f>IF(Greenleaf[[#This Row],[Shipment Status]]="Returned",1,0)</f>
        <v>0</v>
      </c>
      <c r="Q728">
        <f>IF(Greenleaf[[#This Row],[Shipment Status]]="Delivered",1,0)</f>
        <v>0</v>
      </c>
    </row>
    <row r="729" spans="1:17" x14ac:dyDescent="0.45">
      <c r="A729" t="s">
        <v>1082</v>
      </c>
      <c r="B729">
        <v>45555</v>
      </c>
      <c r="C729" t="s">
        <v>23</v>
      </c>
      <c r="D729" t="s">
        <v>24</v>
      </c>
      <c r="E729">
        <v>3</v>
      </c>
      <c r="F729">
        <v>25</v>
      </c>
      <c r="G729">
        <v>7.17</v>
      </c>
      <c r="H729" t="s">
        <v>1049</v>
      </c>
      <c r="I729" t="s">
        <v>574</v>
      </c>
      <c r="J729" t="s">
        <v>27</v>
      </c>
      <c r="K729" t="s">
        <v>38</v>
      </c>
      <c r="L729">
        <f t="shared" si="33"/>
        <v>75</v>
      </c>
      <c r="M729">
        <f t="shared" si="34"/>
        <v>21.509999999999998</v>
      </c>
      <c r="N729">
        <f t="shared" si="35"/>
        <v>53.49</v>
      </c>
      <c r="O729" cm="1">
        <f t="array" ref="O729">_xlfn.LET(_xlpm.cat, Greenleaf[[#This Row],[Product Category]], _xlpm.prices, _xlfn._xlws.FILTER(Greenleaf[Unit Price], (Greenleaf[Product Category]=_xlpm.cat)*(Greenleaf[Unit Price]&lt;&gt;"")), IFERROR(MEDIAN(_xlpm.prices), ""))</f>
        <v>25</v>
      </c>
      <c r="P729">
        <f>IF(Greenleaf[[#This Row],[Shipment Status]]="Returned",1,0)</f>
        <v>0</v>
      </c>
      <c r="Q729">
        <f>IF(Greenleaf[[#This Row],[Shipment Status]]="Delivered",1,0)</f>
        <v>1</v>
      </c>
    </row>
    <row r="730" spans="1:17" x14ac:dyDescent="0.45">
      <c r="A730" t="s">
        <v>1083</v>
      </c>
      <c r="B730">
        <v>45556</v>
      </c>
      <c r="C730" t="s">
        <v>16</v>
      </c>
      <c r="D730" t="s">
        <v>17</v>
      </c>
      <c r="E730">
        <v>8</v>
      </c>
      <c r="F730">
        <v>10</v>
      </c>
      <c r="G730">
        <v>3.47</v>
      </c>
      <c r="H730" t="s">
        <v>1084</v>
      </c>
      <c r="I730" t="s">
        <v>333</v>
      </c>
      <c r="J730" t="s">
        <v>20</v>
      </c>
      <c r="K730" t="s">
        <v>38</v>
      </c>
      <c r="L730">
        <f t="shared" si="33"/>
        <v>80</v>
      </c>
      <c r="M730">
        <f t="shared" si="34"/>
        <v>27.76</v>
      </c>
      <c r="N730">
        <f t="shared" si="35"/>
        <v>52.239999999999995</v>
      </c>
      <c r="O730" cm="1">
        <f t="array" ref="O730">_xlfn.LET(_xlpm.cat, Greenleaf[[#This Row],[Product Category]], _xlpm.prices, _xlfn._xlws.FILTER(Greenleaf[Unit Price], (Greenleaf[Product Category]=_xlpm.cat)*(Greenleaf[Unit Price]&lt;&gt;"")), IFERROR(MEDIAN(_xlpm.prices), ""))</f>
        <v>10</v>
      </c>
      <c r="P730">
        <f>IF(Greenleaf[[#This Row],[Shipment Status]]="Returned",1,0)</f>
        <v>0</v>
      </c>
      <c r="Q730">
        <f>IF(Greenleaf[[#This Row],[Shipment Status]]="Delivered",1,0)</f>
        <v>0</v>
      </c>
    </row>
    <row r="731" spans="1:17" x14ac:dyDescent="0.45">
      <c r="A731" t="s">
        <v>1085</v>
      </c>
      <c r="B731">
        <v>45557</v>
      </c>
      <c r="C731" t="s">
        <v>66</v>
      </c>
      <c r="D731" t="s">
        <v>67</v>
      </c>
      <c r="E731">
        <v>5</v>
      </c>
      <c r="F731">
        <v>12</v>
      </c>
      <c r="G731">
        <v>2.78</v>
      </c>
      <c r="H731" t="s">
        <v>802</v>
      </c>
      <c r="I731" t="s">
        <v>333</v>
      </c>
      <c r="J731" t="s">
        <v>20</v>
      </c>
      <c r="K731" t="s">
        <v>34</v>
      </c>
      <c r="L731">
        <f t="shared" si="33"/>
        <v>60</v>
      </c>
      <c r="M731">
        <f t="shared" si="34"/>
        <v>13.899999999999999</v>
      </c>
      <c r="N731">
        <f t="shared" si="35"/>
        <v>46.1</v>
      </c>
      <c r="O731" cm="1">
        <f t="array" ref="O731">_xlfn.LET(_xlpm.cat, Greenleaf[[#This Row],[Product Category]], _xlpm.prices, _xlfn._xlws.FILTER(Greenleaf[Unit Price], (Greenleaf[Product Category]=_xlpm.cat)*(Greenleaf[Unit Price]&lt;&gt;"")), IFERROR(MEDIAN(_xlpm.prices), ""))</f>
        <v>12</v>
      </c>
      <c r="P731">
        <f>IF(Greenleaf[[#This Row],[Shipment Status]]="Returned",1,0)</f>
        <v>0</v>
      </c>
      <c r="Q731">
        <f>IF(Greenleaf[[#This Row],[Shipment Status]]="Delivered",1,0)</f>
        <v>0</v>
      </c>
    </row>
    <row r="732" spans="1:17" x14ac:dyDescent="0.45">
      <c r="A732" t="s">
        <v>1086</v>
      </c>
      <c r="B732">
        <v>45557</v>
      </c>
      <c r="C732" t="s">
        <v>66</v>
      </c>
      <c r="D732" t="s">
        <v>67</v>
      </c>
      <c r="E732">
        <v>9</v>
      </c>
      <c r="F732">
        <v>12</v>
      </c>
      <c r="G732">
        <v>2.94</v>
      </c>
      <c r="H732" t="s">
        <v>158</v>
      </c>
      <c r="I732" t="s">
        <v>37</v>
      </c>
      <c r="J732" t="s">
        <v>27</v>
      </c>
      <c r="K732" t="s">
        <v>134</v>
      </c>
      <c r="L732">
        <f t="shared" si="33"/>
        <v>108</v>
      </c>
      <c r="M732">
        <f t="shared" si="34"/>
        <v>26.46</v>
      </c>
      <c r="N732">
        <f t="shared" si="35"/>
        <v>81.539999999999992</v>
      </c>
      <c r="O732" cm="1">
        <f t="array" ref="O732">_xlfn.LET(_xlpm.cat, Greenleaf[[#This Row],[Product Category]], _xlpm.prices, _xlfn._xlws.FILTER(Greenleaf[Unit Price], (Greenleaf[Product Category]=_xlpm.cat)*(Greenleaf[Unit Price]&lt;&gt;"")), IFERROR(MEDIAN(_xlpm.prices), ""))</f>
        <v>12</v>
      </c>
      <c r="P732">
        <f>IF(Greenleaf[[#This Row],[Shipment Status]]="Returned",1,0)</f>
        <v>0</v>
      </c>
      <c r="Q732">
        <f>IF(Greenleaf[[#This Row],[Shipment Status]]="Delivered",1,0)</f>
        <v>1</v>
      </c>
    </row>
    <row r="733" spans="1:17" x14ac:dyDescent="0.45">
      <c r="A733" t="s">
        <v>1087</v>
      </c>
      <c r="B733">
        <v>45557</v>
      </c>
      <c r="C733" t="s">
        <v>66</v>
      </c>
      <c r="D733" t="s">
        <v>67</v>
      </c>
      <c r="E733">
        <v>3</v>
      </c>
      <c r="F733">
        <v>12</v>
      </c>
      <c r="G733">
        <v>4.49</v>
      </c>
      <c r="H733" t="s">
        <v>482</v>
      </c>
      <c r="I733" t="s">
        <v>143</v>
      </c>
      <c r="J733" t="s">
        <v>27</v>
      </c>
      <c r="K733" t="s">
        <v>34</v>
      </c>
      <c r="L733">
        <f t="shared" si="33"/>
        <v>36</v>
      </c>
      <c r="M733">
        <f t="shared" si="34"/>
        <v>13.47</v>
      </c>
      <c r="N733">
        <f t="shared" si="35"/>
        <v>22.53</v>
      </c>
      <c r="O733" cm="1">
        <f t="array" ref="O733">_xlfn.LET(_xlpm.cat, Greenleaf[[#This Row],[Product Category]], _xlpm.prices, _xlfn._xlws.FILTER(Greenleaf[Unit Price], (Greenleaf[Product Category]=_xlpm.cat)*(Greenleaf[Unit Price]&lt;&gt;"")), IFERROR(MEDIAN(_xlpm.prices), ""))</f>
        <v>12</v>
      </c>
      <c r="P733">
        <f>IF(Greenleaf[[#This Row],[Shipment Status]]="Returned",1,0)</f>
        <v>0</v>
      </c>
      <c r="Q733">
        <f>IF(Greenleaf[[#This Row],[Shipment Status]]="Delivered",1,0)</f>
        <v>1</v>
      </c>
    </row>
    <row r="734" spans="1:17" x14ac:dyDescent="0.45">
      <c r="A734" t="s">
        <v>1088</v>
      </c>
      <c r="B734">
        <v>45558</v>
      </c>
      <c r="C734" t="s">
        <v>23</v>
      </c>
      <c r="D734" t="s">
        <v>24</v>
      </c>
      <c r="E734">
        <v>8</v>
      </c>
      <c r="F734">
        <v>25</v>
      </c>
      <c r="G734">
        <v>6.84</v>
      </c>
      <c r="H734" t="s">
        <v>510</v>
      </c>
      <c r="I734" t="s">
        <v>511</v>
      </c>
      <c r="J734" t="s">
        <v>42</v>
      </c>
      <c r="K734" t="s">
        <v>74</v>
      </c>
      <c r="L734">
        <f t="shared" si="33"/>
        <v>200</v>
      </c>
      <c r="M734">
        <f t="shared" si="34"/>
        <v>54.72</v>
      </c>
      <c r="N734">
        <f t="shared" si="35"/>
        <v>145.28</v>
      </c>
      <c r="O734" cm="1">
        <f t="array" ref="O734">_xlfn.LET(_xlpm.cat, Greenleaf[[#This Row],[Product Category]], _xlpm.prices, _xlfn._xlws.FILTER(Greenleaf[Unit Price], (Greenleaf[Product Category]=_xlpm.cat)*(Greenleaf[Unit Price]&lt;&gt;"")), IFERROR(MEDIAN(_xlpm.prices), ""))</f>
        <v>25</v>
      </c>
      <c r="P734">
        <f>IF(Greenleaf[[#This Row],[Shipment Status]]="Returned",1,0)</f>
        <v>1</v>
      </c>
      <c r="Q734">
        <f>IF(Greenleaf[[#This Row],[Shipment Status]]="Delivered",1,0)</f>
        <v>0</v>
      </c>
    </row>
    <row r="735" spans="1:17" x14ac:dyDescent="0.45">
      <c r="A735" t="s">
        <v>1089</v>
      </c>
      <c r="B735">
        <v>45558</v>
      </c>
      <c r="C735" t="s">
        <v>23</v>
      </c>
      <c r="D735" t="s">
        <v>24</v>
      </c>
      <c r="E735">
        <v>9</v>
      </c>
      <c r="F735">
        <v>25</v>
      </c>
      <c r="G735">
        <v>7.79</v>
      </c>
      <c r="H735" t="s">
        <v>409</v>
      </c>
      <c r="I735" t="s">
        <v>19</v>
      </c>
      <c r="J735" t="s">
        <v>27</v>
      </c>
      <c r="K735" t="s">
        <v>59</v>
      </c>
      <c r="L735">
        <f t="shared" si="33"/>
        <v>225</v>
      </c>
      <c r="M735">
        <f t="shared" si="34"/>
        <v>70.11</v>
      </c>
      <c r="N735">
        <f t="shared" si="35"/>
        <v>154.88999999999999</v>
      </c>
      <c r="O735" cm="1">
        <f t="array" ref="O735">_xlfn.LET(_xlpm.cat, Greenleaf[[#This Row],[Product Category]], _xlpm.prices, _xlfn._xlws.FILTER(Greenleaf[Unit Price], (Greenleaf[Product Category]=_xlpm.cat)*(Greenleaf[Unit Price]&lt;&gt;"")), IFERROR(MEDIAN(_xlpm.prices), ""))</f>
        <v>25</v>
      </c>
      <c r="P735">
        <f>IF(Greenleaf[[#This Row],[Shipment Status]]="Returned",1,0)</f>
        <v>0</v>
      </c>
      <c r="Q735">
        <f>IF(Greenleaf[[#This Row],[Shipment Status]]="Delivered",1,0)</f>
        <v>1</v>
      </c>
    </row>
    <row r="736" spans="1:17" x14ac:dyDescent="0.45">
      <c r="A736" t="s">
        <v>1090</v>
      </c>
      <c r="B736">
        <v>45558</v>
      </c>
      <c r="C736" t="s">
        <v>23</v>
      </c>
      <c r="D736" t="s">
        <v>24</v>
      </c>
      <c r="E736">
        <v>7</v>
      </c>
      <c r="F736">
        <v>25</v>
      </c>
      <c r="G736">
        <v>8.2899999999999991</v>
      </c>
      <c r="H736" t="s">
        <v>674</v>
      </c>
      <c r="I736" t="s">
        <v>353</v>
      </c>
      <c r="J736" t="s">
        <v>27</v>
      </c>
      <c r="K736" t="s">
        <v>43</v>
      </c>
      <c r="L736">
        <f t="shared" si="33"/>
        <v>175</v>
      </c>
      <c r="M736">
        <f t="shared" si="34"/>
        <v>58.029999999999994</v>
      </c>
      <c r="N736">
        <f t="shared" si="35"/>
        <v>116.97</v>
      </c>
      <c r="O736" cm="1">
        <f t="array" ref="O736">_xlfn.LET(_xlpm.cat, Greenleaf[[#This Row],[Product Category]], _xlpm.prices, _xlfn._xlws.FILTER(Greenleaf[Unit Price], (Greenleaf[Product Category]=_xlpm.cat)*(Greenleaf[Unit Price]&lt;&gt;"")), IFERROR(MEDIAN(_xlpm.prices), ""))</f>
        <v>25</v>
      </c>
      <c r="P736">
        <f>IF(Greenleaf[[#This Row],[Shipment Status]]="Returned",1,0)</f>
        <v>0</v>
      </c>
      <c r="Q736">
        <f>IF(Greenleaf[[#This Row],[Shipment Status]]="Delivered",1,0)</f>
        <v>1</v>
      </c>
    </row>
    <row r="737" spans="1:17" x14ac:dyDescent="0.45">
      <c r="A737" t="s">
        <v>1091</v>
      </c>
      <c r="B737">
        <v>45559</v>
      </c>
      <c r="C737" t="s">
        <v>16</v>
      </c>
      <c r="D737" t="s">
        <v>17</v>
      </c>
      <c r="E737">
        <v>2</v>
      </c>
      <c r="F737">
        <v>10</v>
      </c>
      <c r="G737">
        <v>2.94</v>
      </c>
      <c r="H737" t="s">
        <v>411</v>
      </c>
      <c r="I737" t="s">
        <v>201</v>
      </c>
      <c r="J737" t="s">
        <v>47</v>
      </c>
      <c r="K737" t="s">
        <v>21</v>
      </c>
      <c r="L737">
        <f t="shared" si="33"/>
        <v>20</v>
      </c>
      <c r="M737">
        <f t="shared" si="34"/>
        <v>5.88</v>
      </c>
      <c r="N737">
        <f t="shared" si="35"/>
        <v>14.120000000000001</v>
      </c>
      <c r="O737" cm="1">
        <f t="array" ref="O737">_xlfn.LET(_xlpm.cat, Greenleaf[[#This Row],[Product Category]], _xlpm.prices, _xlfn._xlws.FILTER(Greenleaf[Unit Price], (Greenleaf[Product Category]=_xlpm.cat)*(Greenleaf[Unit Price]&lt;&gt;"")), IFERROR(MEDIAN(_xlpm.prices), ""))</f>
        <v>10</v>
      </c>
      <c r="P737">
        <f>IF(Greenleaf[[#This Row],[Shipment Status]]="Returned",1,0)</f>
        <v>0</v>
      </c>
      <c r="Q737">
        <f>IF(Greenleaf[[#This Row],[Shipment Status]]="Delivered",1,0)</f>
        <v>0</v>
      </c>
    </row>
    <row r="738" spans="1:17" x14ac:dyDescent="0.45">
      <c r="A738" t="s">
        <v>1092</v>
      </c>
      <c r="B738">
        <v>45559</v>
      </c>
      <c r="C738" t="s">
        <v>16</v>
      </c>
      <c r="D738" t="s">
        <v>17</v>
      </c>
      <c r="E738">
        <v>1</v>
      </c>
      <c r="F738">
        <v>10</v>
      </c>
      <c r="G738">
        <v>3.62</v>
      </c>
      <c r="H738" t="s">
        <v>365</v>
      </c>
      <c r="I738" t="s">
        <v>115</v>
      </c>
      <c r="J738" t="s">
        <v>27</v>
      </c>
      <c r="K738" t="s">
        <v>21</v>
      </c>
      <c r="L738">
        <f t="shared" si="33"/>
        <v>10</v>
      </c>
      <c r="M738">
        <f t="shared" si="34"/>
        <v>3.62</v>
      </c>
      <c r="N738">
        <f t="shared" si="35"/>
        <v>6.38</v>
      </c>
      <c r="O738" cm="1">
        <f t="array" ref="O738">_xlfn.LET(_xlpm.cat, Greenleaf[[#This Row],[Product Category]], _xlpm.prices, _xlfn._xlws.FILTER(Greenleaf[Unit Price], (Greenleaf[Product Category]=_xlpm.cat)*(Greenleaf[Unit Price]&lt;&gt;"")), IFERROR(MEDIAN(_xlpm.prices), ""))</f>
        <v>10</v>
      </c>
      <c r="P738">
        <f>IF(Greenleaf[[#This Row],[Shipment Status]]="Returned",1,0)</f>
        <v>0</v>
      </c>
      <c r="Q738">
        <f>IF(Greenleaf[[#This Row],[Shipment Status]]="Delivered",1,0)</f>
        <v>1</v>
      </c>
    </row>
    <row r="739" spans="1:17" x14ac:dyDescent="0.45">
      <c r="A739" t="s">
        <v>1093</v>
      </c>
      <c r="B739">
        <v>45560</v>
      </c>
      <c r="C739" t="s">
        <v>16</v>
      </c>
      <c r="D739" t="s">
        <v>17</v>
      </c>
      <c r="E739">
        <v>8</v>
      </c>
      <c r="F739">
        <v>10</v>
      </c>
      <c r="G739">
        <v>2.08</v>
      </c>
      <c r="H739" t="s">
        <v>582</v>
      </c>
      <c r="I739" t="s">
        <v>217</v>
      </c>
      <c r="J739" t="s">
        <v>27</v>
      </c>
      <c r="K739" t="s">
        <v>34</v>
      </c>
      <c r="L739">
        <f t="shared" si="33"/>
        <v>80</v>
      </c>
      <c r="M739">
        <f t="shared" si="34"/>
        <v>16.64</v>
      </c>
      <c r="N739">
        <f t="shared" si="35"/>
        <v>63.36</v>
      </c>
      <c r="O739" cm="1">
        <f t="array" ref="O739">_xlfn.LET(_xlpm.cat, Greenleaf[[#This Row],[Product Category]], _xlpm.prices, _xlfn._xlws.FILTER(Greenleaf[Unit Price], (Greenleaf[Product Category]=_xlpm.cat)*(Greenleaf[Unit Price]&lt;&gt;"")), IFERROR(MEDIAN(_xlpm.prices), ""))</f>
        <v>10</v>
      </c>
      <c r="P739">
        <f>IF(Greenleaf[[#This Row],[Shipment Status]]="Returned",1,0)</f>
        <v>0</v>
      </c>
      <c r="Q739">
        <f>IF(Greenleaf[[#This Row],[Shipment Status]]="Delivered",1,0)</f>
        <v>1</v>
      </c>
    </row>
    <row r="740" spans="1:17" x14ac:dyDescent="0.45">
      <c r="A740" t="s">
        <v>1094</v>
      </c>
      <c r="B740">
        <v>45561</v>
      </c>
      <c r="C740" t="s">
        <v>66</v>
      </c>
      <c r="D740" t="s">
        <v>67</v>
      </c>
      <c r="E740">
        <v>5</v>
      </c>
      <c r="F740">
        <v>12</v>
      </c>
      <c r="G740">
        <v>4.6900000000000004</v>
      </c>
      <c r="H740" t="s">
        <v>647</v>
      </c>
      <c r="I740" t="s">
        <v>648</v>
      </c>
      <c r="J740" t="s">
        <v>27</v>
      </c>
      <c r="K740" t="s">
        <v>134</v>
      </c>
      <c r="L740">
        <f t="shared" si="33"/>
        <v>60</v>
      </c>
      <c r="M740">
        <f t="shared" si="34"/>
        <v>23.450000000000003</v>
      </c>
      <c r="N740">
        <f t="shared" si="35"/>
        <v>36.549999999999997</v>
      </c>
      <c r="O740" cm="1">
        <f t="array" ref="O740">_xlfn.LET(_xlpm.cat, Greenleaf[[#This Row],[Product Category]], _xlpm.prices, _xlfn._xlws.FILTER(Greenleaf[Unit Price], (Greenleaf[Product Category]=_xlpm.cat)*(Greenleaf[Unit Price]&lt;&gt;"")), IFERROR(MEDIAN(_xlpm.prices), ""))</f>
        <v>12</v>
      </c>
      <c r="P740">
        <f>IF(Greenleaf[[#This Row],[Shipment Status]]="Returned",1,0)</f>
        <v>0</v>
      </c>
      <c r="Q740">
        <f>IF(Greenleaf[[#This Row],[Shipment Status]]="Delivered",1,0)</f>
        <v>1</v>
      </c>
    </row>
    <row r="741" spans="1:17" x14ac:dyDescent="0.45">
      <c r="A741" t="s">
        <v>1095</v>
      </c>
      <c r="B741">
        <v>45561</v>
      </c>
      <c r="C741" t="s">
        <v>66</v>
      </c>
      <c r="D741" t="s">
        <v>67</v>
      </c>
      <c r="E741">
        <v>7</v>
      </c>
      <c r="F741">
        <v>12</v>
      </c>
      <c r="G741">
        <v>3.9</v>
      </c>
      <c r="H741" t="s">
        <v>476</v>
      </c>
      <c r="I741" t="s">
        <v>477</v>
      </c>
      <c r="J741" t="s">
        <v>47</v>
      </c>
      <c r="K741" t="s">
        <v>59</v>
      </c>
      <c r="L741">
        <f t="shared" si="33"/>
        <v>84</v>
      </c>
      <c r="M741">
        <f t="shared" si="34"/>
        <v>27.3</v>
      </c>
      <c r="N741">
        <f t="shared" si="35"/>
        <v>56.7</v>
      </c>
      <c r="O741" cm="1">
        <f t="array" ref="O741">_xlfn.LET(_xlpm.cat, Greenleaf[[#This Row],[Product Category]], _xlpm.prices, _xlfn._xlws.FILTER(Greenleaf[Unit Price], (Greenleaf[Product Category]=_xlpm.cat)*(Greenleaf[Unit Price]&lt;&gt;"")), IFERROR(MEDIAN(_xlpm.prices), ""))</f>
        <v>12</v>
      </c>
      <c r="P741">
        <f>IF(Greenleaf[[#This Row],[Shipment Status]]="Returned",1,0)</f>
        <v>0</v>
      </c>
      <c r="Q741">
        <f>IF(Greenleaf[[#This Row],[Shipment Status]]="Delivered",1,0)</f>
        <v>0</v>
      </c>
    </row>
    <row r="742" spans="1:17" x14ac:dyDescent="0.45">
      <c r="A742" t="s">
        <v>1096</v>
      </c>
      <c r="B742">
        <v>45562</v>
      </c>
      <c r="C742" t="s">
        <v>49</v>
      </c>
      <c r="D742" t="s">
        <v>50</v>
      </c>
      <c r="E742">
        <v>10</v>
      </c>
      <c r="F742">
        <v>15</v>
      </c>
      <c r="G742">
        <v>3.05</v>
      </c>
      <c r="H742" t="s">
        <v>576</v>
      </c>
      <c r="I742" t="s">
        <v>553</v>
      </c>
      <c r="J742" t="s">
        <v>20</v>
      </c>
      <c r="K742" t="s">
        <v>34</v>
      </c>
      <c r="L742">
        <f t="shared" si="33"/>
        <v>150</v>
      </c>
      <c r="M742">
        <f t="shared" si="34"/>
        <v>30.5</v>
      </c>
      <c r="N742">
        <f t="shared" si="35"/>
        <v>119.5</v>
      </c>
      <c r="O742" cm="1">
        <f t="array" ref="O742">_xlfn.LET(_xlpm.cat, Greenleaf[[#This Row],[Product Category]], _xlpm.prices, _xlfn._xlws.FILTER(Greenleaf[Unit Price], (Greenleaf[Product Category]=_xlpm.cat)*(Greenleaf[Unit Price]&lt;&gt;"")), IFERROR(MEDIAN(_xlpm.prices), ""))</f>
        <v>15</v>
      </c>
      <c r="P742">
        <f>IF(Greenleaf[[#This Row],[Shipment Status]]="Returned",1,0)</f>
        <v>0</v>
      </c>
      <c r="Q742">
        <f>IF(Greenleaf[[#This Row],[Shipment Status]]="Delivered",1,0)</f>
        <v>0</v>
      </c>
    </row>
    <row r="743" spans="1:17" x14ac:dyDescent="0.45">
      <c r="A743" t="s">
        <v>1097</v>
      </c>
      <c r="B743">
        <v>45562</v>
      </c>
      <c r="C743" t="s">
        <v>30</v>
      </c>
      <c r="D743" t="s">
        <v>31</v>
      </c>
      <c r="E743">
        <v>5</v>
      </c>
      <c r="F743">
        <v>40</v>
      </c>
      <c r="G743">
        <v>8.11</v>
      </c>
      <c r="H743" t="s">
        <v>182</v>
      </c>
      <c r="I743" t="s">
        <v>183</v>
      </c>
      <c r="J743" t="s">
        <v>27</v>
      </c>
      <c r="K743" t="s">
        <v>74</v>
      </c>
      <c r="L743">
        <f t="shared" si="33"/>
        <v>200</v>
      </c>
      <c r="M743">
        <f t="shared" si="34"/>
        <v>40.549999999999997</v>
      </c>
      <c r="N743">
        <f t="shared" si="35"/>
        <v>159.44999999999999</v>
      </c>
      <c r="O743" cm="1">
        <f t="array" ref="O743">_xlfn.LET(_xlpm.cat, Greenleaf[[#This Row],[Product Category]], _xlpm.prices, _xlfn._xlws.FILTER(Greenleaf[Unit Price], (Greenleaf[Product Category]=_xlpm.cat)*(Greenleaf[Unit Price]&lt;&gt;"")), IFERROR(MEDIAN(_xlpm.prices), ""))</f>
        <v>40</v>
      </c>
      <c r="P743">
        <f>IF(Greenleaf[[#This Row],[Shipment Status]]="Returned",1,0)</f>
        <v>0</v>
      </c>
      <c r="Q743">
        <f>IF(Greenleaf[[#This Row],[Shipment Status]]="Delivered",1,0)</f>
        <v>1</v>
      </c>
    </row>
    <row r="744" spans="1:17" x14ac:dyDescent="0.45">
      <c r="A744" t="s">
        <v>1098</v>
      </c>
      <c r="B744">
        <v>45562</v>
      </c>
      <c r="C744" t="s">
        <v>16</v>
      </c>
      <c r="D744" t="s">
        <v>17</v>
      </c>
      <c r="E744">
        <v>10</v>
      </c>
      <c r="F744">
        <v>10</v>
      </c>
      <c r="G744">
        <v>3.29</v>
      </c>
      <c r="H744" t="s">
        <v>674</v>
      </c>
      <c r="I744" t="s">
        <v>353</v>
      </c>
      <c r="J744" t="s">
        <v>27</v>
      </c>
      <c r="K744" t="s">
        <v>56</v>
      </c>
      <c r="L744">
        <f t="shared" si="33"/>
        <v>100</v>
      </c>
      <c r="M744">
        <f t="shared" si="34"/>
        <v>32.9</v>
      </c>
      <c r="N744">
        <f t="shared" si="35"/>
        <v>67.099999999999994</v>
      </c>
      <c r="O744" cm="1">
        <f t="array" ref="O744">_xlfn.LET(_xlpm.cat, Greenleaf[[#This Row],[Product Category]], _xlpm.prices, _xlfn._xlws.FILTER(Greenleaf[Unit Price], (Greenleaf[Product Category]=_xlpm.cat)*(Greenleaf[Unit Price]&lt;&gt;"")), IFERROR(MEDIAN(_xlpm.prices), ""))</f>
        <v>10</v>
      </c>
      <c r="P744">
        <f>IF(Greenleaf[[#This Row],[Shipment Status]]="Returned",1,0)</f>
        <v>0</v>
      </c>
      <c r="Q744">
        <f>IF(Greenleaf[[#This Row],[Shipment Status]]="Delivered",1,0)</f>
        <v>1</v>
      </c>
    </row>
    <row r="745" spans="1:17" x14ac:dyDescent="0.45">
      <c r="A745" t="s">
        <v>1099</v>
      </c>
      <c r="B745">
        <v>45563</v>
      </c>
      <c r="C745" t="s">
        <v>16</v>
      </c>
      <c r="D745" t="s">
        <v>17</v>
      </c>
      <c r="E745">
        <v>5</v>
      </c>
      <c r="F745">
        <v>10</v>
      </c>
      <c r="G745">
        <v>2.66</v>
      </c>
      <c r="H745" t="s">
        <v>206</v>
      </c>
      <c r="I745" t="s">
        <v>207</v>
      </c>
      <c r="J745" t="s">
        <v>20</v>
      </c>
      <c r="K745" t="s">
        <v>56</v>
      </c>
      <c r="L745">
        <f t="shared" si="33"/>
        <v>50</v>
      </c>
      <c r="M745">
        <f t="shared" si="34"/>
        <v>13.3</v>
      </c>
      <c r="N745">
        <f t="shared" si="35"/>
        <v>36.700000000000003</v>
      </c>
      <c r="O745" cm="1">
        <f t="array" ref="O745">_xlfn.LET(_xlpm.cat, Greenleaf[[#This Row],[Product Category]], _xlpm.prices, _xlfn._xlws.FILTER(Greenleaf[Unit Price], (Greenleaf[Product Category]=_xlpm.cat)*(Greenleaf[Unit Price]&lt;&gt;"")), IFERROR(MEDIAN(_xlpm.prices), ""))</f>
        <v>10</v>
      </c>
      <c r="P745">
        <f>IF(Greenleaf[[#This Row],[Shipment Status]]="Returned",1,0)</f>
        <v>0</v>
      </c>
      <c r="Q745">
        <f>IF(Greenleaf[[#This Row],[Shipment Status]]="Delivered",1,0)</f>
        <v>0</v>
      </c>
    </row>
    <row r="746" spans="1:17" x14ac:dyDescent="0.45">
      <c r="A746" t="s">
        <v>1100</v>
      </c>
      <c r="B746">
        <v>45563</v>
      </c>
      <c r="C746" t="s">
        <v>49</v>
      </c>
      <c r="D746" t="s">
        <v>50</v>
      </c>
      <c r="E746">
        <v>7</v>
      </c>
      <c r="F746">
        <v>15</v>
      </c>
      <c r="G746">
        <v>3.82</v>
      </c>
      <c r="H746" t="s">
        <v>371</v>
      </c>
      <c r="I746" t="s">
        <v>26</v>
      </c>
      <c r="J746" t="s">
        <v>27</v>
      </c>
      <c r="K746" t="s">
        <v>74</v>
      </c>
      <c r="L746">
        <f t="shared" si="33"/>
        <v>105</v>
      </c>
      <c r="M746">
        <f t="shared" si="34"/>
        <v>26.74</v>
      </c>
      <c r="N746">
        <f t="shared" si="35"/>
        <v>78.260000000000005</v>
      </c>
      <c r="O746" cm="1">
        <f t="array" ref="O746">_xlfn.LET(_xlpm.cat, Greenleaf[[#This Row],[Product Category]], _xlpm.prices, _xlfn._xlws.FILTER(Greenleaf[Unit Price], (Greenleaf[Product Category]=_xlpm.cat)*(Greenleaf[Unit Price]&lt;&gt;"")), IFERROR(MEDIAN(_xlpm.prices), ""))</f>
        <v>15</v>
      </c>
      <c r="P746">
        <f>IF(Greenleaf[[#This Row],[Shipment Status]]="Returned",1,0)</f>
        <v>0</v>
      </c>
      <c r="Q746">
        <f>IF(Greenleaf[[#This Row],[Shipment Status]]="Delivered",1,0)</f>
        <v>1</v>
      </c>
    </row>
    <row r="747" spans="1:17" x14ac:dyDescent="0.45">
      <c r="A747" t="s">
        <v>1101</v>
      </c>
      <c r="B747">
        <v>45564</v>
      </c>
      <c r="C747" t="s">
        <v>30</v>
      </c>
      <c r="D747" t="s">
        <v>31</v>
      </c>
      <c r="E747">
        <v>4</v>
      </c>
      <c r="F747">
        <v>40</v>
      </c>
      <c r="G747">
        <v>9.31</v>
      </c>
      <c r="H747" t="s">
        <v>884</v>
      </c>
      <c r="I747" t="s">
        <v>885</v>
      </c>
      <c r="J747" t="s">
        <v>20</v>
      </c>
      <c r="K747" t="s">
        <v>38</v>
      </c>
      <c r="L747">
        <f t="shared" si="33"/>
        <v>160</v>
      </c>
      <c r="M747">
        <f t="shared" si="34"/>
        <v>37.24</v>
      </c>
      <c r="N747">
        <f t="shared" si="35"/>
        <v>122.75999999999999</v>
      </c>
      <c r="O747" cm="1">
        <f t="array" ref="O747">_xlfn.LET(_xlpm.cat, Greenleaf[[#This Row],[Product Category]], _xlpm.prices, _xlfn._xlws.FILTER(Greenleaf[Unit Price], (Greenleaf[Product Category]=_xlpm.cat)*(Greenleaf[Unit Price]&lt;&gt;"")), IFERROR(MEDIAN(_xlpm.prices), ""))</f>
        <v>40</v>
      </c>
      <c r="P747">
        <f>IF(Greenleaf[[#This Row],[Shipment Status]]="Returned",1,0)</f>
        <v>0</v>
      </c>
      <c r="Q747">
        <f>IF(Greenleaf[[#This Row],[Shipment Status]]="Delivered",1,0)</f>
        <v>0</v>
      </c>
    </row>
    <row r="748" spans="1:17" x14ac:dyDescent="0.45">
      <c r="A748" t="s">
        <v>1102</v>
      </c>
      <c r="B748">
        <v>45564</v>
      </c>
      <c r="C748" t="s">
        <v>66</v>
      </c>
      <c r="D748" t="s">
        <v>67</v>
      </c>
      <c r="E748">
        <v>6</v>
      </c>
      <c r="F748">
        <v>12</v>
      </c>
      <c r="G748">
        <v>3.66</v>
      </c>
      <c r="H748" t="s">
        <v>494</v>
      </c>
      <c r="I748" t="s">
        <v>495</v>
      </c>
      <c r="J748" t="s">
        <v>27</v>
      </c>
      <c r="K748" t="s">
        <v>74</v>
      </c>
      <c r="L748">
        <f t="shared" si="33"/>
        <v>72</v>
      </c>
      <c r="M748">
        <f t="shared" si="34"/>
        <v>21.96</v>
      </c>
      <c r="N748">
        <f t="shared" si="35"/>
        <v>50.04</v>
      </c>
      <c r="O748" cm="1">
        <f t="array" ref="O748">_xlfn.LET(_xlpm.cat, Greenleaf[[#This Row],[Product Category]], _xlpm.prices, _xlfn._xlws.FILTER(Greenleaf[Unit Price], (Greenleaf[Product Category]=_xlpm.cat)*(Greenleaf[Unit Price]&lt;&gt;"")), IFERROR(MEDIAN(_xlpm.prices), ""))</f>
        <v>12</v>
      </c>
      <c r="P748">
        <f>IF(Greenleaf[[#This Row],[Shipment Status]]="Returned",1,0)</f>
        <v>0</v>
      </c>
      <c r="Q748">
        <f>IF(Greenleaf[[#This Row],[Shipment Status]]="Delivered",1,0)</f>
        <v>1</v>
      </c>
    </row>
    <row r="749" spans="1:17" x14ac:dyDescent="0.45">
      <c r="A749" t="s">
        <v>1103</v>
      </c>
      <c r="B749">
        <v>45565</v>
      </c>
      <c r="C749" t="s">
        <v>30</v>
      </c>
      <c r="D749" t="s">
        <v>31</v>
      </c>
      <c r="E749">
        <v>1</v>
      </c>
      <c r="F749">
        <v>40</v>
      </c>
      <c r="G749">
        <v>9.89</v>
      </c>
      <c r="H749" t="s">
        <v>743</v>
      </c>
      <c r="I749" t="s">
        <v>69</v>
      </c>
      <c r="J749" t="s">
        <v>20</v>
      </c>
      <c r="K749" t="s">
        <v>38</v>
      </c>
      <c r="L749">
        <f t="shared" si="33"/>
        <v>40</v>
      </c>
      <c r="M749">
        <f t="shared" si="34"/>
        <v>9.89</v>
      </c>
      <c r="N749">
        <f t="shared" si="35"/>
        <v>30.11</v>
      </c>
      <c r="O749" cm="1">
        <f t="array" ref="O749">_xlfn.LET(_xlpm.cat, Greenleaf[[#This Row],[Product Category]], _xlpm.prices, _xlfn._xlws.FILTER(Greenleaf[Unit Price], (Greenleaf[Product Category]=_xlpm.cat)*(Greenleaf[Unit Price]&lt;&gt;"")), IFERROR(MEDIAN(_xlpm.prices), ""))</f>
        <v>40</v>
      </c>
      <c r="P749">
        <f>IF(Greenleaf[[#This Row],[Shipment Status]]="Returned",1,0)</f>
        <v>0</v>
      </c>
      <c r="Q749">
        <f>IF(Greenleaf[[#This Row],[Shipment Status]]="Delivered",1,0)</f>
        <v>0</v>
      </c>
    </row>
    <row r="750" spans="1:17" x14ac:dyDescent="0.45">
      <c r="A750" t="s">
        <v>1104</v>
      </c>
      <c r="B750">
        <v>45565</v>
      </c>
      <c r="C750" t="s">
        <v>16</v>
      </c>
      <c r="D750" t="s">
        <v>17</v>
      </c>
      <c r="E750">
        <v>1</v>
      </c>
      <c r="F750">
        <v>10</v>
      </c>
      <c r="G750">
        <v>3.17</v>
      </c>
      <c r="H750" t="s">
        <v>565</v>
      </c>
      <c r="I750" t="s">
        <v>566</v>
      </c>
      <c r="J750" t="s">
        <v>20</v>
      </c>
      <c r="K750" t="s">
        <v>56</v>
      </c>
      <c r="L750">
        <f t="shared" si="33"/>
        <v>10</v>
      </c>
      <c r="M750">
        <f t="shared" si="34"/>
        <v>3.17</v>
      </c>
      <c r="N750">
        <f t="shared" si="35"/>
        <v>6.83</v>
      </c>
      <c r="O750" cm="1">
        <f t="array" ref="O750">_xlfn.LET(_xlpm.cat, Greenleaf[[#This Row],[Product Category]], _xlpm.prices, _xlfn._xlws.FILTER(Greenleaf[Unit Price], (Greenleaf[Product Category]=_xlpm.cat)*(Greenleaf[Unit Price]&lt;&gt;"")), IFERROR(MEDIAN(_xlpm.prices), ""))</f>
        <v>10</v>
      </c>
      <c r="P750">
        <f>IF(Greenleaf[[#This Row],[Shipment Status]]="Returned",1,0)</f>
        <v>0</v>
      </c>
      <c r="Q750">
        <f>IF(Greenleaf[[#This Row],[Shipment Status]]="Delivered",1,0)</f>
        <v>0</v>
      </c>
    </row>
    <row r="751" spans="1:17" x14ac:dyDescent="0.45">
      <c r="A751" t="s">
        <v>1105</v>
      </c>
      <c r="B751">
        <v>45565</v>
      </c>
      <c r="C751" t="s">
        <v>66</v>
      </c>
      <c r="D751" t="s">
        <v>67</v>
      </c>
      <c r="E751">
        <v>1</v>
      </c>
      <c r="F751">
        <v>12</v>
      </c>
      <c r="G751">
        <v>2.92</v>
      </c>
      <c r="H751" t="s">
        <v>296</v>
      </c>
      <c r="I751" t="s">
        <v>93</v>
      </c>
      <c r="J751" t="s">
        <v>27</v>
      </c>
      <c r="K751" t="s">
        <v>74</v>
      </c>
      <c r="L751">
        <f t="shared" si="33"/>
        <v>12</v>
      </c>
      <c r="M751">
        <f t="shared" si="34"/>
        <v>2.92</v>
      </c>
      <c r="N751">
        <f t="shared" si="35"/>
        <v>9.08</v>
      </c>
      <c r="O751" cm="1">
        <f t="array" ref="O751">_xlfn.LET(_xlpm.cat, Greenleaf[[#This Row],[Product Category]], _xlpm.prices, _xlfn._xlws.FILTER(Greenleaf[Unit Price], (Greenleaf[Product Category]=_xlpm.cat)*(Greenleaf[Unit Price]&lt;&gt;"")), IFERROR(MEDIAN(_xlpm.prices), ""))</f>
        <v>12</v>
      </c>
      <c r="P751">
        <f>IF(Greenleaf[[#This Row],[Shipment Status]]="Returned",1,0)</f>
        <v>0</v>
      </c>
      <c r="Q751">
        <f>IF(Greenleaf[[#This Row],[Shipment Status]]="Delivered",1,0)</f>
        <v>1</v>
      </c>
    </row>
    <row r="752" spans="1:17" x14ac:dyDescent="0.45">
      <c r="A752" t="s">
        <v>1106</v>
      </c>
      <c r="B752">
        <v>45566</v>
      </c>
      <c r="C752" t="s">
        <v>16</v>
      </c>
      <c r="D752" t="s">
        <v>17</v>
      </c>
      <c r="E752">
        <v>10</v>
      </c>
      <c r="F752">
        <v>10</v>
      </c>
      <c r="G752">
        <v>2.95</v>
      </c>
      <c r="H752" t="s">
        <v>748</v>
      </c>
      <c r="I752" t="s">
        <v>749</v>
      </c>
      <c r="J752" t="s">
        <v>20</v>
      </c>
      <c r="K752" t="s">
        <v>43</v>
      </c>
      <c r="L752">
        <f t="shared" si="33"/>
        <v>100</v>
      </c>
      <c r="M752">
        <f t="shared" si="34"/>
        <v>29.5</v>
      </c>
      <c r="N752">
        <f t="shared" si="35"/>
        <v>70.5</v>
      </c>
      <c r="O752" cm="1">
        <f t="array" ref="O752">_xlfn.LET(_xlpm.cat, Greenleaf[[#This Row],[Product Category]], _xlpm.prices, _xlfn._xlws.FILTER(Greenleaf[Unit Price], (Greenleaf[Product Category]=_xlpm.cat)*(Greenleaf[Unit Price]&lt;&gt;"")), IFERROR(MEDIAN(_xlpm.prices), ""))</f>
        <v>10</v>
      </c>
      <c r="P752">
        <f>IF(Greenleaf[[#This Row],[Shipment Status]]="Returned",1,0)</f>
        <v>0</v>
      </c>
      <c r="Q752">
        <f>IF(Greenleaf[[#This Row],[Shipment Status]]="Delivered",1,0)</f>
        <v>0</v>
      </c>
    </row>
    <row r="753" spans="1:17" x14ac:dyDescent="0.45">
      <c r="A753" t="s">
        <v>1107</v>
      </c>
      <c r="B753">
        <v>45566</v>
      </c>
      <c r="C753" t="s">
        <v>30</v>
      </c>
      <c r="D753" t="s">
        <v>31</v>
      </c>
      <c r="E753">
        <v>10</v>
      </c>
      <c r="F753">
        <v>40</v>
      </c>
      <c r="G753">
        <v>15.92</v>
      </c>
      <c r="H753" t="s">
        <v>156</v>
      </c>
      <c r="I753" t="s">
        <v>55</v>
      </c>
      <c r="J753" t="s">
        <v>27</v>
      </c>
      <c r="K753" t="s">
        <v>34</v>
      </c>
      <c r="L753">
        <f t="shared" si="33"/>
        <v>400</v>
      </c>
      <c r="M753">
        <f t="shared" si="34"/>
        <v>159.19999999999999</v>
      </c>
      <c r="N753">
        <f t="shared" si="35"/>
        <v>240.8</v>
      </c>
      <c r="O753" cm="1">
        <f t="array" ref="O753">_xlfn.LET(_xlpm.cat, Greenleaf[[#This Row],[Product Category]], _xlpm.prices, _xlfn._xlws.FILTER(Greenleaf[Unit Price], (Greenleaf[Product Category]=_xlpm.cat)*(Greenleaf[Unit Price]&lt;&gt;"")), IFERROR(MEDIAN(_xlpm.prices), ""))</f>
        <v>40</v>
      </c>
      <c r="P753">
        <f>IF(Greenleaf[[#This Row],[Shipment Status]]="Returned",1,0)</f>
        <v>0</v>
      </c>
      <c r="Q753">
        <f>IF(Greenleaf[[#This Row],[Shipment Status]]="Delivered",1,0)</f>
        <v>1</v>
      </c>
    </row>
    <row r="754" spans="1:17" x14ac:dyDescent="0.45">
      <c r="A754" t="s">
        <v>1108</v>
      </c>
      <c r="B754">
        <v>45567</v>
      </c>
      <c r="C754" t="s">
        <v>66</v>
      </c>
      <c r="D754" t="s">
        <v>67</v>
      </c>
      <c r="E754">
        <v>5</v>
      </c>
      <c r="F754">
        <v>12</v>
      </c>
      <c r="G754">
        <v>4.0199999999999996</v>
      </c>
      <c r="H754" t="s">
        <v>58</v>
      </c>
      <c r="I754" t="s">
        <v>37</v>
      </c>
      <c r="J754" t="s">
        <v>47</v>
      </c>
      <c r="K754" t="s">
        <v>56</v>
      </c>
      <c r="L754">
        <f t="shared" si="33"/>
        <v>60</v>
      </c>
      <c r="M754">
        <f t="shared" si="34"/>
        <v>20.099999999999998</v>
      </c>
      <c r="N754">
        <f t="shared" si="35"/>
        <v>39.900000000000006</v>
      </c>
      <c r="O754" cm="1">
        <f t="array" ref="O754">_xlfn.LET(_xlpm.cat, Greenleaf[[#This Row],[Product Category]], _xlpm.prices, _xlfn._xlws.FILTER(Greenleaf[Unit Price], (Greenleaf[Product Category]=_xlpm.cat)*(Greenleaf[Unit Price]&lt;&gt;"")), IFERROR(MEDIAN(_xlpm.prices), ""))</f>
        <v>12</v>
      </c>
      <c r="P754">
        <f>IF(Greenleaf[[#This Row],[Shipment Status]]="Returned",1,0)</f>
        <v>0</v>
      </c>
      <c r="Q754">
        <f>IF(Greenleaf[[#This Row],[Shipment Status]]="Delivered",1,0)</f>
        <v>0</v>
      </c>
    </row>
    <row r="755" spans="1:17" x14ac:dyDescent="0.45">
      <c r="A755" t="s">
        <v>1109</v>
      </c>
      <c r="B755">
        <v>45568</v>
      </c>
      <c r="C755" t="s">
        <v>16</v>
      </c>
      <c r="D755" t="s">
        <v>17</v>
      </c>
      <c r="E755">
        <v>5</v>
      </c>
      <c r="F755">
        <v>10</v>
      </c>
      <c r="G755">
        <v>3.63</v>
      </c>
      <c r="H755" t="s">
        <v>482</v>
      </c>
      <c r="I755" t="s">
        <v>143</v>
      </c>
      <c r="J755" t="s">
        <v>27</v>
      </c>
      <c r="K755" t="s">
        <v>43</v>
      </c>
      <c r="L755">
        <f t="shared" si="33"/>
        <v>50</v>
      </c>
      <c r="M755">
        <f t="shared" si="34"/>
        <v>18.149999999999999</v>
      </c>
      <c r="N755">
        <f t="shared" si="35"/>
        <v>31.85</v>
      </c>
      <c r="O755" cm="1">
        <f t="array" ref="O755">_xlfn.LET(_xlpm.cat, Greenleaf[[#This Row],[Product Category]], _xlpm.prices, _xlfn._xlws.FILTER(Greenleaf[Unit Price], (Greenleaf[Product Category]=_xlpm.cat)*(Greenleaf[Unit Price]&lt;&gt;"")), IFERROR(MEDIAN(_xlpm.prices), ""))</f>
        <v>10</v>
      </c>
      <c r="P755">
        <f>IF(Greenleaf[[#This Row],[Shipment Status]]="Returned",1,0)</f>
        <v>0</v>
      </c>
      <c r="Q755">
        <f>IF(Greenleaf[[#This Row],[Shipment Status]]="Delivered",1,0)</f>
        <v>1</v>
      </c>
    </row>
    <row r="756" spans="1:17" x14ac:dyDescent="0.45">
      <c r="A756" t="s">
        <v>1110</v>
      </c>
      <c r="B756">
        <v>45568</v>
      </c>
      <c r="C756" t="s">
        <v>30</v>
      </c>
      <c r="D756" t="s">
        <v>31</v>
      </c>
      <c r="E756">
        <v>10</v>
      </c>
      <c r="F756">
        <v>40</v>
      </c>
      <c r="G756">
        <v>9.3800000000000008</v>
      </c>
      <c r="H756" t="s">
        <v>530</v>
      </c>
      <c r="I756" t="s">
        <v>531</v>
      </c>
      <c r="J756" t="s">
        <v>42</v>
      </c>
      <c r="K756" t="s">
        <v>28</v>
      </c>
      <c r="L756">
        <f t="shared" si="33"/>
        <v>400</v>
      </c>
      <c r="M756">
        <f t="shared" si="34"/>
        <v>93.800000000000011</v>
      </c>
      <c r="N756">
        <f t="shared" si="35"/>
        <v>306.2</v>
      </c>
      <c r="O756" cm="1">
        <f t="array" ref="O756">_xlfn.LET(_xlpm.cat, Greenleaf[[#This Row],[Product Category]], _xlpm.prices, _xlfn._xlws.FILTER(Greenleaf[Unit Price], (Greenleaf[Product Category]=_xlpm.cat)*(Greenleaf[Unit Price]&lt;&gt;"")), IFERROR(MEDIAN(_xlpm.prices), ""))</f>
        <v>40</v>
      </c>
      <c r="P756">
        <f>IF(Greenleaf[[#This Row],[Shipment Status]]="Returned",1,0)</f>
        <v>1</v>
      </c>
      <c r="Q756">
        <f>IF(Greenleaf[[#This Row],[Shipment Status]]="Delivered",1,0)</f>
        <v>0</v>
      </c>
    </row>
    <row r="757" spans="1:17" x14ac:dyDescent="0.45">
      <c r="A757" t="s">
        <v>1111</v>
      </c>
      <c r="B757">
        <v>45568</v>
      </c>
      <c r="C757" t="s">
        <v>49</v>
      </c>
      <c r="D757" t="s">
        <v>50</v>
      </c>
      <c r="E757">
        <v>9</v>
      </c>
      <c r="F757">
        <v>15</v>
      </c>
      <c r="G757">
        <v>3.13</v>
      </c>
      <c r="H757" t="s">
        <v>160</v>
      </c>
      <c r="I757" t="s">
        <v>161</v>
      </c>
      <c r="J757" t="s">
        <v>47</v>
      </c>
      <c r="K757" t="s">
        <v>43</v>
      </c>
      <c r="L757">
        <f t="shared" si="33"/>
        <v>135</v>
      </c>
      <c r="M757">
        <f t="shared" si="34"/>
        <v>28.169999999999998</v>
      </c>
      <c r="N757">
        <f t="shared" si="35"/>
        <v>106.83</v>
      </c>
      <c r="O757" cm="1">
        <f t="array" ref="O757">_xlfn.LET(_xlpm.cat, Greenleaf[[#This Row],[Product Category]], _xlpm.prices, _xlfn._xlws.FILTER(Greenleaf[Unit Price], (Greenleaf[Product Category]=_xlpm.cat)*(Greenleaf[Unit Price]&lt;&gt;"")), IFERROR(MEDIAN(_xlpm.prices), ""))</f>
        <v>15</v>
      </c>
      <c r="P757">
        <f>IF(Greenleaf[[#This Row],[Shipment Status]]="Returned",1,0)</f>
        <v>0</v>
      </c>
      <c r="Q757">
        <f>IF(Greenleaf[[#This Row],[Shipment Status]]="Delivered",1,0)</f>
        <v>0</v>
      </c>
    </row>
    <row r="758" spans="1:17" x14ac:dyDescent="0.45">
      <c r="A758" t="s">
        <v>1112</v>
      </c>
      <c r="B758">
        <v>45569</v>
      </c>
      <c r="C758" t="s">
        <v>16</v>
      </c>
      <c r="D758" t="s">
        <v>17</v>
      </c>
      <c r="E758">
        <v>6</v>
      </c>
      <c r="F758">
        <v>10</v>
      </c>
      <c r="G758">
        <v>2.29</v>
      </c>
      <c r="H758" t="s">
        <v>552</v>
      </c>
      <c r="I758" t="s">
        <v>553</v>
      </c>
      <c r="J758" t="s">
        <v>27</v>
      </c>
      <c r="K758" t="s">
        <v>34</v>
      </c>
      <c r="L758">
        <f t="shared" si="33"/>
        <v>60</v>
      </c>
      <c r="M758">
        <f t="shared" si="34"/>
        <v>13.74</v>
      </c>
      <c r="N758">
        <f t="shared" si="35"/>
        <v>46.26</v>
      </c>
      <c r="O758" cm="1">
        <f t="array" ref="O758">_xlfn.LET(_xlpm.cat, Greenleaf[[#This Row],[Product Category]], _xlpm.prices, _xlfn._xlws.FILTER(Greenleaf[Unit Price], (Greenleaf[Product Category]=_xlpm.cat)*(Greenleaf[Unit Price]&lt;&gt;"")), IFERROR(MEDIAN(_xlpm.prices), ""))</f>
        <v>10</v>
      </c>
      <c r="P758">
        <f>IF(Greenleaf[[#This Row],[Shipment Status]]="Returned",1,0)</f>
        <v>0</v>
      </c>
      <c r="Q758">
        <f>IF(Greenleaf[[#This Row],[Shipment Status]]="Delivered",1,0)</f>
        <v>1</v>
      </c>
    </row>
    <row r="759" spans="1:17" x14ac:dyDescent="0.45">
      <c r="A759" t="s">
        <v>1113</v>
      </c>
      <c r="B759">
        <v>45569</v>
      </c>
      <c r="C759" t="s">
        <v>49</v>
      </c>
      <c r="D759" t="s">
        <v>50</v>
      </c>
      <c r="E759">
        <v>3</v>
      </c>
      <c r="F759">
        <v>15</v>
      </c>
      <c r="G759">
        <v>5.75</v>
      </c>
      <c r="H759" t="s">
        <v>795</v>
      </c>
      <c r="I759" t="s">
        <v>440</v>
      </c>
      <c r="J759" t="s">
        <v>27</v>
      </c>
      <c r="K759" t="s">
        <v>134</v>
      </c>
      <c r="L759">
        <f t="shared" si="33"/>
        <v>45</v>
      </c>
      <c r="M759">
        <f t="shared" si="34"/>
        <v>17.25</v>
      </c>
      <c r="N759">
        <f t="shared" si="35"/>
        <v>27.75</v>
      </c>
      <c r="O759" cm="1">
        <f t="array" ref="O759">_xlfn.LET(_xlpm.cat, Greenleaf[[#This Row],[Product Category]], _xlpm.prices, _xlfn._xlws.FILTER(Greenleaf[Unit Price], (Greenleaf[Product Category]=_xlpm.cat)*(Greenleaf[Unit Price]&lt;&gt;"")), IFERROR(MEDIAN(_xlpm.prices), ""))</f>
        <v>15</v>
      </c>
      <c r="P759">
        <f>IF(Greenleaf[[#This Row],[Shipment Status]]="Returned",1,0)</f>
        <v>0</v>
      </c>
      <c r="Q759">
        <f>IF(Greenleaf[[#This Row],[Shipment Status]]="Delivered",1,0)</f>
        <v>1</v>
      </c>
    </row>
    <row r="760" spans="1:17" x14ac:dyDescent="0.45">
      <c r="A760" t="s">
        <v>1114</v>
      </c>
      <c r="B760">
        <v>45569</v>
      </c>
      <c r="C760" t="s">
        <v>66</v>
      </c>
      <c r="D760" t="s">
        <v>67</v>
      </c>
      <c r="E760">
        <v>1</v>
      </c>
      <c r="F760">
        <v>12</v>
      </c>
      <c r="G760">
        <v>3.85</v>
      </c>
      <c r="H760" t="s">
        <v>171</v>
      </c>
      <c r="I760" t="s">
        <v>172</v>
      </c>
      <c r="J760" t="s">
        <v>27</v>
      </c>
      <c r="K760" t="s">
        <v>59</v>
      </c>
      <c r="L760">
        <f t="shared" si="33"/>
        <v>12</v>
      </c>
      <c r="M760">
        <f t="shared" si="34"/>
        <v>3.85</v>
      </c>
      <c r="N760">
        <f t="shared" si="35"/>
        <v>8.15</v>
      </c>
      <c r="O760" cm="1">
        <f t="array" ref="O760">_xlfn.LET(_xlpm.cat, Greenleaf[[#This Row],[Product Category]], _xlpm.prices, _xlfn._xlws.FILTER(Greenleaf[Unit Price], (Greenleaf[Product Category]=_xlpm.cat)*(Greenleaf[Unit Price]&lt;&gt;"")), IFERROR(MEDIAN(_xlpm.prices), ""))</f>
        <v>12</v>
      </c>
      <c r="P760">
        <f>IF(Greenleaf[[#This Row],[Shipment Status]]="Returned",1,0)</f>
        <v>0</v>
      </c>
      <c r="Q760">
        <f>IF(Greenleaf[[#This Row],[Shipment Status]]="Delivered",1,0)</f>
        <v>1</v>
      </c>
    </row>
    <row r="761" spans="1:17" x14ac:dyDescent="0.45">
      <c r="A761" t="s">
        <v>1115</v>
      </c>
      <c r="B761">
        <v>45570</v>
      </c>
      <c r="C761" t="s">
        <v>30</v>
      </c>
      <c r="D761" t="s">
        <v>31</v>
      </c>
      <c r="E761">
        <v>7</v>
      </c>
      <c r="F761">
        <v>40</v>
      </c>
      <c r="G761">
        <v>10.52</v>
      </c>
      <c r="H761" t="s">
        <v>238</v>
      </c>
      <c r="I761" t="s">
        <v>239</v>
      </c>
      <c r="J761" t="s">
        <v>27</v>
      </c>
      <c r="K761" t="s">
        <v>134</v>
      </c>
      <c r="L761">
        <f t="shared" si="33"/>
        <v>280</v>
      </c>
      <c r="M761">
        <f t="shared" si="34"/>
        <v>73.64</v>
      </c>
      <c r="N761">
        <f t="shared" si="35"/>
        <v>206.36</v>
      </c>
      <c r="O761" cm="1">
        <f t="array" ref="O761">_xlfn.LET(_xlpm.cat, Greenleaf[[#This Row],[Product Category]], _xlpm.prices, _xlfn._xlws.FILTER(Greenleaf[Unit Price], (Greenleaf[Product Category]=_xlpm.cat)*(Greenleaf[Unit Price]&lt;&gt;"")), IFERROR(MEDIAN(_xlpm.prices), ""))</f>
        <v>40</v>
      </c>
      <c r="P761">
        <f>IF(Greenleaf[[#This Row],[Shipment Status]]="Returned",1,0)</f>
        <v>0</v>
      </c>
      <c r="Q761">
        <f>IF(Greenleaf[[#This Row],[Shipment Status]]="Delivered",1,0)</f>
        <v>1</v>
      </c>
    </row>
    <row r="762" spans="1:17" x14ac:dyDescent="0.45">
      <c r="A762" t="s">
        <v>1116</v>
      </c>
      <c r="B762">
        <v>45570</v>
      </c>
      <c r="C762" t="s">
        <v>16</v>
      </c>
      <c r="D762" t="s">
        <v>17</v>
      </c>
      <c r="E762">
        <v>1</v>
      </c>
      <c r="F762">
        <v>10</v>
      </c>
      <c r="G762">
        <v>3.77</v>
      </c>
      <c r="H762" t="s">
        <v>235</v>
      </c>
      <c r="I762" t="s">
        <v>236</v>
      </c>
      <c r="J762" t="s">
        <v>27</v>
      </c>
      <c r="K762" t="s">
        <v>28</v>
      </c>
      <c r="L762">
        <f t="shared" si="33"/>
        <v>10</v>
      </c>
      <c r="M762">
        <f t="shared" si="34"/>
        <v>3.77</v>
      </c>
      <c r="N762">
        <f t="shared" si="35"/>
        <v>6.23</v>
      </c>
      <c r="O762" cm="1">
        <f t="array" ref="O762">_xlfn.LET(_xlpm.cat, Greenleaf[[#This Row],[Product Category]], _xlpm.prices, _xlfn._xlws.FILTER(Greenleaf[Unit Price], (Greenleaf[Product Category]=_xlpm.cat)*(Greenleaf[Unit Price]&lt;&gt;"")), IFERROR(MEDIAN(_xlpm.prices), ""))</f>
        <v>10</v>
      </c>
      <c r="P762">
        <f>IF(Greenleaf[[#This Row],[Shipment Status]]="Returned",1,0)</f>
        <v>0</v>
      </c>
      <c r="Q762">
        <f>IF(Greenleaf[[#This Row],[Shipment Status]]="Delivered",1,0)</f>
        <v>1</v>
      </c>
    </row>
    <row r="763" spans="1:17" x14ac:dyDescent="0.45">
      <c r="A763" t="s">
        <v>1117</v>
      </c>
      <c r="B763">
        <v>45571</v>
      </c>
      <c r="C763" t="s">
        <v>23</v>
      </c>
      <c r="D763" t="s">
        <v>24</v>
      </c>
      <c r="E763">
        <v>8</v>
      </c>
      <c r="F763">
        <v>25</v>
      </c>
      <c r="G763">
        <v>8.85</v>
      </c>
      <c r="H763" t="s">
        <v>691</v>
      </c>
      <c r="I763" t="s">
        <v>692</v>
      </c>
      <c r="J763" t="s">
        <v>27</v>
      </c>
      <c r="K763" t="s">
        <v>134</v>
      </c>
      <c r="L763">
        <f t="shared" si="33"/>
        <v>200</v>
      </c>
      <c r="M763">
        <f t="shared" si="34"/>
        <v>70.8</v>
      </c>
      <c r="N763">
        <f t="shared" si="35"/>
        <v>129.19999999999999</v>
      </c>
      <c r="O763" cm="1">
        <f t="array" ref="O763">_xlfn.LET(_xlpm.cat, Greenleaf[[#This Row],[Product Category]], _xlpm.prices, _xlfn._xlws.FILTER(Greenleaf[Unit Price], (Greenleaf[Product Category]=_xlpm.cat)*(Greenleaf[Unit Price]&lt;&gt;"")), IFERROR(MEDIAN(_xlpm.prices), ""))</f>
        <v>25</v>
      </c>
      <c r="P763">
        <f>IF(Greenleaf[[#This Row],[Shipment Status]]="Returned",1,0)</f>
        <v>0</v>
      </c>
      <c r="Q763">
        <f>IF(Greenleaf[[#This Row],[Shipment Status]]="Delivered",1,0)</f>
        <v>1</v>
      </c>
    </row>
    <row r="764" spans="1:17" x14ac:dyDescent="0.45">
      <c r="A764" t="s">
        <v>1118</v>
      </c>
      <c r="B764">
        <v>45571</v>
      </c>
      <c r="C764" t="s">
        <v>23</v>
      </c>
      <c r="D764" t="s">
        <v>24</v>
      </c>
      <c r="E764">
        <v>2</v>
      </c>
      <c r="F764">
        <v>25</v>
      </c>
      <c r="G764">
        <v>8.5399999999999991</v>
      </c>
      <c r="H764" t="s">
        <v>365</v>
      </c>
      <c r="I764" t="s">
        <v>115</v>
      </c>
      <c r="J764" t="s">
        <v>27</v>
      </c>
      <c r="K764" t="s">
        <v>59</v>
      </c>
      <c r="L764">
        <f t="shared" si="33"/>
        <v>50</v>
      </c>
      <c r="M764">
        <f t="shared" si="34"/>
        <v>17.079999999999998</v>
      </c>
      <c r="N764">
        <f t="shared" si="35"/>
        <v>32.92</v>
      </c>
      <c r="O764" cm="1">
        <f t="array" ref="O764">_xlfn.LET(_xlpm.cat, Greenleaf[[#This Row],[Product Category]], _xlpm.prices, _xlfn._xlws.FILTER(Greenleaf[Unit Price], (Greenleaf[Product Category]=_xlpm.cat)*(Greenleaf[Unit Price]&lt;&gt;"")), IFERROR(MEDIAN(_xlpm.prices), ""))</f>
        <v>25</v>
      </c>
      <c r="P764">
        <f>IF(Greenleaf[[#This Row],[Shipment Status]]="Returned",1,0)</f>
        <v>0</v>
      </c>
      <c r="Q764">
        <f>IF(Greenleaf[[#This Row],[Shipment Status]]="Delivered",1,0)</f>
        <v>1</v>
      </c>
    </row>
    <row r="765" spans="1:17" x14ac:dyDescent="0.45">
      <c r="A765" t="s">
        <v>1119</v>
      </c>
      <c r="B765">
        <v>45572</v>
      </c>
      <c r="C765" t="s">
        <v>49</v>
      </c>
      <c r="D765" t="s">
        <v>50</v>
      </c>
      <c r="E765">
        <v>10</v>
      </c>
      <c r="F765">
        <v>15</v>
      </c>
      <c r="G765">
        <v>4.92</v>
      </c>
      <c r="H765" t="s">
        <v>506</v>
      </c>
      <c r="I765" t="s">
        <v>225</v>
      </c>
      <c r="J765" t="s">
        <v>27</v>
      </c>
      <c r="K765" t="s">
        <v>70</v>
      </c>
      <c r="L765">
        <f t="shared" si="33"/>
        <v>150</v>
      </c>
      <c r="M765">
        <f t="shared" si="34"/>
        <v>49.2</v>
      </c>
      <c r="N765">
        <f t="shared" si="35"/>
        <v>100.8</v>
      </c>
      <c r="O765" cm="1">
        <f t="array" ref="O765">_xlfn.LET(_xlpm.cat, Greenleaf[[#This Row],[Product Category]], _xlpm.prices, _xlfn._xlws.FILTER(Greenleaf[Unit Price], (Greenleaf[Product Category]=_xlpm.cat)*(Greenleaf[Unit Price]&lt;&gt;"")), IFERROR(MEDIAN(_xlpm.prices), ""))</f>
        <v>15</v>
      </c>
      <c r="P765">
        <f>IF(Greenleaf[[#This Row],[Shipment Status]]="Returned",1,0)</f>
        <v>0</v>
      </c>
      <c r="Q765">
        <f>IF(Greenleaf[[#This Row],[Shipment Status]]="Delivered",1,0)</f>
        <v>1</v>
      </c>
    </row>
    <row r="766" spans="1:17" x14ac:dyDescent="0.45">
      <c r="A766" t="s">
        <v>1120</v>
      </c>
      <c r="B766">
        <v>45573</v>
      </c>
      <c r="C766" t="s">
        <v>30</v>
      </c>
      <c r="D766" t="s">
        <v>31</v>
      </c>
      <c r="E766">
        <v>8</v>
      </c>
      <c r="F766">
        <v>40</v>
      </c>
      <c r="G766">
        <v>15.87</v>
      </c>
      <c r="H766" t="s">
        <v>150</v>
      </c>
      <c r="I766" t="s">
        <v>151</v>
      </c>
      <c r="J766" t="s">
        <v>42</v>
      </c>
      <c r="K766" t="s">
        <v>21</v>
      </c>
      <c r="L766">
        <f t="shared" si="33"/>
        <v>320</v>
      </c>
      <c r="M766">
        <f t="shared" si="34"/>
        <v>126.96</v>
      </c>
      <c r="N766">
        <f t="shared" si="35"/>
        <v>193.04000000000002</v>
      </c>
      <c r="O766" cm="1">
        <f t="array" ref="O766">_xlfn.LET(_xlpm.cat, Greenleaf[[#This Row],[Product Category]], _xlpm.prices, _xlfn._xlws.FILTER(Greenleaf[Unit Price], (Greenleaf[Product Category]=_xlpm.cat)*(Greenleaf[Unit Price]&lt;&gt;"")), IFERROR(MEDIAN(_xlpm.prices), ""))</f>
        <v>40</v>
      </c>
      <c r="P766">
        <f>IF(Greenleaf[[#This Row],[Shipment Status]]="Returned",1,0)</f>
        <v>1</v>
      </c>
      <c r="Q766">
        <f>IF(Greenleaf[[#This Row],[Shipment Status]]="Delivered",1,0)</f>
        <v>0</v>
      </c>
    </row>
    <row r="767" spans="1:17" x14ac:dyDescent="0.45">
      <c r="A767" t="s">
        <v>1121</v>
      </c>
      <c r="B767">
        <v>45573</v>
      </c>
      <c r="C767" t="s">
        <v>66</v>
      </c>
      <c r="D767" t="s">
        <v>67</v>
      </c>
      <c r="E767">
        <v>8</v>
      </c>
      <c r="F767">
        <v>12</v>
      </c>
      <c r="G767">
        <v>2.44</v>
      </c>
      <c r="H767" t="s">
        <v>326</v>
      </c>
      <c r="I767" t="s">
        <v>327</v>
      </c>
      <c r="J767" t="s">
        <v>27</v>
      </c>
      <c r="K767" t="s">
        <v>56</v>
      </c>
      <c r="L767">
        <f t="shared" si="33"/>
        <v>96</v>
      </c>
      <c r="M767">
        <f t="shared" si="34"/>
        <v>19.52</v>
      </c>
      <c r="N767">
        <f t="shared" si="35"/>
        <v>76.48</v>
      </c>
      <c r="O767" cm="1">
        <f t="array" ref="O767">_xlfn.LET(_xlpm.cat, Greenleaf[[#This Row],[Product Category]], _xlpm.prices, _xlfn._xlws.FILTER(Greenleaf[Unit Price], (Greenleaf[Product Category]=_xlpm.cat)*(Greenleaf[Unit Price]&lt;&gt;"")), IFERROR(MEDIAN(_xlpm.prices), ""))</f>
        <v>12</v>
      </c>
      <c r="P767">
        <f>IF(Greenleaf[[#This Row],[Shipment Status]]="Returned",1,0)</f>
        <v>0</v>
      </c>
      <c r="Q767">
        <f>IF(Greenleaf[[#This Row],[Shipment Status]]="Delivered",1,0)</f>
        <v>1</v>
      </c>
    </row>
    <row r="768" spans="1:17" x14ac:dyDescent="0.45">
      <c r="A768" t="s">
        <v>1122</v>
      </c>
      <c r="B768">
        <v>45573</v>
      </c>
      <c r="C768" t="s">
        <v>49</v>
      </c>
      <c r="D768" t="s">
        <v>50</v>
      </c>
      <c r="E768">
        <v>7</v>
      </c>
      <c r="F768">
        <v>15</v>
      </c>
      <c r="G768">
        <v>3.55</v>
      </c>
      <c r="H768" t="s">
        <v>469</v>
      </c>
      <c r="I768" t="s">
        <v>470</v>
      </c>
      <c r="J768" t="s">
        <v>27</v>
      </c>
      <c r="K768" t="s">
        <v>38</v>
      </c>
      <c r="L768">
        <f t="shared" si="33"/>
        <v>105</v>
      </c>
      <c r="M768">
        <f t="shared" si="34"/>
        <v>24.849999999999998</v>
      </c>
      <c r="N768">
        <f t="shared" si="35"/>
        <v>80.150000000000006</v>
      </c>
      <c r="O768" cm="1">
        <f t="array" ref="O768">_xlfn.LET(_xlpm.cat, Greenleaf[[#This Row],[Product Category]], _xlpm.prices, _xlfn._xlws.FILTER(Greenleaf[Unit Price], (Greenleaf[Product Category]=_xlpm.cat)*(Greenleaf[Unit Price]&lt;&gt;"")), IFERROR(MEDIAN(_xlpm.prices), ""))</f>
        <v>15</v>
      </c>
      <c r="P768">
        <f>IF(Greenleaf[[#This Row],[Shipment Status]]="Returned",1,0)</f>
        <v>0</v>
      </c>
      <c r="Q768">
        <f>IF(Greenleaf[[#This Row],[Shipment Status]]="Delivered",1,0)</f>
        <v>1</v>
      </c>
    </row>
    <row r="769" spans="1:17" x14ac:dyDescent="0.45">
      <c r="A769" t="s">
        <v>1123</v>
      </c>
      <c r="B769">
        <v>45573</v>
      </c>
      <c r="C769" t="s">
        <v>16</v>
      </c>
      <c r="D769" t="s">
        <v>17</v>
      </c>
      <c r="E769">
        <v>1</v>
      </c>
      <c r="F769">
        <v>10</v>
      </c>
      <c r="G769">
        <v>3.51</v>
      </c>
      <c r="H769" t="s">
        <v>795</v>
      </c>
      <c r="I769" t="s">
        <v>440</v>
      </c>
      <c r="J769" t="s">
        <v>27</v>
      </c>
      <c r="K769" t="s">
        <v>56</v>
      </c>
      <c r="L769">
        <f t="shared" si="33"/>
        <v>10</v>
      </c>
      <c r="M769">
        <f t="shared" si="34"/>
        <v>3.51</v>
      </c>
      <c r="N769">
        <f t="shared" si="35"/>
        <v>6.49</v>
      </c>
      <c r="O769" cm="1">
        <f t="array" ref="O769">_xlfn.LET(_xlpm.cat, Greenleaf[[#This Row],[Product Category]], _xlpm.prices, _xlfn._xlws.FILTER(Greenleaf[Unit Price], (Greenleaf[Product Category]=_xlpm.cat)*(Greenleaf[Unit Price]&lt;&gt;"")), IFERROR(MEDIAN(_xlpm.prices), ""))</f>
        <v>10</v>
      </c>
      <c r="P769">
        <f>IF(Greenleaf[[#This Row],[Shipment Status]]="Returned",1,0)</f>
        <v>0</v>
      </c>
      <c r="Q769">
        <f>IF(Greenleaf[[#This Row],[Shipment Status]]="Delivered",1,0)</f>
        <v>1</v>
      </c>
    </row>
    <row r="770" spans="1:17" x14ac:dyDescent="0.45">
      <c r="A770" t="s">
        <v>1124</v>
      </c>
      <c r="B770">
        <v>45574</v>
      </c>
      <c r="C770" t="s">
        <v>23</v>
      </c>
      <c r="D770" t="s">
        <v>24</v>
      </c>
      <c r="E770">
        <v>3</v>
      </c>
      <c r="F770">
        <v>25</v>
      </c>
      <c r="G770">
        <v>8.26</v>
      </c>
      <c r="H770" t="s">
        <v>45</v>
      </c>
      <c r="I770" t="s">
        <v>46</v>
      </c>
      <c r="J770" t="s">
        <v>27</v>
      </c>
      <c r="K770" t="s">
        <v>56</v>
      </c>
      <c r="L770">
        <f t="shared" ref="L770:L833" si="36">E770*F770</f>
        <v>75</v>
      </c>
      <c r="M770">
        <f t="shared" ref="M770:M833" si="37">E770*G770</f>
        <v>24.78</v>
      </c>
      <c r="N770">
        <f t="shared" ref="N770:N833" si="38">L770-M770</f>
        <v>50.22</v>
      </c>
      <c r="O770" cm="1">
        <f t="array" ref="O770">_xlfn.LET(_xlpm.cat, Greenleaf[[#This Row],[Product Category]], _xlpm.prices, _xlfn._xlws.FILTER(Greenleaf[Unit Price], (Greenleaf[Product Category]=_xlpm.cat)*(Greenleaf[Unit Price]&lt;&gt;"")), IFERROR(MEDIAN(_xlpm.prices), ""))</f>
        <v>25</v>
      </c>
      <c r="P770">
        <f>IF(Greenleaf[[#This Row],[Shipment Status]]="Returned",1,0)</f>
        <v>0</v>
      </c>
      <c r="Q770">
        <f>IF(Greenleaf[[#This Row],[Shipment Status]]="Delivered",1,0)</f>
        <v>1</v>
      </c>
    </row>
    <row r="771" spans="1:17" x14ac:dyDescent="0.45">
      <c r="A771" t="s">
        <v>1125</v>
      </c>
      <c r="B771">
        <v>45575</v>
      </c>
      <c r="C771" t="s">
        <v>23</v>
      </c>
      <c r="D771" t="s">
        <v>24</v>
      </c>
      <c r="E771">
        <v>10</v>
      </c>
      <c r="F771">
        <v>25</v>
      </c>
      <c r="G771">
        <v>7.05</v>
      </c>
      <c r="H771" t="s">
        <v>802</v>
      </c>
      <c r="I771" t="s">
        <v>333</v>
      </c>
      <c r="J771" t="s">
        <v>20</v>
      </c>
      <c r="K771" t="s">
        <v>21</v>
      </c>
      <c r="L771">
        <f t="shared" si="36"/>
        <v>250</v>
      </c>
      <c r="M771">
        <f t="shared" si="37"/>
        <v>70.5</v>
      </c>
      <c r="N771">
        <f t="shared" si="38"/>
        <v>179.5</v>
      </c>
      <c r="O771" cm="1">
        <f t="array" ref="O771">_xlfn.LET(_xlpm.cat, Greenleaf[[#This Row],[Product Category]], _xlpm.prices, _xlfn._xlws.FILTER(Greenleaf[Unit Price], (Greenleaf[Product Category]=_xlpm.cat)*(Greenleaf[Unit Price]&lt;&gt;"")), IFERROR(MEDIAN(_xlpm.prices), ""))</f>
        <v>25</v>
      </c>
      <c r="P771">
        <f>IF(Greenleaf[[#This Row],[Shipment Status]]="Returned",1,0)</f>
        <v>0</v>
      </c>
      <c r="Q771">
        <f>IF(Greenleaf[[#This Row],[Shipment Status]]="Delivered",1,0)</f>
        <v>0</v>
      </c>
    </row>
    <row r="772" spans="1:17" x14ac:dyDescent="0.45">
      <c r="A772" t="s">
        <v>1126</v>
      </c>
      <c r="B772">
        <v>45575</v>
      </c>
      <c r="C772" t="s">
        <v>30</v>
      </c>
      <c r="D772" t="s">
        <v>31</v>
      </c>
      <c r="E772">
        <v>4</v>
      </c>
      <c r="F772">
        <v>40</v>
      </c>
      <c r="G772">
        <v>14.12</v>
      </c>
      <c r="H772" t="s">
        <v>365</v>
      </c>
      <c r="I772" t="s">
        <v>115</v>
      </c>
      <c r="J772" t="s">
        <v>42</v>
      </c>
      <c r="K772" t="s">
        <v>34</v>
      </c>
      <c r="L772">
        <f t="shared" si="36"/>
        <v>160</v>
      </c>
      <c r="M772">
        <f t="shared" si="37"/>
        <v>56.48</v>
      </c>
      <c r="N772">
        <f t="shared" si="38"/>
        <v>103.52000000000001</v>
      </c>
      <c r="O772" cm="1">
        <f t="array" ref="O772">_xlfn.LET(_xlpm.cat, Greenleaf[[#This Row],[Product Category]], _xlpm.prices, _xlfn._xlws.FILTER(Greenleaf[Unit Price], (Greenleaf[Product Category]=_xlpm.cat)*(Greenleaf[Unit Price]&lt;&gt;"")), IFERROR(MEDIAN(_xlpm.prices), ""))</f>
        <v>40</v>
      </c>
      <c r="P772">
        <f>IF(Greenleaf[[#This Row],[Shipment Status]]="Returned",1,0)</f>
        <v>1</v>
      </c>
      <c r="Q772">
        <f>IF(Greenleaf[[#This Row],[Shipment Status]]="Delivered",1,0)</f>
        <v>0</v>
      </c>
    </row>
    <row r="773" spans="1:17" x14ac:dyDescent="0.45">
      <c r="A773" t="s">
        <v>1127</v>
      </c>
      <c r="B773">
        <v>45576</v>
      </c>
      <c r="C773" t="s">
        <v>30</v>
      </c>
      <c r="D773" t="s">
        <v>31</v>
      </c>
      <c r="E773">
        <v>7</v>
      </c>
      <c r="F773">
        <v>40</v>
      </c>
      <c r="G773">
        <v>10.23</v>
      </c>
      <c r="H773" t="s">
        <v>691</v>
      </c>
      <c r="I773" t="s">
        <v>692</v>
      </c>
      <c r="J773" t="s">
        <v>27</v>
      </c>
      <c r="K773" t="s">
        <v>34</v>
      </c>
      <c r="L773">
        <f t="shared" si="36"/>
        <v>280</v>
      </c>
      <c r="M773">
        <f t="shared" si="37"/>
        <v>71.61</v>
      </c>
      <c r="N773">
        <f t="shared" si="38"/>
        <v>208.39</v>
      </c>
      <c r="O773" cm="1">
        <f t="array" ref="O773">_xlfn.LET(_xlpm.cat, Greenleaf[[#This Row],[Product Category]], _xlpm.prices, _xlfn._xlws.FILTER(Greenleaf[Unit Price], (Greenleaf[Product Category]=_xlpm.cat)*(Greenleaf[Unit Price]&lt;&gt;"")), IFERROR(MEDIAN(_xlpm.prices), ""))</f>
        <v>40</v>
      </c>
      <c r="P773">
        <f>IF(Greenleaf[[#This Row],[Shipment Status]]="Returned",1,0)</f>
        <v>0</v>
      </c>
      <c r="Q773">
        <f>IF(Greenleaf[[#This Row],[Shipment Status]]="Delivered",1,0)</f>
        <v>1</v>
      </c>
    </row>
    <row r="774" spans="1:17" x14ac:dyDescent="0.45">
      <c r="A774" t="s">
        <v>1128</v>
      </c>
      <c r="B774">
        <v>45576</v>
      </c>
      <c r="C774" t="s">
        <v>49</v>
      </c>
      <c r="D774" t="s">
        <v>50</v>
      </c>
      <c r="E774">
        <v>5</v>
      </c>
      <c r="F774">
        <v>15</v>
      </c>
      <c r="G774">
        <v>5.01</v>
      </c>
      <c r="H774" t="s">
        <v>136</v>
      </c>
      <c r="I774" t="s">
        <v>137</v>
      </c>
      <c r="J774" t="s">
        <v>42</v>
      </c>
      <c r="K774" t="s">
        <v>34</v>
      </c>
      <c r="L774">
        <f t="shared" si="36"/>
        <v>75</v>
      </c>
      <c r="M774">
        <f t="shared" si="37"/>
        <v>25.049999999999997</v>
      </c>
      <c r="N774">
        <f t="shared" si="38"/>
        <v>49.95</v>
      </c>
      <c r="O774" cm="1">
        <f t="array" ref="O774">_xlfn.LET(_xlpm.cat, Greenleaf[[#This Row],[Product Category]], _xlpm.prices, _xlfn._xlws.FILTER(Greenleaf[Unit Price], (Greenleaf[Product Category]=_xlpm.cat)*(Greenleaf[Unit Price]&lt;&gt;"")), IFERROR(MEDIAN(_xlpm.prices), ""))</f>
        <v>15</v>
      </c>
      <c r="P774">
        <f>IF(Greenleaf[[#This Row],[Shipment Status]]="Returned",1,0)</f>
        <v>1</v>
      </c>
      <c r="Q774">
        <f>IF(Greenleaf[[#This Row],[Shipment Status]]="Delivered",1,0)</f>
        <v>0</v>
      </c>
    </row>
    <row r="775" spans="1:17" x14ac:dyDescent="0.45">
      <c r="A775" t="s">
        <v>1129</v>
      </c>
      <c r="B775">
        <v>45577</v>
      </c>
      <c r="C775" t="s">
        <v>23</v>
      </c>
      <c r="D775" t="s">
        <v>24</v>
      </c>
      <c r="E775">
        <v>9</v>
      </c>
      <c r="F775">
        <v>25</v>
      </c>
      <c r="G775">
        <v>7.98</v>
      </c>
      <c r="H775" t="s">
        <v>473</v>
      </c>
      <c r="I775" t="s">
        <v>474</v>
      </c>
      <c r="J775" t="s">
        <v>27</v>
      </c>
      <c r="K775" t="s">
        <v>74</v>
      </c>
      <c r="L775">
        <f t="shared" si="36"/>
        <v>225</v>
      </c>
      <c r="M775">
        <f t="shared" si="37"/>
        <v>71.820000000000007</v>
      </c>
      <c r="N775">
        <f t="shared" si="38"/>
        <v>153.18</v>
      </c>
      <c r="O775" cm="1">
        <f t="array" ref="O775">_xlfn.LET(_xlpm.cat, Greenleaf[[#This Row],[Product Category]], _xlpm.prices, _xlfn._xlws.FILTER(Greenleaf[Unit Price], (Greenleaf[Product Category]=_xlpm.cat)*(Greenleaf[Unit Price]&lt;&gt;"")), IFERROR(MEDIAN(_xlpm.prices), ""))</f>
        <v>25</v>
      </c>
      <c r="P775">
        <f>IF(Greenleaf[[#This Row],[Shipment Status]]="Returned",1,0)</f>
        <v>0</v>
      </c>
      <c r="Q775">
        <f>IF(Greenleaf[[#This Row],[Shipment Status]]="Delivered",1,0)</f>
        <v>1</v>
      </c>
    </row>
    <row r="776" spans="1:17" x14ac:dyDescent="0.45">
      <c r="A776" t="s">
        <v>1130</v>
      </c>
      <c r="B776">
        <v>45577</v>
      </c>
      <c r="C776" t="s">
        <v>30</v>
      </c>
      <c r="D776" t="s">
        <v>31</v>
      </c>
      <c r="E776">
        <v>7</v>
      </c>
      <c r="F776">
        <v>40</v>
      </c>
      <c r="G776">
        <v>14.85</v>
      </c>
      <c r="H776" t="s">
        <v>54</v>
      </c>
      <c r="I776" t="s">
        <v>55</v>
      </c>
      <c r="J776" t="s">
        <v>42</v>
      </c>
      <c r="K776" t="s">
        <v>28</v>
      </c>
      <c r="L776">
        <f t="shared" si="36"/>
        <v>280</v>
      </c>
      <c r="M776">
        <f t="shared" si="37"/>
        <v>103.95</v>
      </c>
      <c r="N776">
        <f t="shared" si="38"/>
        <v>176.05</v>
      </c>
      <c r="O776" cm="1">
        <f t="array" ref="O776">_xlfn.LET(_xlpm.cat, Greenleaf[[#This Row],[Product Category]], _xlpm.prices, _xlfn._xlws.FILTER(Greenleaf[Unit Price], (Greenleaf[Product Category]=_xlpm.cat)*(Greenleaf[Unit Price]&lt;&gt;"")), IFERROR(MEDIAN(_xlpm.prices), ""))</f>
        <v>40</v>
      </c>
      <c r="P776">
        <f>IF(Greenleaf[[#This Row],[Shipment Status]]="Returned",1,0)</f>
        <v>1</v>
      </c>
      <c r="Q776">
        <f>IF(Greenleaf[[#This Row],[Shipment Status]]="Delivered",1,0)</f>
        <v>0</v>
      </c>
    </row>
    <row r="777" spans="1:17" x14ac:dyDescent="0.45">
      <c r="A777" t="s">
        <v>1131</v>
      </c>
      <c r="B777">
        <v>45577</v>
      </c>
      <c r="C777" t="s">
        <v>66</v>
      </c>
      <c r="D777" t="s">
        <v>67</v>
      </c>
      <c r="E777">
        <v>7</v>
      </c>
      <c r="F777">
        <v>12</v>
      </c>
      <c r="G777">
        <v>4.57</v>
      </c>
      <c r="H777" t="s">
        <v>259</v>
      </c>
      <c r="I777" t="s">
        <v>260</v>
      </c>
      <c r="J777" t="s">
        <v>27</v>
      </c>
      <c r="K777" t="s">
        <v>34</v>
      </c>
      <c r="L777">
        <f t="shared" si="36"/>
        <v>84</v>
      </c>
      <c r="M777">
        <f t="shared" si="37"/>
        <v>31.990000000000002</v>
      </c>
      <c r="N777">
        <f t="shared" si="38"/>
        <v>52.01</v>
      </c>
      <c r="O777" cm="1">
        <f t="array" ref="O777">_xlfn.LET(_xlpm.cat, Greenleaf[[#This Row],[Product Category]], _xlpm.prices, _xlfn._xlws.FILTER(Greenleaf[Unit Price], (Greenleaf[Product Category]=_xlpm.cat)*(Greenleaf[Unit Price]&lt;&gt;"")), IFERROR(MEDIAN(_xlpm.prices), ""))</f>
        <v>12</v>
      </c>
      <c r="P777">
        <f>IF(Greenleaf[[#This Row],[Shipment Status]]="Returned",1,0)</f>
        <v>0</v>
      </c>
      <c r="Q777">
        <f>IF(Greenleaf[[#This Row],[Shipment Status]]="Delivered",1,0)</f>
        <v>1</v>
      </c>
    </row>
    <row r="778" spans="1:17" x14ac:dyDescent="0.45">
      <c r="A778" t="s">
        <v>1132</v>
      </c>
      <c r="B778">
        <v>45578</v>
      </c>
      <c r="C778" t="s">
        <v>66</v>
      </c>
      <c r="D778" t="s">
        <v>67</v>
      </c>
      <c r="E778">
        <v>7</v>
      </c>
      <c r="F778">
        <v>12</v>
      </c>
      <c r="G778">
        <v>4.38</v>
      </c>
      <c r="H778" t="s">
        <v>684</v>
      </c>
      <c r="I778" t="s">
        <v>357</v>
      </c>
      <c r="J778" t="s">
        <v>27</v>
      </c>
      <c r="K778" t="s">
        <v>34</v>
      </c>
      <c r="L778">
        <f t="shared" si="36"/>
        <v>84</v>
      </c>
      <c r="M778">
        <f t="shared" si="37"/>
        <v>30.66</v>
      </c>
      <c r="N778">
        <f t="shared" si="38"/>
        <v>53.34</v>
      </c>
      <c r="O778" cm="1">
        <f t="array" ref="O778">_xlfn.LET(_xlpm.cat, Greenleaf[[#This Row],[Product Category]], _xlpm.prices, _xlfn._xlws.FILTER(Greenleaf[Unit Price], (Greenleaf[Product Category]=_xlpm.cat)*(Greenleaf[Unit Price]&lt;&gt;"")), IFERROR(MEDIAN(_xlpm.prices), ""))</f>
        <v>12</v>
      </c>
      <c r="P778">
        <f>IF(Greenleaf[[#This Row],[Shipment Status]]="Returned",1,0)</f>
        <v>0</v>
      </c>
      <c r="Q778">
        <f>IF(Greenleaf[[#This Row],[Shipment Status]]="Delivered",1,0)</f>
        <v>1</v>
      </c>
    </row>
    <row r="779" spans="1:17" x14ac:dyDescent="0.45">
      <c r="A779" t="s">
        <v>1133</v>
      </c>
      <c r="B779">
        <v>45578</v>
      </c>
      <c r="C779" t="s">
        <v>49</v>
      </c>
      <c r="D779" t="s">
        <v>50</v>
      </c>
      <c r="E779">
        <v>10</v>
      </c>
      <c r="F779">
        <v>15</v>
      </c>
      <c r="G779">
        <v>3.73</v>
      </c>
      <c r="H779" t="s">
        <v>82</v>
      </c>
      <c r="I779" t="s">
        <v>83</v>
      </c>
      <c r="J779" t="s">
        <v>47</v>
      </c>
      <c r="K779" t="s">
        <v>59</v>
      </c>
      <c r="L779">
        <f t="shared" si="36"/>
        <v>150</v>
      </c>
      <c r="M779">
        <f t="shared" si="37"/>
        <v>37.299999999999997</v>
      </c>
      <c r="N779">
        <f t="shared" si="38"/>
        <v>112.7</v>
      </c>
      <c r="O779" cm="1">
        <f t="array" ref="O779">_xlfn.LET(_xlpm.cat, Greenleaf[[#This Row],[Product Category]], _xlpm.prices, _xlfn._xlws.FILTER(Greenleaf[Unit Price], (Greenleaf[Product Category]=_xlpm.cat)*(Greenleaf[Unit Price]&lt;&gt;"")), IFERROR(MEDIAN(_xlpm.prices), ""))</f>
        <v>15</v>
      </c>
      <c r="P779">
        <f>IF(Greenleaf[[#This Row],[Shipment Status]]="Returned",1,0)</f>
        <v>0</v>
      </c>
      <c r="Q779">
        <f>IF(Greenleaf[[#This Row],[Shipment Status]]="Delivered",1,0)</f>
        <v>0</v>
      </c>
    </row>
    <row r="780" spans="1:17" x14ac:dyDescent="0.45">
      <c r="A780" t="s">
        <v>1134</v>
      </c>
      <c r="B780">
        <v>45578</v>
      </c>
      <c r="C780" t="s">
        <v>30</v>
      </c>
      <c r="D780" t="s">
        <v>31</v>
      </c>
      <c r="E780">
        <v>6</v>
      </c>
      <c r="F780">
        <v>40</v>
      </c>
      <c r="G780">
        <v>10.78</v>
      </c>
      <c r="H780" t="s">
        <v>332</v>
      </c>
      <c r="I780" t="s">
        <v>333</v>
      </c>
      <c r="J780" t="s">
        <v>20</v>
      </c>
      <c r="K780" t="s">
        <v>74</v>
      </c>
      <c r="L780">
        <f t="shared" si="36"/>
        <v>240</v>
      </c>
      <c r="M780">
        <f t="shared" si="37"/>
        <v>64.679999999999993</v>
      </c>
      <c r="N780">
        <f t="shared" si="38"/>
        <v>175.32</v>
      </c>
      <c r="O780" cm="1">
        <f t="array" ref="O780">_xlfn.LET(_xlpm.cat, Greenleaf[[#This Row],[Product Category]], _xlpm.prices, _xlfn._xlws.FILTER(Greenleaf[Unit Price], (Greenleaf[Product Category]=_xlpm.cat)*(Greenleaf[Unit Price]&lt;&gt;"")), IFERROR(MEDIAN(_xlpm.prices), ""))</f>
        <v>40</v>
      </c>
      <c r="P780">
        <f>IF(Greenleaf[[#This Row],[Shipment Status]]="Returned",1,0)</f>
        <v>0</v>
      </c>
      <c r="Q780">
        <f>IF(Greenleaf[[#This Row],[Shipment Status]]="Delivered",1,0)</f>
        <v>0</v>
      </c>
    </row>
    <row r="781" spans="1:17" x14ac:dyDescent="0.45">
      <c r="A781" t="s">
        <v>1135</v>
      </c>
      <c r="B781">
        <v>45578</v>
      </c>
      <c r="C781" t="s">
        <v>49</v>
      </c>
      <c r="D781" t="s">
        <v>50</v>
      </c>
      <c r="E781">
        <v>9</v>
      </c>
      <c r="F781">
        <v>15</v>
      </c>
      <c r="G781">
        <v>4.62</v>
      </c>
      <c r="H781" t="s">
        <v>904</v>
      </c>
      <c r="I781" t="s">
        <v>905</v>
      </c>
      <c r="J781" t="s">
        <v>20</v>
      </c>
      <c r="K781" t="s">
        <v>56</v>
      </c>
      <c r="L781">
        <f t="shared" si="36"/>
        <v>135</v>
      </c>
      <c r="M781">
        <f t="shared" si="37"/>
        <v>41.58</v>
      </c>
      <c r="N781">
        <f t="shared" si="38"/>
        <v>93.42</v>
      </c>
      <c r="O781" cm="1">
        <f t="array" ref="O781">_xlfn.LET(_xlpm.cat, Greenleaf[[#This Row],[Product Category]], _xlpm.prices, _xlfn._xlws.FILTER(Greenleaf[Unit Price], (Greenleaf[Product Category]=_xlpm.cat)*(Greenleaf[Unit Price]&lt;&gt;"")), IFERROR(MEDIAN(_xlpm.prices), ""))</f>
        <v>15</v>
      </c>
      <c r="P781">
        <f>IF(Greenleaf[[#This Row],[Shipment Status]]="Returned",1,0)</f>
        <v>0</v>
      </c>
      <c r="Q781">
        <f>IF(Greenleaf[[#This Row],[Shipment Status]]="Delivered",1,0)</f>
        <v>0</v>
      </c>
    </row>
    <row r="782" spans="1:17" x14ac:dyDescent="0.45">
      <c r="A782" t="s">
        <v>1136</v>
      </c>
      <c r="B782">
        <v>45578</v>
      </c>
      <c r="C782" t="s">
        <v>30</v>
      </c>
      <c r="D782" t="s">
        <v>31</v>
      </c>
      <c r="E782">
        <v>10</v>
      </c>
      <c r="F782">
        <v>40</v>
      </c>
      <c r="G782">
        <v>10.4</v>
      </c>
      <c r="H782" t="s">
        <v>263</v>
      </c>
      <c r="I782" t="s">
        <v>128</v>
      </c>
      <c r="J782" t="s">
        <v>47</v>
      </c>
      <c r="K782" t="s">
        <v>38</v>
      </c>
      <c r="L782">
        <f t="shared" si="36"/>
        <v>400</v>
      </c>
      <c r="M782">
        <f t="shared" si="37"/>
        <v>104</v>
      </c>
      <c r="N782">
        <f t="shared" si="38"/>
        <v>296</v>
      </c>
      <c r="O782" cm="1">
        <f t="array" ref="O782">_xlfn.LET(_xlpm.cat, Greenleaf[[#This Row],[Product Category]], _xlpm.prices, _xlfn._xlws.FILTER(Greenleaf[Unit Price], (Greenleaf[Product Category]=_xlpm.cat)*(Greenleaf[Unit Price]&lt;&gt;"")), IFERROR(MEDIAN(_xlpm.prices), ""))</f>
        <v>40</v>
      </c>
      <c r="P782">
        <f>IF(Greenleaf[[#This Row],[Shipment Status]]="Returned",1,0)</f>
        <v>0</v>
      </c>
      <c r="Q782">
        <f>IF(Greenleaf[[#This Row],[Shipment Status]]="Delivered",1,0)</f>
        <v>0</v>
      </c>
    </row>
    <row r="783" spans="1:17" x14ac:dyDescent="0.45">
      <c r="A783" t="s">
        <v>1137</v>
      </c>
      <c r="B783">
        <v>45579</v>
      </c>
      <c r="C783" t="s">
        <v>66</v>
      </c>
      <c r="D783" t="s">
        <v>67</v>
      </c>
      <c r="E783">
        <v>6</v>
      </c>
      <c r="F783">
        <v>12</v>
      </c>
      <c r="G783">
        <v>4.6100000000000003</v>
      </c>
      <c r="H783" t="s">
        <v>641</v>
      </c>
      <c r="I783" t="s">
        <v>319</v>
      </c>
      <c r="J783" t="s">
        <v>27</v>
      </c>
      <c r="K783" t="s">
        <v>59</v>
      </c>
      <c r="L783">
        <f t="shared" si="36"/>
        <v>72</v>
      </c>
      <c r="M783">
        <f t="shared" si="37"/>
        <v>27.660000000000004</v>
      </c>
      <c r="N783">
        <f t="shared" si="38"/>
        <v>44.339999999999996</v>
      </c>
      <c r="O783" cm="1">
        <f t="array" ref="O783">_xlfn.LET(_xlpm.cat, Greenleaf[[#This Row],[Product Category]], _xlpm.prices, _xlfn._xlws.FILTER(Greenleaf[Unit Price], (Greenleaf[Product Category]=_xlpm.cat)*(Greenleaf[Unit Price]&lt;&gt;"")), IFERROR(MEDIAN(_xlpm.prices), ""))</f>
        <v>12</v>
      </c>
      <c r="P783">
        <f>IF(Greenleaf[[#This Row],[Shipment Status]]="Returned",1,0)</f>
        <v>0</v>
      </c>
      <c r="Q783">
        <f>IF(Greenleaf[[#This Row],[Shipment Status]]="Delivered",1,0)</f>
        <v>1</v>
      </c>
    </row>
    <row r="784" spans="1:17" x14ac:dyDescent="0.45">
      <c r="A784" t="s">
        <v>1138</v>
      </c>
      <c r="B784">
        <v>45580</v>
      </c>
      <c r="C784" t="s">
        <v>49</v>
      </c>
      <c r="D784" t="s">
        <v>50</v>
      </c>
      <c r="E784">
        <v>5</v>
      </c>
      <c r="F784">
        <v>15</v>
      </c>
      <c r="G784">
        <v>5.78</v>
      </c>
      <c r="H784" t="s">
        <v>228</v>
      </c>
      <c r="I784" t="s">
        <v>37</v>
      </c>
      <c r="J784" t="s">
        <v>20</v>
      </c>
      <c r="K784" t="s">
        <v>21</v>
      </c>
      <c r="L784">
        <f t="shared" si="36"/>
        <v>75</v>
      </c>
      <c r="M784">
        <f t="shared" si="37"/>
        <v>28.900000000000002</v>
      </c>
      <c r="N784">
        <f t="shared" si="38"/>
        <v>46.099999999999994</v>
      </c>
      <c r="O784" cm="1">
        <f t="array" ref="O784">_xlfn.LET(_xlpm.cat, Greenleaf[[#This Row],[Product Category]], _xlpm.prices, _xlfn._xlws.FILTER(Greenleaf[Unit Price], (Greenleaf[Product Category]=_xlpm.cat)*(Greenleaf[Unit Price]&lt;&gt;"")), IFERROR(MEDIAN(_xlpm.prices), ""))</f>
        <v>15</v>
      </c>
      <c r="P784">
        <f>IF(Greenleaf[[#This Row],[Shipment Status]]="Returned",1,0)</f>
        <v>0</v>
      </c>
      <c r="Q784">
        <f>IF(Greenleaf[[#This Row],[Shipment Status]]="Delivered",1,0)</f>
        <v>0</v>
      </c>
    </row>
    <row r="785" spans="1:17" x14ac:dyDescent="0.45">
      <c r="A785" t="s">
        <v>1139</v>
      </c>
      <c r="B785">
        <v>45580</v>
      </c>
      <c r="C785" t="s">
        <v>23</v>
      </c>
      <c r="D785" t="s">
        <v>24</v>
      </c>
      <c r="E785">
        <v>6</v>
      </c>
      <c r="F785">
        <v>25</v>
      </c>
      <c r="G785">
        <v>7.31</v>
      </c>
      <c r="H785" t="s">
        <v>169</v>
      </c>
      <c r="I785" t="s">
        <v>146</v>
      </c>
      <c r="J785" t="s">
        <v>27</v>
      </c>
      <c r="K785" t="s">
        <v>28</v>
      </c>
      <c r="L785">
        <f t="shared" si="36"/>
        <v>150</v>
      </c>
      <c r="M785">
        <f t="shared" si="37"/>
        <v>43.86</v>
      </c>
      <c r="N785">
        <f t="shared" si="38"/>
        <v>106.14</v>
      </c>
      <c r="O785" cm="1">
        <f t="array" ref="O785">_xlfn.LET(_xlpm.cat, Greenleaf[[#This Row],[Product Category]], _xlpm.prices, _xlfn._xlws.FILTER(Greenleaf[Unit Price], (Greenleaf[Product Category]=_xlpm.cat)*(Greenleaf[Unit Price]&lt;&gt;"")), IFERROR(MEDIAN(_xlpm.prices), ""))</f>
        <v>25</v>
      </c>
      <c r="P785">
        <f>IF(Greenleaf[[#This Row],[Shipment Status]]="Returned",1,0)</f>
        <v>0</v>
      </c>
      <c r="Q785">
        <f>IF(Greenleaf[[#This Row],[Shipment Status]]="Delivered",1,0)</f>
        <v>1</v>
      </c>
    </row>
    <row r="786" spans="1:17" x14ac:dyDescent="0.45">
      <c r="A786" t="s">
        <v>1140</v>
      </c>
      <c r="B786">
        <v>45580</v>
      </c>
      <c r="C786" t="s">
        <v>23</v>
      </c>
      <c r="D786" t="s">
        <v>24</v>
      </c>
      <c r="E786">
        <v>4</v>
      </c>
      <c r="F786">
        <v>25</v>
      </c>
      <c r="G786">
        <v>5.44</v>
      </c>
      <c r="H786" t="s">
        <v>1141</v>
      </c>
      <c r="I786" t="s">
        <v>283</v>
      </c>
      <c r="J786" t="s">
        <v>27</v>
      </c>
      <c r="K786" t="s">
        <v>34</v>
      </c>
      <c r="L786">
        <f t="shared" si="36"/>
        <v>100</v>
      </c>
      <c r="M786">
        <f t="shared" si="37"/>
        <v>21.76</v>
      </c>
      <c r="N786">
        <f t="shared" si="38"/>
        <v>78.239999999999995</v>
      </c>
      <c r="O786" cm="1">
        <f t="array" ref="O786">_xlfn.LET(_xlpm.cat, Greenleaf[[#This Row],[Product Category]], _xlpm.prices, _xlfn._xlws.FILTER(Greenleaf[Unit Price], (Greenleaf[Product Category]=_xlpm.cat)*(Greenleaf[Unit Price]&lt;&gt;"")), IFERROR(MEDIAN(_xlpm.prices), ""))</f>
        <v>25</v>
      </c>
      <c r="P786">
        <f>IF(Greenleaf[[#This Row],[Shipment Status]]="Returned",1,0)</f>
        <v>0</v>
      </c>
      <c r="Q786">
        <f>IF(Greenleaf[[#This Row],[Shipment Status]]="Delivered",1,0)</f>
        <v>1</v>
      </c>
    </row>
    <row r="787" spans="1:17" x14ac:dyDescent="0.45">
      <c r="A787" t="s">
        <v>1142</v>
      </c>
      <c r="B787">
        <v>45581</v>
      </c>
      <c r="C787" t="s">
        <v>30</v>
      </c>
      <c r="D787" t="s">
        <v>31</v>
      </c>
      <c r="E787">
        <v>1</v>
      </c>
      <c r="F787">
        <v>40</v>
      </c>
      <c r="G787">
        <v>15.04</v>
      </c>
      <c r="H787" t="s">
        <v>1084</v>
      </c>
      <c r="I787" t="s">
        <v>333</v>
      </c>
      <c r="J787" t="s">
        <v>20</v>
      </c>
      <c r="K787" t="s">
        <v>38</v>
      </c>
      <c r="L787">
        <f t="shared" si="36"/>
        <v>40</v>
      </c>
      <c r="M787">
        <f t="shared" si="37"/>
        <v>15.04</v>
      </c>
      <c r="N787">
        <f t="shared" si="38"/>
        <v>24.96</v>
      </c>
      <c r="O787" cm="1">
        <f t="array" ref="O787">_xlfn.LET(_xlpm.cat, Greenleaf[[#This Row],[Product Category]], _xlpm.prices, _xlfn._xlws.FILTER(Greenleaf[Unit Price], (Greenleaf[Product Category]=_xlpm.cat)*(Greenleaf[Unit Price]&lt;&gt;"")), IFERROR(MEDIAN(_xlpm.prices), ""))</f>
        <v>40</v>
      </c>
      <c r="P787">
        <f>IF(Greenleaf[[#This Row],[Shipment Status]]="Returned",1,0)</f>
        <v>0</v>
      </c>
      <c r="Q787">
        <f>IF(Greenleaf[[#This Row],[Shipment Status]]="Delivered",1,0)</f>
        <v>0</v>
      </c>
    </row>
    <row r="788" spans="1:17" x14ac:dyDescent="0.45">
      <c r="A788" t="s">
        <v>1143</v>
      </c>
      <c r="B788">
        <v>45581</v>
      </c>
      <c r="C788" t="s">
        <v>49</v>
      </c>
      <c r="D788" t="s">
        <v>50</v>
      </c>
      <c r="E788">
        <v>9</v>
      </c>
      <c r="F788">
        <v>15</v>
      </c>
      <c r="G788">
        <v>4.9000000000000004</v>
      </c>
      <c r="H788" t="s">
        <v>86</v>
      </c>
      <c r="I788" t="s">
        <v>87</v>
      </c>
      <c r="J788" t="s">
        <v>20</v>
      </c>
      <c r="K788" t="s">
        <v>74</v>
      </c>
      <c r="L788">
        <f t="shared" si="36"/>
        <v>135</v>
      </c>
      <c r="M788">
        <f t="shared" si="37"/>
        <v>44.1</v>
      </c>
      <c r="N788">
        <f t="shared" si="38"/>
        <v>90.9</v>
      </c>
      <c r="O788" cm="1">
        <f t="array" ref="O788">_xlfn.LET(_xlpm.cat, Greenleaf[[#This Row],[Product Category]], _xlpm.prices, _xlfn._xlws.FILTER(Greenleaf[Unit Price], (Greenleaf[Product Category]=_xlpm.cat)*(Greenleaf[Unit Price]&lt;&gt;"")), IFERROR(MEDIAN(_xlpm.prices), ""))</f>
        <v>15</v>
      </c>
      <c r="P788">
        <f>IF(Greenleaf[[#This Row],[Shipment Status]]="Returned",1,0)</f>
        <v>0</v>
      </c>
      <c r="Q788">
        <f>IF(Greenleaf[[#This Row],[Shipment Status]]="Delivered",1,0)</f>
        <v>0</v>
      </c>
    </row>
    <row r="789" spans="1:17" x14ac:dyDescent="0.45">
      <c r="A789" t="s">
        <v>1144</v>
      </c>
      <c r="B789">
        <v>45581</v>
      </c>
      <c r="C789" t="s">
        <v>30</v>
      </c>
      <c r="D789" t="s">
        <v>31</v>
      </c>
      <c r="E789">
        <v>6</v>
      </c>
      <c r="F789">
        <v>40</v>
      </c>
      <c r="G789">
        <v>11.76</v>
      </c>
      <c r="H789" t="s">
        <v>530</v>
      </c>
      <c r="I789" t="s">
        <v>531</v>
      </c>
      <c r="J789" t="s">
        <v>27</v>
      </c>
      <c r="K789" t="s">
        <v>134</v>
      </c>
      <c r="L789">
        <f t="shared" si="36"/>
        <v>240</v>
      </c>
      <c r="M789">
        <f t="shared" si="37"/>
        <v>70.56</v>
      </c>
      <c r="N789">
        <f t="shared" si="38"/>
        <v>169.44</v>
      </c>
      <c r="O789" cm="1">
        <f t="array" ref="O789">_xlfn.LET(_xlpm.cat, Greenleaf[[#This Row],[Product Category]], _xlpm.prices, _xlfn._xlws.FILTER(Greenleaf[Unit Price], (Greenleaf[Product Category]=_xlpm.cat)*(Greenleaf[Unit Price]&lt;&gt;"")), IFERROR(MEDIAN(_xlpm.prices), ""))</f>
        <v>40</v>
      </c>
      <c r="P789">
        <f>IF(Greenleaf[[#This Row],[Shipment Status]]="Returned",1,0)</f>
        <v>0</v>
      </c>
      <c r="Q789">
        <f>IF(Greenleaf[[#This Row],[Shipment Status]]="Delivered",1,0)</f>
        <v>1</v>
      </c>
    </row>
    <row r="790" spans="1:17" x14ac:dyDescent="0.45">
      <c r="A790" t="s">
        <v>1145</v>
      </c>
      <c r="B790">
        <v>45581</v>
      </c>
      <c r="C790" t="s">
        <v>66</v>
      </c>
      <c r="D790" t="s">
        <v>67</v>
      </c>
      <c r="E790">
        <v>5</v>
      </c>
      <c r="F790">
        <v>12</v>
      </c>
      <c r="G790">
        <v>4.68</v>
      </c>
      <c r="H790" t="s">
        <v>286</v>
      </c>
      <c r="I790" t="s">
        <v>287</v>
      </c>
      <c r="J790" t="s">
        <v>20</v>
      </c>
      <c r="K790" t="s">
        <v>74</v>
      </c>
      <c r="L790">
        <f t="shared" si="36"/>
        <v>60</v>
      </c>
      <c r="M790">
        <f t="shared" si="37"/>
        <v>23.4</v>
      </c>
      <c r="N790">
        <f t="shared" si="38"/>
        <v>36.6</v>
      </c>
      <c r="O790" cm="1">
        <f t="array" ref="O790">_xlfn.LET(_xlpm.cat, Greenleaf[[#This Row],[Product Category]], _xlpm.prices, _xlfn._xlws.FILTER(Greenleaf[Unit Price], (Greenleaf[Product Category]=_xlpm.cat)*(Greenleaf[Unit Price]&lt;&gt;"")), IFERROR(MEDIAN(_xlpm.prices), ""))</f>
        <v>12</v>
      </c>
      <c r="P790">
        <f>IF(Greenleaf[[#This Row],[Shipment Status]]="Returned",1,0)</f>
        <v>0</v>
      </c>
      <c r="Q790">
        <f>IF(Greenleaf[[#This Row],[Shipment Status]]="Delivered",1,0)</f>
        <v>0</v>
      </c>
    </row>
    <row r="791" spans="1:17" x14ac:dyDescent="0.45">
      <c r="A791" t="s">
        <v>1146</v>
      </c>
      <c r="B791">
        <v>45582</v>
      </c>
      <c r="C791" t="s">
        <v>49</v>
      </c>
      <c r="D791" t="s">
        <v>50</v>
      </c>
      <c r="E791">
        <v>7</v>
      </c>
      <c r="F791">
        <v>15</v>
      </c>
      <c r="G791">
        <v>4.3899999999999997</v>
      </c>
      <c r="H791" t="s">
        <v>114</v>
      </c>
      <c r="I791" t="s">
        <v>115</v>
      </c>
      <c r="J791" t="s">
        <v>27</v>
      </c>
      <c r="K791" t="s">
        <v>70</v>
      </c>
      <c r="L791">
        <f t="shared" si="36"/>
        <v>105</v>
      </c>
      <c r="M791">
        <f t="shared" si="37"/>
        <v>30.729999999999997</v>
      </c>
      <c r="N791">
        <f t="shared" si="38"/>
        <v>74.27000000000001</v>
      </c>
      <c r="O791" cm="1">
        <f t="array" ref="O791">_xlfn.LET(_xlpm.cat, Greenleaf[[#This Row],[Product Category]], _xlpm.prices, _xlfn._xlws.FILTER(Greenleaf[Unit Price], (Greenleaf[Product Category]=_xlpm.cat)*(Greenleaf[Unit Price]&lt;&gt;"")), IFERROR(MEDIAN(_xlpm.prices), ""))</f>
        <v>15</v>
      </c>
      <c r="P791">
        <f>IF(Greenleaf[[#This Row],[Shipment Status]]="Returned",1,0)</f>
        <v>0</v>
      </c>
      <c r="Q791">
        <f>IF(Greenleaf[[#This Row],[Shipment Status]]="Delivered",1,0)</f>
        <v>1</v>
      </c>
    </row>
    <row r="792" spans="1:17" x14ac:dyDescent="0.45">
      <c r="A792" t="s">
        <v>1147</v>
      </c>
      <c r="B792">
        <v>45582</v>
      </c>
      <c r="C792" t="s">
        <v>66</v>
      </c>
      <c r="D792" t="s">
        <v>67</v>
      </c>
      <c r="E792">
        <v>7</v>
      </c>
      <c r="F792">
        <v>12</v>
      </c>
      <c r="G792">
        <v>4.01</v>
      </c>
      <c r="H792" t="s">
        <v>51</v>
      </c>
      <c r="I792" t="s">
        <v>52</v>
      </c>
      <c r="J792" t="s">
        <v>27</v>
      </c>
      <c r="K792" t="s">
        <v>34</v>
      </c>
      <c r="L792">
        <f t="shared" si="36"/>
        <v>84</v>
      </c>
      <c r="M792">
        <f t="shared" si="37"/>
        <v>28.07</v>
      </c>
      <c r="N792">
        <f t="shared" si="38"/>
        <v>55.93</v>
      </c>
      <c r="O792" cm="1">
        <f t="array" ref="O792">_xlfn.LET(_xlpm.cat, Greenleaf[[#This Row],[Product Category]], _xlpm.prices, _xlfn._xlws.FILTER(Greenleaf[Unit Price], (Greenleaf[Product Category]=_xlpm.cat)*(Greenleaf[Unit Price]&lt;&gt;"")), IFERROR(MEDIAN(_xlpm.prices), ""))</f>
        <v>12</v>
      </c>
      <c r="P792">
        <f>IF(Greenleaf[[#This Row],[Shipment Status]]="Returned",1,0)</f>
        <v>0</v>
      </c>
      <c r="Q792">
        <f>IF(Greenleaf[[#This Row],[Shipment Status]]="Delivered",1,0)</f>
        <v>1</v>
      </c>
    </row>
    <row r="793" spans="1:17" x14ac:dyDescent="0.45">
      <c r="A793" t="s">
        <v>1148</v>
      </c>
      <c r="B793">
        <v>45582</v>
      </c>
      <c r="C793" t="s">
        <v>49</v>
      </c>
      <c r="D793" t="s">
        <v>50</v>
      </c>
      <c r="E793">
        <v>6</v>
      </c>
      <c r="F793">
        <v>15</v>
      </c>
      <c r="G793">
        <v>3.88</v>
      </c>
      <c r="H793" t="s">
        <v>502</v>
      </c>
      <c r="I793" t="s">
        <v>280</v>
      </c>
      <c r="J793" t="s">
        <v>20</v>
      </c>
      <c r="K793" t="s">
        <v>59</v>
      </c>
      <c r="L793">
        <f t="shared" si="36"/>
        <v>90</v>
      </c>
      <c r="M793">
        <f t="shared" si="37"/>
        <v>23.28</v>
      </c>
      <c r="N793">
        <f t="shared" si="38"/>
        <v>66.72</v>
      </c>
      <c r="O793" cm="1">
        <f t="array" ref="O793">_xlfn.LET(_xlpm.cat, Greenleaf[[#This Row],[Product Category]], _xlpm.prices, _xlfn._xlws.FILTER(Greenleaf[Unit Price], (Greenleaf[Product Category]=_xlpm.cat)*(Greenleaf[Unit Price]&lt;&gt;"")), IFERROR(MEDIAN(_xlpm.prices), ""))</f>
        <v>15</v>
      </c>
      <c r="P793">
        <f>IF(Greenleaf[[#This Row],[Shipment Status]]="Returned",1,0)</f>
        <v>0</v>
      </c>
      <c r="Q793">
        <f>IF(Greenleaf[[#This Row],[Shipment Status]]="Delivered",1,0)</f>
        <v>0</v>
      </c>
    </row>
    <row r="794" spans="1:17" x14ac:dyDescent="0.45">
      <c r="A794" t="s">
        <v>1149</v>
      </c>
      <c r="B794">
        <v>45582</v>
      </c>
      <c r="C794" t="s">
        <v>23</v>
      </c>
      <c r="D794" t="s">
        <v>24</v>
      </c>
      <c r="E794">
        <v>6</v>
      </c>
      <c r="F794">
        <v>25</v>
      </c>
      <c r="G794">
        <v>6.57</v>
      </c>
      <c r="H794" t="s">
        <v>1049</v>
      </c>
      <c r="I794" t="s">
        <v>574</v>
      </c>
      <c r="J794" t="s">
        <v>20</v>
      </c>
      <c r="K794" t="s">
        <v>56</v>
      </c>
      <c r="L794">
        <f t="shared" si="36"/>
        <v>150</v>
      </c>
      <c r="M794">
        <f t="shared" si="37"/>
        <v>39.42</v>
      </c>
      <c r="N794">
        <f t="shared" si="38"/>
        <v>110.58</v>
      </c>
      <c r="O794" cm="1">
        <f t="array" ref="O794">_xlfn.LET(_xlpm.cat, Greenleaf[[#This Row],[Product Category]], _xlpm.prices, _xlfn._xlws.FILTER(Greenleaf[Unit Price], (Greenleaf[Product Category]=_xlpm.cat)*(Greenleaf[Unit Price]&lt;&gt;"")), IFERROR(MEDIAN(_xlpm.prices), ""))</f>
        <v>25</v>
      </c>
      <c r="P794">
        <f>IF(Greenleaf[[#This Row],[Shipment Status]]="Returned",1,0)</f>
        <v>0</v>
      </c>
      <c r="Q794">
        <f>IF(Greenleaf[[#This Row],[Shipment Status]]="Delivered",1,0)</f>
        <v>0</v>
      </c>
    </row>
    <row r="795" spans="1:17" x14ac:dyDescent="0.45">
      <c r="A795" t="s">
        <v>1150</v>
      </c>
      <c r="B795">
        <v>45582</v>
      </c>
      <c r="C795" t="s">
        <v>16</v>
      </c>
      <c r="D795" t="s">
        <v>17</v>
      </c>
      <c r="E795">
        <v>7</v>
      </c>
      <c r="F795">
        <v>10</v>
      </c>
      <c r="G795">
        <v>3.92</v>
      </c>
      <c r="H795" t="s">
        <v>434</v>
      </c>
      <c r="I795" t="s">
        <v>257</v>
      </c>
      <c r="J795" t="s">
        <v>47</v>
      </c>
      <c r="K795" t="s">
        <v>38</v>
      </c>
      <c r="L795">
        <f t="shared" si="36"/>
        <v>70</v>
      </c>
      <c r="M795">
        <f t="shared" si="37"/>
        <v>27.439999999999998</v>
      </c>
      <c r="N795">
        <f t="shared" si="38"/>
        <v>42.56</v>
      </c>
      <c r="O795" cm="1">
        <f t="array" ref="O795">_xlfn.LET(_xlpm.cat, Greenleaf[[#This Row],[Product Category]], _xlpm.prices, _xlfn._xlws.FILTER(Greenleaf[Unit Price], (Greenleaf[Product Category]=_xlpm.cat)*(Greenleaf[Unit Price]&lt;&gt;"")), IFERROR(MEDIAN(_xlpm.prices), ""))</f>
        <v>10</v>
      </c>
      <c r="P795">
        <f>IF(Greenleaf[[#This Row],[Shipment Status]]="Returned",1,0)</f>
        <v>0</v>
      </c>
      <c r="Q795">
        <f>IF(Greenleaf[[#This Row],[Shipment Status]]="Delivered",1,0)</f>
        <v>0</v>
      </c>
    </row>
    <row r="796" spans="1:17" x14ac:dyDescent="0.45">
      <c r="A796" t="s">
        <v>1151</v>
      </c>
      <c r="B796">
        <v>45582</v>
      </c>
      <c r="C796" t="s">
        <v>16</v>
      </c>
      <c r="D796" t="s">
        <v>17</v>
      </c>
      <c r="E796">
        <v>4</v>
      </c>
      <c r="F796">
        <v>10</v>
      </c>
      <c r="G796">
        <v>2.33</v>
      </c>
      <c r="H796" t="s">
        <v>411</v>
      </c>
      <c r="I796" t="s">
        <v>201</v>
      </c>
      <c r="J796" t="s">
        <v>27</v>
      </c>
      <c r="K796" t="s">
        <v>28</v>
      </c>
      <c r="L796">
        <f t="shared" si="36"/>
        <v>40</v>
      </c>
      <c r="M796">
        <f t="shared" si="37"/>
        <v>9.32</v>
      </c>
      <c r="N796">
        <f t="shared" si="38"/>
        <v>30.68</v>
      </c>
      <c r="O796" cm="1">
        <f t="array" ref="O796">_xlfn.LET(_xlpm.cat, Greenleaf[[#This Row],[Product Category]], _xlpm.prices, _xlfn._xlws.FILTER(Greenleaf[Unit Price], (Greenleaf[Product Category]=_xlpm.cat)*(Greenleaf[Unit Price]&lt;&gt;"")), IFERROR(MEDIAN(_xlpm.prices), ""))</f>
        <v>10</v>
      </c>
      <c r="P796">
        <f>IF(Greenleaf[[#This Row],[Shipment Status]]="Returned",1,0)</f>
        <v>0</v>
      </c>
      <c r="Q796">
        <f>IF(Greenleaf[[#This Row],[Shipment Status]]="Delivered",1,0)</f>
        <v>1</v>
      </c>
    </row>
    <row r="797" spans="1:17" x14ac:dyDescent="0.45">
      <c r="A797" t="s">
        <v>1152</v>
      </c>
      <c r="B797">
        <v>45582</v>
      </c>
      <c r="C797" t="s">
        <v>16</v>
      </c>
      <c r="D797" t="s">
        <v>17</v>
      </c>
      <c r="E797">
        <v>2</v>
      </c>
      <c r="F797">
        <v>10</v>
      </c>
      <c r="G797">
        <v>3.79</v>
      </c>
      <c r="H797" t="s">
        <v>416</v>
      </c>
      <c r="I797" t="s">
        <v>403</v>
      </c>
      <c r="J797" t="s">
        <v>27</v>
      </c>
      <c r="K797" t="s">
        <v>134</v>
      </c>
      <c r="L797">
        <f t="shared" si="36"/>
        <v>20</v>
      </c>
      <c r="M797">
        <f t="shared" si="37"/>
        <v>7.58</v>
      </c>
      <c r="N797">
        <f t="shared" si="38"/>
        <v>12.42</v>
      </c>
      <c r="O797" cm="1">
        <f t="array" ref="O797">_xlfn.LET(_xlpm.cat, Greenleaf[[#This Row],[Product Category]], _xlpm.prices, _xlfn._xlws.FILTER(Greenleaf[Unit Price], (Greenleaf[Product Category]=_xlpm.cat)*(Greenleaf[Unit Price]&lt;&gt;"")), IFERROR(MEDIAN(_xlpm.prices), ""))</f>
        <v>10</v>
      </c>
      <c r="P797">
        <f>IF(Greenleaf[[#This Row],[Shipment Status]]="Returned",1,0)</f>
        <v>0</v>
      </c>
      <c r="Q797">
        <f>IF(Greenleaf[[#This Row],[Shipment Status]]="Delivered",1,0)</f>
        <v>1</v>
      </c>
    </row>
    <row r="798" spans="1:17" x14ac:dyDescent="0.45">
      <c r="A798" t="s">
        <v>1153</v>
      </c>
      <c r="B798">
        <v>45583</v>
      </c>
      <c r="C798" t="s">
        <v>66</v>
      </c>
      <c r="D798" t="s">
        <v>67</v>
      </c>
      <c r="E798">
        <v>4</v>
      </c>
      <c r="F798">
        <v>12</v>
      </c>
      <c r="G798">
        <v>4.72</v>
      </c>
      <c r="H798" t="s">
        <v>248</v>
      </c>
      <c r="I798" t="s">
        <v>249</v>
      </c>
      <c r="J798" t="s">
        <v>27</v>
      </c>
      <c r="K798" t="s">
        <v>56</v>
      </c>
      <c r="L798">
        <f t="shared" si="36"/>
        <v>48</v>
      </c>
      <c r="M798">
        <f t="shared" si="37"/>
        <v>18.88</v>
      </c>
      <c r="N798">
        <f t="shared" si="38"/>
        <v>29.12</v>
      </c>
      <c r="O798" cm="1">
        <f t="array" ref="O798">_xlfn.LET(_xlpm.cat, Greenleaf[[#This Row],[Product Category]], _xlpm.prices, _xlfn._xlws.FILTER(Greenleaf[Unit Price], (Greenleaf[Product Category]=_xlpm.cat)*(Greenleaf[Unit Price]&lt;&gt;"")), IFERROR(MEDIAN(_xlpm.prices), ""))</f>
        <v>12</v>
      </c>
      <c r="P798">
        <f>IF(Greenleaf[[#This Row],[Shipment Status]]="Returned",1,0)</f>
        <v>0</v>
      </c>
      <c r="Q798">
        <f>IF(Greenleaf[[#This Row],[Shipment Status]]="Delivered",1,0)</f>
        <v>1</v>
      </c>
    </row>
    <row r="799" spans="1:17" x14ac:dyDescent="0.45">
      <c r="A799" t="s">
        <v>1154</v>
      </c>
      <c r="B799">
        <v>45583</v>
      </c>
      <c r="C799" t="s">
        <v>49</v>
      </c>
      <c r="D799" t="s">
        <v>50</v>
      </c>
      <c r="E799">
        <v>1</v>
      </c>
      <c r="F799">
        <v>15</v>
      </c>
      <c r="G799">
        <v>4.58</v>
      </c>
      <c r="H799" t="s">
        <v>248</v>
      </c>
      <c r="I799" t="s">
        <v>249</v>
      </c>
      <c r="J799" t="s">
        <v>27</v>
      </c>
      <c r="K799" t="s">
        <v>59</v>
      </c>
      <c r="L799">
        <f t="shared" si="36"/>
        <v>15</v>
      </c>
      <c r="M799">
        <f t="shared" si="37"/>
        <v>4.58</v>
      </c>
      <c r="N799">
        <f t="shared" si="38"/>
        <v>10.42</v>
      </c>
      <c r="O799" cm="1">
        <f t="array" ref="O799">_xlfn.LET(_xlpm.cat, Greenleaf[[#This Row],[Product Category]], _xlpm.prices, _xlfn._xlws.FILTER(Greenleaf[Unit Price], (Greenleaf[Product Category]=_xlpm.cat)*(Greenleaf[Unit Price]&lt;&gt;"")), IFERROR(MEDIAN(_xlpm.prices), ""))</f>
        <v>15</v>
      </c>
      <c r="P799">
        <f>IF(Greenleaf[[#This Row],[Shipment Status]]="Returned",1,0)</f>
        <v>0</v>
      </c>
      <c r="Q799">
        <f>IF(Greenleaf[[#This Row],[Shipment Status]]="Delivered",1,0)</f>
        <v>1</v>
      </c>
    </row>
    <row r="800" spans="1:17" x14ac:dyDescent="0.45">
      <c r="A800" t="s">
        <v>1155</v>
      </c>
      <c r="B800">
        <v>45584</v>
      </c>
      <c r="C800" t="s">
        <v>23</v>
      </c>
      <c r="D800" t="s">
        <v>24</v>
      </c>
      <c r="E800">
        <v>3</v>
      </c>
      <c r="F800">
        <v>25</v>
      </c>
      <c r="G800">
        <v>8.26</v>
      </c>
      <c r="H800" t="s">
        <v>282</v>
      </c>
      <c r="I800" t="s">
        <v>283</v>
      </c>
      <c r="J800" t="s">
        <v>27</v>
      </c>
      <c r="K800" t="s">
        <v>134</v>
      </c>
      <c r="L800">
        <f t="shared" si="36"/>
        <v>75</v>
      </c>
      <c r="M800">
        <f t="shared" si="37"/>
        <v>24.78</v>
      </c>
      <c r="N800">
        <f t="shared" si="38"/>
        <v>50.22</v>
      </c>
      <c r="O800" cm="1">
        <f t="array" ref="O800">_xlfn.LET(_xlpm.cat, Greenleaf[[#This Row],[Product Category]], _xlpm.prices, _xlfn._xlws.FILTER(Greenleaf[Unit Price], (Greenleaf[Product Category]=_xlpm.cat)*(Greenleaf[Unit Price]&lt;&gt;"")), IFERROR(MEDIAN(_xlpm.prices), ""))</f>
        <v>25</v>
      </c>
      <c r="P800">
        <f>IF(Greenleaf[[#This Row],[Shipment Status]]="Returned",1,0)</f>
        <v>0</v>
      </c>
      <c r="Q800">
        <f>IF(Greenleaf[[#This Row],[Shipment Status]]="Delivered",1,0)</f>
        <v>1</v>
      </c>
    </row>
    <row r="801" spans="1:17" x14ac:dyDescent="0.45">
      <c r="A801" t="s">
        <v>1156</v>
      </c>
      <c r="B801">
        <v>45584</v>
      </c>
      <c r="C801" t="s">
        <v>49</v>
      </c>
      <c r="D801" t="s">
        <v>50</v>
      </c>
      <c r="E801">
        <v>9</v>
      </c>
      <c r="F801">
        <v>15</v>
      </c>
      <c r="G801">
        <v>4.99</v>
      </c>
      <c r="H801" t="s">
        <v>773</v>
      </c>
      <c r="I801" t="s">
        <v>249</v>
      </c>
      <c r="J801" t="s">
        <v>27</v>
      </c>
      <c r="K801" t="s">
        <v>134</v>
      </c>
      <c r="L801">
        <f t="shared" si="36"/>
        <v>135</v>
      </c>
      <c r="M801">
        <f t="shared" si="37"/>
        <v>44.910000000000004</v>
      </c>
      <c r="N801">
        <f t="shared" si="38"/>
        <v>90.09</v>
      </c>
      <c r="O801" cm="1">
        <f t="array" ref="O801">_xlfn.LET(_xlpm.cat, Greenleaf[[#This Row],[Product Category]], _xlpm.prices, _xlfn._xlws.FILTER(Greenleaf[Unit Price], (Greenleaf[Product Category]=_xlpm.cat)*(Greenleaf[Unit Price]&lt;&gt;"")), IFERROR(MEDIAN(_xlpm.prices), ""))</f>
        <v>15</v>
      </c>
      <c r="P801">
        <f>IF(Greenleaf[[#This Row],[Shipment Status]]="Returned",1,0)</f>
        <v>0</v>
      </c>
      <c r="Q801">
        <f>IF(Greenleaf[[#This Row],[Shipment Status]]="Delivered",1,0)</f>
        <v>1</v>
      </c>
    </row>
    <row r="802" spans="1:17" x14ac:dyDescent="0.45">
      <c r="A802" t="s">
        <v>1157</v>
      </c>
      <c r="B802">
        <v>45584</v>
      </c>
      <c r="C802" t="s">
        <v>66</v>
      </c>
      <c r="D802" t="s">
        <v>67</v>
      </c>
      <c r="E802">
        <v>9</v>
      </c>
      <c r="F802">
        <v>12</v>
      </c>
      <c r="G802">
        <v>4.3499999999999996</v>
      </c>
      <c r="H802" t="s">
        <v>224</v>
      </c>
      <c r="I802" t="s">
        <v>225</v>
      </c>
      <c r="J802" t="s">
        <v>27</v>
      </c>
      <c r="K802" t="s">
        <v>43</v>
      </c>
      <c r="L802">
        <f t="shared" si="36"/>
        <v>108</v>
      </c>
      <c r="M802">
        <f t="shared" si="37"/>
        <v>39.15</v>
      </c>
      <c r="N802">
        <f t="shared" si="38"/>
        <v>68.849999999999994</v>
      </c>
      <c r="O802" cm="1">
        <f t="array" ref="O802">_xlfn.LET(_xlpm.cat, Greenleaf[[#This Row],[Product Category]], _xlpm.prices, _xlfn._xlws.FILTER(Greenleaf[Unit Price], (Greenleaf[Product Category]=_xlpm.cat)*(Greenleaf[Unit Price]&lt;&gt;"")), IFERROR(MEDIAN(_xlpm.prices), ""))</f>
        <v>12</v>
      </c>
      <c r="P802">
        <f>IF(Greenleaf[[#This Row],[Shipment Status]]="Returned",1,0)</f>
        <v>0</v>
      </c>
      <c r="Q802">
        <f>IF(Greenleaf[[#This Row],[Shipment Status]]="Delivered",1,0)</f>
        <v>1</v>
      </c>
    </row>
    <row r="803" spans="1:17" x14ac:dyDescent="0.45">
      <c r="A803" t="s">
        <v>1158</v>
      </c>
      <c r="B803">
        <v>45584</v>
      </c>
      <c r="C803" t="s">
        <v>30</v>
      </c>
      <c r="D803" t="s">
        <v>31</v>
      </c>
      <c r="E803">
        <v>1</v>
      </c>
      <c r="F803">
        <v>40</v>
      </c>
      <c r="G803">
        <v>13.06</v>
      </c>
      <c r="H803" t="s">
        <v>598</v>
      </c>
      <c r="I803" t="s">
        <v>474</v>
      </c>
      <c r="J803" t="s">
        <v>27</v>
      </c>
      <c r="K803" t="s">
        <v>38</v>
      </c>
      <c r="L803">
        <f t="shared" si="36"/>
        <v>40</v>
      </c>
      <c r="M803">
        <f t="shared" si="37"/>
        <v>13.06</v>
      </c>
      <c r="N803">
        <f t="shared" si="38"/>
        <v>26.939999999999998</v>
      </c>
      <c r="O803" cm="1">
        <f t="array" ref="O803">_xlfn.LET(_xlpm.cat, Greenleaf[[#This Row],[Product Category]], _xlpm.prices, _xlfn._xlws.FILTER(Greenleaf[Unit Price], (Greenleaf[Product Category]=_xlpm.cat)*(Greenleaf[Unit Price]&lt;&gt;"")), IFERROR(MEDIAN(_xlpm.prices), ""))</f>
        <v>40</v>
      </c>
      <c r="P803">
        <f>IF(Greenleaf[[#This Row],[Shipment Status]]="Returned",1,0)</f>
        <v>0</v>
      </c>
      <c r="Q803">
        <f>IF(Greenleaf[[#This Row],[Shipment Status]]="Delivered",1,0)</f>
        <v>1</v>
      </c>
    </row>
    <row r="804" spans="1:17" x14ac:dyDescent="0.45">
      <c r="A804" t="s">
        <v>1159</v>
      </c>
      <c r="B804">
        <v>45584</v>
      </c>
      <c r="C804" t="s">
        <v>49</v>
      </c>
      <c r="D804" t="s">
        <v>50</v>
      </c>
      <c r="E804">
        <v>10</v>
      </c>
      <c r="F804">
        <v>15</v>
      </c>
      <c r="G804">
        <v>5.31</v>
      </c>
      <c r="H804" t="s">
        <v>1160</v>
      </c>
      <c r="I804" t="s">
        <v>93</v>
      </c>
      <c r="J804" t="s">
        <v>20</v>
      </c>
      <c r="K804" t="s">
        <v>134</v>
      </c>
      <c r="L804">
        <f t="shared" si="36"/>
        <v>150</v>
      </c>
      <c r="M804">
        <f t="shared" si="37"/>
        <v>53.099999999999994</v>
      </c>
      <c r="N804">
        <f t="shared" si="38"/>
        <v>96.9</v>
      </c>
      <c r="O804" cm="1">
        <f t="array" ref="O804">_xlfn.LET(_xlpm.cat, Greenleaf[[#This Row],[Product Category]], _xlpm.prices, _xlfn._xlws.FILTER(Greenleaf[Unit Price], (Greenleaf[Product Category]=_xlpm.cat)*(Greenleaf[Unit Price]&lt;&gt;"")), IFERROR(MEDIAN(_xlpm.prices), ""))</f>
        <v>15</v>
      </c>
      <c r="P804">
        <f>IF(Greenleaf[[#This Row],[Shipment Status]]="Returned",1,0)</f>
        <v>0</v>
      </c>
      <c r="Q804">
        <f>IF(Greenleaf[[#This Row],[Shipment Status]]="Delivered",1,0)</f>
        <v>0</v>
      </c>
    </row>
    <row r="805" spans="1:17" x14ac:dyDescent="0.45">
      <c r="A805" t="s">
        <v>1161</v>
      </c>
      <c r="B805">
        <v>45584</v>
      </c>
      <c r="C805" t="s">
        <v>49</v>
      </c>
      <c r="D805" t="s">
        <v>50</v>
      </c>
      <c r="E805">
        <v>5</v>
      </c>
      <c r="F805">
        <v>15</v>
      </c>
      <c r="G805">
        <v>4.21</v>
      </c>
      <c r="H805" t="s">
        <v>479</v>
      </c>
      <c r="I805" t="s">
        <v>480</v>
      </c>
      <c r="J805" t="s">
        <v>27</v>
      </c>
      <c r="K805" t="s">
        <v>43</v>
      </c>
      <c r="L805">
        <f t="shared" si="36"/>
        <v>75</v>
      </c>
      <c r="M805">
        <f t="shared" si="37"/>
        <v>21.05</v>
      </c>
      <c r="N805">
        <f t="shared" si="38"/>
        <v>53.95</v>
      </c>
      <c r="O805" cm="1">
        <f t="array" ref="O805">_xlfn.LET(_xlpm.cat, Greenleaf[[#This Row],[Product Category]], _xlpm.prices, _xlfn._xlws.FILTER(Greenleaf[Unit Price], (Greenleaf[Product Category]=_xlpm.cat)*(Greenleaf[Unit Price]&lt;&gt;"")), IFERROR(MEDIAN(_xlpm.prices), ""))</f>
        <v>15</v>
      </c>
      <c r="P805">
        <f>IF(Greenleaf[[#This Row],[Shipment Status]]="Returned",1,0)</f>
        <v>0</v>
      </c>
      <c r="Q805">
        <f>IF(Greenleaf[[#This Row],[Shipment Status]]="Delivered",1,0)</f>
        <v>1</v>
      </c>
    </row>
    <row r="806" spans="1:17" x14ac:dyDescent="0.45">
      <c r="A806" t="s">
        <v>1162</v>
      </c>
      <c r="B806">
        <v>45584</v>
      </c>
      <c r="C806" t="s">
        <v>16</v>
      </c>
      <c r="D806" t="s">
        <v>17</v>
      </c>
      <c r="E806">
        <v>6</v>
      </c>
      <c r="F806">
        <v>10</v>
      </c>
      <c r="G806">
        <v>2.83</v>
      </c>
      <c r="H806" t="s">
        <v>361</v>
      </c>
      <c r="I806" t="s">
        <v>357</v>
      </c>
      <c r="J806" t="s">
        <v>27</v>
      </c>
      <c r="K806" t="s">
        <v>21</v>
      </c>
      <c r="L806">
        <f t="shared" si="36"/>
        <v>60</v>
      </c>
      <c r="M806">
        <f t="shared" si="37"/>
        <v>16.98</v>
      </c>
      <c r="N806">
        <f t="shared" si="38"/>
        <v>43.019999999999996</v>
      </c>
      <c r="O806" cm="1">
        <f t="array" ref="O806">_xlfn.LET(_xlpm.cat, Greenleaf[[#This Row],[Product Category]], _xlpm.prices, _xlfn._xlws.FILTER(Greenleaf[Unit Price], (Greenleaf[Product Category]=_xlpm.cat)*(Greenleaf[Unit Price]&lt;&gt;"")), IFERROR(MEDIAN(_xlpm.prices), ""))</f>
        <v>10</v>
      </c>
      <c r="P806">
        <f>IF(Greenleaf[[#This Row],[Shipment Status]]="Returned",1,0)</f>
        <v>0</v>
      </c>
      <c r="Q806">
        <f>IF(Greenleaf[[#This Row],[Shipment Status]]="Delivered",1,0)</f>
        <v>1</v>
      </c>
    </row>
    <row r="807" spans="1:17" x14ac:dyDescent="0.45">
      <c r="A807" t="s">
        <v>1163</v>
      </c>
      <c r="B807">
        <v>45585</v>
      </c>
      <c r="C807" t="s">
        <v>23</v>
      </c>
      <c r="D807" t="s">
        <v>24</v>
      </c>
      <c r="E807">
        <v>2</v>
      </c>
      <c r="F807">
        <v>25</v>
      </c>
      <c r="G807">
        <v>6.21</v>
      </c>
      <c r="H807" t="s">
        <v>703</v>
      </c>
      <c r="I807" t="s">
        <v>198</v>
      </c>
      <c r="J807" t="s">
        <v>27</v>
      </c>
      <c r="K807" t="s">
        <v>21</v>
      </c>
      <c r="L807">
        <f t="shared" si="36"/>
        <v>50</v>
      </c>
      <c r="M807">
        <f t="shared" si="37"/>
        <v>12.42</v>
      </c>
      <c r="N807">
        <f t="shared" si="38"/>
        <v>37.58</v>
      </c>
      <c r="O807" cm="1">
        <f t="array" ref="O807">_xlfn.LET(_xlpm.cat, Greenleaf[[#This Row],[Product Category]], _xlpm.prices, _xlfn._xlws.FILTER(Greenleaf[Unit Price], (Greenleaf[Product Category]=_xlpm.cat)*(Greenleaf[Unit Price]&lt;&gt;"")), IFERROR(MEDIAN(_xlpm.prices), ""))</f>
        <v>25</v>
      </c>
      <c r="P807">
        <f>IF(Greenleaf[[#This Row],[Shipment Status]]="Returned",1,0)</f>
        <v>0</v>
      </c>
      <c r="Q807">
        <f>IF(Greenleaf[[#This Row],[Shipment Status]]="Delivered",1,0)</f>
        <v>1</v>
      </c>
    </row>
    <row r="808" spans="1:17" x14ac:dyDescent="0.45">
      <c r="A808" t="s">
        <v>1164</v>
      </c>
      <c r="B808">
        <v>45585</v>
      </c>
      <c r="C808" t="s">
        <v>49</v>
      </c>
      <c r="D808" t="s">
        <v>50</v>
      </c>
      <c r="E808">
        <v>4</v>
      </c>
      <c r="F808">
        <v>15</v>
      </c>
      <c r="G808">
        <v>5.58</v>
      </c>
      <c r="H808" t="s">
        <v>318</v>
      </c>
      <c r="I808" t="s">
        <v>319</v>
      </c>
      <c r="J808" t="s">
        <v>27</v>
      </c>
      <c r="K808" t="s">
        <v>43</v>
      </c>
      <c r="L808">
        <f t="shared" si="36"/>
        <v>60</v>
      </c>
      <c r="M808">
        <f t="shared" si="37"/>
        <v>22.32</v>
      </c>
      <c r="N808">
        <f t="shared" si="38"/>
        <v>37.68</v>
      </c>
      <c r="O808" cm="1">
        <f t="array" ref="O808">_xlfn.LET(_xlpm.cat, Greenleaf[[#This Row],[Product Category]], _xlpm.prices, _xlfn._xlws.FILTER(Greenleaf[Unit Price], (Greenleaf[Product Category]=_xlpm.cat)*(Greenleaf[Unit Price]&lt;&gt;"")), IFERROR(MEDIAN(_xlpm.prices), ""))</f>
        <v>15</v>
      </c>
      <c r="P808">
        <f>IF(Greenleaf[[#This Row],[Shipment Status]]="Returned",1,0)</f>
        <v>0</v>
      </c>
      <c r="Q808">
        <f>IF(Greenleaf[[#This Row],[Shipment Status]]="Delivered",1,0)</f>
        <v>1</v>
      </c>
    </row>
    <row r="809" spans="1:17" x14ac:dyDescent="0.45">
      <c r="A809" t="s">
        <v>1165</v>
      </c>
      <c r="B809">
        <v>45586</v>
      </c>
      <c r="C809" t="s">
        <v>30</v>
      </c>
      <c r="D809" t="s">
        <v>31</v>
      </c>
      <c r="E809">
        <v>4</v>
      </c>
      <c r="F809">
        <v>40</v>
      </c>
      <c r="G809">
        <v>8.16</v>
      </c>
      <c r="H809" t="s">
        <v>1166</v>
      </c>
      <c r="I809" t="s">
        <v>1167</v>
      </c>
      <c r="J809" t="s">
        <v>47</v>
      </c>
      <c r="K809" t="s">
        <v>28</v>
      </c>
      <c r="L809">
        <f t="shared" si="36"/>
        <v>160</v>
      </c>
      <c r="M809">
        <f t="shared" si="37"/>
        <v>32.64</v>
      </c>
      <c r="N809">
        <f t="shared" si="38"/>
        <v>127.36</v>
      </c>
      <c r="O809" cm="1">
        <f t="array" ref="O809">_xlfn.LET(_xlpm.cat, Greenleaf[[#This Row],[Product Category]], _xlpm.prices, _xlfn._xlws.FILTER(Greenleaf[Unit Price], (Greenleaf[Product Category]=_xlpm.cat)*(Greenleaf[Unit Price]&lt;&gt;"")), IFERROR(MEDIAN(_xlpm.prices), ""))</f>
        <v>40</v>
      </c>
      <c r="P809">
        <f>IF(Greenleaf[[#This Row],[Shipment Status]]="Returned",1,0)</f>
        <v>0</v>
      </c>
      <c r="Q809">
        <f>IF(Greenleaf[[#This Row],[Shipment Status]]="Delivered",1,0)</f>
        <v>0</v>
      </c>
    </row>
    <row r="810" spans="1:17" x14ac:dyDescent="0.45">
      <c r="A810" t="s">
        <v>1168</v>
      </c>
      <c r="B810">
        <v>45586</v>
      </c>
      <c r="C810" t="s">
        <v>49</v>
      </c>
      <c r="D810" t="s">
        <v>50</v>
      </c>
      <c r="E810">
        <v>7</v>
      </c>
      <c r="F810">
        <v>15</v>
      </c>
      <c r="G810">
        <v>4.8899999999999997</v>
      </c>
      <c r="H810" t="s">
        <v>1049</v>
      </c>
      <c r="I810" t="s">
        <v>574</v>
      </c>
      <c r="J810" t="s">
        <v>27</v>
      </c>
      <c r="K810" t="s">
        <v>74</v>
      </c>
      <c r="L810">
        <f t="shared" si="36"/>
        <v>105</v>
      </c>
      <c r="M810">
        <f t="shared" si="37"/>
        <v>34.229999999999997</v>
      </c>
      <c r="N810">
        <f t="shared" si="38"/>
        <v>70.77000000000001</v>
      </c>
      <c r="O810" cm="1">
        <f t="array" ref="O810">_xlfn.LET(_xlpm.cat, Greenleaf[[#This Row],[Product Category]], _xlpm.prices, _xlfn._xlws.FILTER(Greenleaf[Unit Price], (Greenleaf[Product Category]=_xlpm.cat)*(Greenleaf[Unit Price]&lt;&gt;"")), IFERROR(MEDIAN(_xlpm.prices), ""))</f>
        <v>15</v>
      </c>
      <c r="P810">
        <f>IF(Greenleaf[[#This Row],[Shipment Status]]="Returned",1,0)</f>
        <v>0</v>
      </c>
      <c r="Q810">
        <f>IF(Greenleaf[[#This Row],[Shipment Status]]="Delivered",1,0)</f>
        <v>1</v>
      </c>
    </row>
    <row r="811" spans="1:17" x14ac:dyDescent="0.45">
      <c r="A811" t="s">
        <v>1169</v>
      </c>
      <c r="B811">
        <v>45586</v>
      </c>
      <c r="C811" t="s">
        <v>30</v>
      </c>
      <c r="D811" t="s">
        <v>31</v>
      </c>
      <c r="E811">
        <v>5</v>
      </c>
      <c r="F811">
        <v>40</v>
      </c>
      <c r="G811">
        <v>13.34</v>
      </c>
      <c r="H811" t="s">
        <v>524</v>
      </c>
      <c r="I811" t="s">
        <v>525</v>
      </c>
      <c r="J811" t="s">
        <v>27</v>
      </c>
      <c r="K811" t="s">
        <v>28</v>
      </c>
      <c r="L811">
        <f t="shared" si="36"/>
        <v>200</v>
      </c>
      <c r="M811">
        <f t="shared" si="37"/>
        <v>66.7</v>
      </c>
      <c r="N811">
        <f t="shared" si="38"/>
        <v>133.30000000000001</v>
      </c>
      <c r="O811" cm="1">
        <f t="array" ref="O811">_xlfn.LET(_xlpm.cat, Greenleaf[[#This Row],[Product Category]], _xlpm.prices, _xlfn._xlws.FILTER(Greenleaf[Unit Price], (Greenleaf[Product Category]=_xlpm.cat)*(Greenleaf[Unit Price]&lt;&gt;"")), IFERROR(MEDIAN(_xlpm.prices), ""))</f>
        <v>40</v>
      </c>
      <c r="P811">
        <f>IF(Greenleaf[[#This Row],[Shipment Status]]="Returned",1,0)</f>
        <v>0</v>
      </c>
      <c r="Q811">
        <f>IF(Greenleaf[[#This Row],[Shipment Status]]="Delivered",1,0)</f>
        <v>1</v>
      </c>
    </row>
    <row r="812" spans="1:17" x14ac:dyDescent="0.45">
      <c r="A812" t="s">
        <v>1170</v>
      </c>
      <c r="B812">
        <v>45586</v>
      </c>
      <c r="C812" t="s">
        <v>30</v>
      </c>
      <c r="D812" t="s">
        <v>31</v>
      </c>
      <c r="E812">
        <v>8</v>
      </c>
      <c r="F812">
        <v>40</v>
      </c>
      <c r="G812">
        <v>14.63</v>
      </c>
      <c r="H812" t="s">
        <v>238</v>
      </c>
      <c r="I812" t="s">
        <v>239</v>
      </c>
      <c r="J812" t="s">
        <v>27</v>
      </c>
      <c r="K812" t="s">
        <v>38</v>
      </c>
      <c r="L812">
        <f t="shared" si="36"/>
        <v>320</v>
      </c>
      <c r="M812">
        <f t="shared" si="37"/>
        <v>117.04</v>
      </c>
      <c r="N812">
        <f t="shared" si="38"/>
        <v>202.95999999999998</v>
      </c>
      <c r="O812" cm="1">
        <f t="array" ref="O812">_xlfn.LET(_xlpm.cat, Greenleaf[[#This Row],[Product Category]], _xlpm.prices, _xlfn._xlws.FILTER(Greenleaf[Unit Price], (Greenleaf[Product Category]=_xlpm.cat)*(Greenleaf[Unit Price]&lt;&gt;"")), IFERROR(MEDIAN(_xlpm.prices), ""))</f>
        <v>40</v>
      </c>
      <c r="P812">
        <f>IF(Greenleaf[[#This Row],[Shipment Status]]="Returned",1,0)</f>
        <v>0</v>
      </c>
      <c r="Q812">
        <f>IF(Greenleaf[[#This Row],[Shipment Status]]="Delivered",1,0)</f>
        <v>1</v>
      </c>
    </row>
    <row r="813" spans="1:17" x14ac:dyDescent="0.45">
      <c r="A813" t="s">
        <v>1171</v>
      </c>
      <c r="B813">
        <v>45586</v>
      </c>
      <c r="C813" t="s">
        <v>30</v>
      </c>
      <c r="D813" t="s">
        <v>31</v>
      </c>
      <c r="E813">
        <v>2</v>
      </c>
      <c r="F813">
        <v>40</v>
      </c>
      <c r="G813">
        <v>12.12</v>
      </c>
      <c r="H813" t="s">
        <v>153</v>
      </c>
      <c r="I813" t="s">
        <v>154</v>
      </c>
      <c r="J813" t="s">
        <v>27</v>
      </c>
      <c r="K813" t="s">
        <v>134</v>
      </c>
      <c r="L813">
        <f t="shared" si="36"/>
        <v>80</v>
      </c>
      <c r="M813">
        <f t="shared" si="37"/>
        <v>24.24</v>
      </c>
      <c r="N813">
        <f t="shared" si="38"/>
        <v>55.760000000000005</v>
      </c>
      <c r="O813" cm="1">
        <f t="array" ref="O813">_xlfn.LET(_xlpm.cat, Greenleaf[[#This Row],[Product Category]], _xlpm.prices, _xlfn._xlws.FILTER(Greenleaf[Unit Price], (Greenleaf[Product Category]=_xlpm.cat)*(Greenleaf[Unit Price]&lt;&gt;"")), IFERROR(MEDIAN(_xlpm.prices), ""))</f>
        <v>40</v>
      </c>
      <c r="P813">
        <f>IF(Greenleaf[[#This Row],[Shipment Status]]="Returned",1,0)</f>
        <v>0</v>
      </c>
      <c r="Q813">
        <f>IF(Greenleaf[[#This Row],[Shipment Status]]="Delivered",1,0)</f>
        <v>1</v>
      </c>
    </row>
    <row r="814" spans="1:17" x14ac:dyDescent="0.45">
      <c r="A814" t="s">
        <v>1172</v>
      </c>
      <c r="B814">
        <v>45587</v>
      </c>
      <c r="C814" t="s">
        <v>16</v>
      </c>
      <c r="D814" t="s">
        <v>17</v>
      </c>
      <c r="E814">
        <v>8</v>
      </c>
      <c r="F814">
        <v>10</v>
      </c>
      <c r="G814">
        <v>3.74</v>
      </c>
      <c r="H814" t="s">
        <v>296</v>
      </c>
      <c r="I814" t="s">
        <v>93</v>
      </c>
      <c r="J814" t="s">
        <v>27</v>
      </c>
      <c r="K814" t="s">
        <v>43</v>
      </c>
      <c r="L814">
        <f t="shared" si="36"/>
        <v>80</v>
      </c>
      <c r="M814">
        <f t="shared" si="37"/>
        <v>29.92</v>
      </c>
      <c r="N814">
        <f t="shared" si="38"/>
        <v>50.08</v>
      </c>
      <c r="O814" cm="1">
        <f t="array" ref="O814">_xlfn.LET(_xlpm.cat, Greenleaf[[#This Row],[Product Category]], _xlpm.prices, _xlfn._xlws.FILTER(Greenleaf[Unit Price], (Greenleaf[Product Category]=_xlpm.cat)*(Greenleaf[Unit Price]&lt;&gt;"")), IFERROR(MEDIAN(_xlpm.prices), ""))</f>
        <v>10</v>
      </c>
      <c r="P814">
        <f>IF(Greenleaf[[#This Row],[Shipment Status]]="Returned",1,0)</f>
        <v>0</v>
      </c>
      <c r="Q814">
        <f>IF(Greenleaf[[#This Row],[Shipment Status]]="Delivered",1,0)</f>
        <v>1</v>
      </c>
    </row>
    <row r="815" spans="1:17" x14ac:dyDescent="0.45">
      <c r="A815" t="s">
        <v>1173</v>
      </c>
      <c r="B815">
        <v>45588</v>
      </c>
      <c r="C815" t="s">
        <v>30</v>
      </c>
      <c r="D815" t="s">
        <v>31</v>
      </c>
      <c r="E815">
        <v>9</v>
      </c>
      <c r="F815">
        <v>40</v>
      </c>
      <c r="G815">
        <v>9.27</v>
      </c>
      <c r="H815" t="s">
        <v>194</v>
      </c>
      <c r="I815" t="s">
        <v>195</v>
      </c>
      <c r="J815" t="s">
        <v>42</v>
      </c>
      <c r="K815" t="s">
        <v>56</v>
      </c>
      <c r="L815">
        <f t="shared" si="36"/>
        <v>360</v>
      </c>
      <c r="M815">
        <f t="shared" si="37"/>
        <v>83.429999999999993</v>
      </c>
      <c r="N815">
        <f t="shared" si="38"/>
        <v>276.57</v>
      </c>
      <c r="O815" cm="1">
        <f t="array" ref="O815">_xlfn.LET(_xlpm.cat, Greenleaf[[#This Row],[Product Category]], _xlpm.prices, _xlfn._xlws.FILTER(Greenleaf[Unit Price], (Greenleaf[Product Category]=_xlpm.cat)*(Greenleaf[Unit Price]&lt;&gt;"")), IFERROR(MEDIAN(_xlpm.prices), ""))</f>
        <v>40</v>
      </c>
      <c r="P815">
        <f>IF(Greenleaf[[#This Row],[Shipment Status]]="Returned",1,0)</f>
        <v>1</v>
      </c>
      <c r="Q815">
        <f>IF(Greenleaf[[#This Row],[Shipment Status]]="Delivered",1,0)</f>
        <v>0</v>
      </c>
    </row>
    <row r="816" spans="1:17" x14ac:dyDescent="0.45">
      <c r="A816" t="s">
        <v>1174</v>
      </c>
      <c r="B816">
        <v>45588</v>
      </c>
      <c r="C816" t="s">
        <v>66</v>
      </c>
      <c r="D816" t="s">
        <v>67</v>
      </c>
      <c r="E816">
        <v>3</v>
      </c>
      <c r="F816">
        <v>12</v>
      </c>
      <c r="G816">
        <v>4.5999999999999996</v>
      </c>
      <c r="H816" t="s">
        <v>245</v>
      </c>
      <c r="I816" t="s">
        <v>100</v>
      </c>
      <c r="J816" t="s">
        <v>27</v>
      </c>
      <c r="K816" t="s">
        <v>38</v>
      </c>
      <c r="L816">
        <f t="shared" si="36"/>
        <v>36</v>
      </c>
      <c r="M816">
        <f t="shared" si="37"/>
        <v>13.799999999999999</v>
      </c>
      <c r="N816">
        <f t="shared" si="38"/>
        <v>22.200000000000003</v>
      </c>
      <c r="O816" cm="1">
        <f t="array" ref="O816">_xlfn.LET(_xlpm.cat, Greenleaf[[#This Row],[Product Category]], _xlpm.prices, _xlfn._xlws.FILTER(Greenleaf[Unit Price], (Greenleaf[Product Category]=_xlpm.cat)*(Greenleaf[Unit Price]&lt;&gt;"")), IFERROR(MEDIAN(_xlpm.prices), ""))</f>
        <v>12</v>
      </c>
      <c r="P816">
        <f>IF(Greenleaf[[#This Row],[Shipment Status]]="Returned",1,0)</f>
        <v>0</v>
      </c>
      <c r="Q816">
        <f>IF(Greenleaf[[#This Row],[Shipment Status]]="Delivered",1,0)</f>
        <v>1</v>
      </c>
    </row>
    <row r="817" spans="1:17" x14ac:dyDescent="0.45">
      <c r="A817" t="s">
        <v>1175</v>
      </c>
      <c r="B817">
        <v>45588</v>
      </c>
      <c r="C817" t="s">
        <v>66</v>
      </c>
      <c r="D817" t="s">
        <v>67</v>
      </c>
      <c r="E817">
        <v>2</v>
      </c>
      <c r="F817">
        <v>12</v>
      </c>
      <c r="G817">
        <v>2.86</v>
      </c>
      <c r="H817" t="s">
        <v>245</v>
      </c>
      <c r="I817" t="s">
        <v>100</v>
      </c>
      <c r="J817" t="s">
        <v>27</v>
      </c>
      <c r="K817" t="s">
        <v>59</v>
      </c>
      <c r="L817">
        <f t="shared" si="36"/>
        <v>24</v>
      </c>
      <c r="M817">
        <f t="shared" si="37"/>
        <v>5.72</v>
      </c>
      <c r="N817">
        <f t="shared" si="38"/>
        <v>18.28</v>
      </c>
      <c r="O817" cm="1">
        <f t="array" ref="O817">_xlfn.LET(_xlpm.cat, Greenleaf[[#This Row],[Product Category]], _xlpm.prices, _xlfn._xlws.FILTER(Greenleaf[Unit Price], (Greenleaf[Product Category]=_xlpm.cat)*(Greenleaf[Unit Price]&lt;&gt;"")), IFERROR(MEDIAN(_xlpm.prices), ""))</f>
        <v>12</v>
      </c>
      <c r="P817">
        <f>IF(Greenleaf[[#This Row],[Shipment Status]]="Returned",1,0)</f>
        <v>0</v>
      </c>
      <c r="Q817">
        <f>IF(Greenleaf[[#This Row],[Shipment Status]]="Delivered",1,0)</f>
        <v>1</v>
      </c>
    </row>
    <row r="818" spans="1:17" x14ac:dyDescent="0.45">
      <c r="A818" t="s">
        <v>1176</v>
      </c>
      <c r="B818">
        <v>45588</v>
      </c>
      <c r="C818" t="s">
        <v>16</v>
      </c>
      <c r="D818" t="s">
        <v>17</v>
      </c>
      <c r="E818">
        <v>10</v>
      </c>
      <c r="F818">
        <v>10</v>
      </c>
      <c r="G818">
        <v>3.01</v>
      </c>
      <c r="H818" t="s">
        <v>68</v>
      </c>
      <c r="I818" t="s">
        <v>69</v>
      </c>
      <c r="J818" t="s">
        <v>27</v>
      </c>
      <c r="K818" t="s">
        <v>70</v>
      </c>
      <c r="L818">
        <f t="shared" si="36"/>
        <v>100</v>
      </c>
      <c r="M818">
        <f t="shared" si="37"/>
        <v>30.099999999999998</v>
      </c>
      <c r="N818">
        <f t="shared" si="38"/>
        <v>69.900000000000006</v>
      </c>
      <c r="O818" cm="1">
        <f t="array" ref="O818">_xlfn.LET(_xlpm.cat, Greenleaf[[#This Row],[Product Category]], _xlpm.prices, _xlfn._xlws.FILTER(Greenleaf[Unit Price], (Greenleaf[Product Category]=_xlpm.cat)*(Greenleaf[Unit Price]&lt;&gt;"")), IFERROR(MEDIAN(_xlpm.prices), ""))</f>
        <v>10</v>
      </c>
      <c r="P818">
        <f>IF(Greenleaf[[#This Row],[Shipment Status]]="Returned",1,0)</f>
        <v>0</v>
      </c>
      <c r="Q818">
        <f>IF(Greenleaf[[#This Row],[Shipment Status]]="Delivered",1,0)</f>
        <v>1</v>
      </c>
    </row>
    <row r="819" spans="1:17" x14ac:dyDescent="0.45">
      <c r="A819" t="s">
        <v>1177</v>
      </c>
      <c r="B819">
        <v>45588</v>
      </c>
      <c r="C819" t="s">
        <v>23</v>
      </c>
      <c r="D819" t="s">
        <v>24</v>
      </c>
      <c r="E819">
        <v>4</v>
      </c>
      <c r="F819">
        <v>25</v>
      </c>
      <c r="G819">
        <v>5.63</v>
      </c>
      <c r="H819" t="s">
        <v>300</v>
      </c>
      <c r="I819" t="s">
        <v>167</v>
      </c>
      <c r="J819" t="s">
        <v>20</v>
      </c>
      <c r="K819" t="s">
        <v>70</v>
      </c>
      <c r="L819">
        <f t="shared" si="36"/>
        <v>100</v>
      </c>
      <c r="M819">
        <f t="shared" si="37"/>
        <v>22.52</v>
      </c>
      <c r="N819">
        <f t="shared" si="38"/>
        <v>77.48</v>
      </c>
      <c r="O819" cm="1">
        <f t="array" ref="O819">_xlfn.LET(_xlpm.cat, Greenleaf[[#This Row],[Product Category]], _xlpm.prices, _xlfn._xlws.FILTER(Greenleaf[Unit Price], (Greenleaf[Product Category]=_xlpm.cat)*(Greenleaf[Unit Price]&lt;&gt;"")), IFERROR(MEDIAN(_xlpm.prices), ""))</f>
        <v>25</v>
      </c>
      <c r="P819">
        <f>IF(Greenleaf[[#This Row],[Shipment Status]]="Returned",1,0)</f>
        <v>0</v>
      </c>
      <c r="Q819">
        <f>IF(Greenleaf[[#This Row],[Shipment Status]]="Delivered",1,0)</f>
        <v>0</v>
      </c>
    </row>
    <row r="820" spans="1:17" x14ac:dyDescent="0.45">
      <c r="A820" t="s">
        <v>1178</v>
      </c>
      <c r="B820">
        <v>45589</v>
      </c>
      <c r="C820" t="s">
        <v>66</v>
      </c>
      <c r="D820" t="s">
        <v>67</v>
      </c>
      <c r="E820">
        <v>2</v>
      </c>
      <c r="F820">
        <v>12</v>
      </c>
      <c r="G820">
        <v>2.46</v>
      </c>
      <c r="H820" t="s">
        <v>132</v>
      </c>
      <c r="I820" t="s">
        <v>133</v>
      </c>
      <c r="J820" t="s">
        <v>27</v>
      </c>
      <c r="K820" t="s">
        <v>28</v>
      </c>
      <c r="L820">
        <f t="shared" si="36"/>
        <v>24</v>
      </c>
      <c r="M820">
        <f t="shared" si="37"/>
        <v>4.92</v>
      </c>
      <c r="N820">
        <f t="shared" si="38"/>
        <v>19.079999999999998</v>
      </c>
      <c r="O820" cm="1">
        <f t="array" ref="O820">_xlfn.LET(_xlpm.cat, Greenleaf[[#This Row],[Product Category]], _xlpm.prices, _xlfn._xlws.FILTER(Greenleaf[Unit Price], (Greenleaf[Product Category]=_xlpm.cat)*(Greenleaf[Unit Price]&lt;&gt;"")), IFERROR(MEDIAN(_xlpm.prices), ""))</f>
        <v>12</v>
      </c>
      <c r="P820">
        <f>IF(Greenleaf[[#This Row],[Shipment Status]]="Returned",1,0)</f>
        <v>0</v>
      </c>
      <c r="Q820">
        <f>IF(Greenleaf[[#This Row],[Shipment Status]]="Delivered",1,0)</f>
        <v>1</v>
      </c>
    </row>
    <row r="821" spans="1:17" x14ac:dyDescent="0.45">
      <c r="A821" t="s">
        <v>1179</v>
      </c>
      <c r="B821">
        <v>45589</v>
      </c>
      <c r="C821" t="s">
        <v>16</v>
      </c>
      <c r="D821" t="s">
        <v>17</v>
      </c>
      <c r="E821">
        <v>10</v>
      </c>
      <c r="F821">
        <v>10</v>
      </c>
      <c r="G821">
        <v>3.42</v>
      </c>
      <c r="H821" t="s">
        <v>561</v>
      </c>
      <c r="I821" t="s">
        <v>562</v>
      </c>
      <c r="J821" t="s">
        <v>27</v>
      </c>
      <c r="K821" t="s">
        <v>28</v>
      </c>
      <c r="L821">
        <f t="shared" si="36"/>
        <v>100</v>
      </c>
      <c r="M821">
        <f t="shared" si="37"/>
        <v>34.200000000000003</v>
      </c>
      <c r="N821">
        <f t="shared" si="38"/>
        <v>65.8</v>
      </c>
      <c r="O821" cm="1">
        <f t="array" ref="O821">_xlfn.LET(_xlpm.cat, Greenleaf[[#This Row],[Product Category]], _xlpm.prices, _xlfn._xlws.FILTER(Greenleaf[Unit Price], (Greenleaf[Product Category]=_xlpm.cat)*(Greenleaf[Unit Price]&lt;&gt;"")), IFERROR(MEDIAN(_xlpm.prices), ""))</f>
        <v>10</v>
      </c>
      <c r="P821">
        <f>IF(Greenleaf[[#This Row],[Shipment Status]]="Returned",1,0)</f>
        <v>0</v>
      </c>
      <c r="Q821">
        <f>IF(Greenleaf[[#This Row],[Shipment Status]]="Delivered",1,0)</f>
        <v>1</v>
      </c>
    </row>
    <row r="822" spans="1:17" x14ac:dyDescent="0.45">
      <c r="A822" t="s">
        <v>1180</v>
      </c>
      <c r="B822">
        <v>45590</v>
      </c>
      <c r="C822" t="s">
        <v>16</v>
      </c>
      <c r="D822" t="s">
        <v>17</v>
      </c>
      <c r="E822">
        <v>1</v>
      </c>
      <c r="F822">
        <v>10</v>
      </c>
      <c r="G822">
        <v>3.95</v>
      </c>
      <c r="H822" t="s">
        <v>420</v>
      </c>
      <c r="I822" t="s">
        <v>242</v>
      </c>
      <c r="J822" t="s">
        <v>20</v>
      </c>
      <c r="K822" t="s">
        <v>43</v>
      </c>
      <c r="L822">
        <f t="shared" si="36"/>
        <v>10</v>
      </c>
      <c r="M822">
        <f t="shared" si="37"/>
        <v>3.95</v>
      </c>
      <c r="N822">
        <f t="shared" si="38"/>
        <v>6.05</v>
      </c>
      <c r="O822" cm="1">
        <f t="array" ref="O822">_xlfn.LET(_xlpm.cat, Greenleaf[[#This Row],[Product Category]], _xlpm.prices, _xlfn._xlws.FILTER(Greenleaf[Unit Price], (Greenleaf[Product Category]=_xlpm.cat)*(Greenleaf[Unit Price]&lt;&gt;"")), IFERROR(MEDIAN(_xlpm.prices), ""))</f>
        <v>10</v>
      </c>
      <c r="P822">
        <f>IF(Greenleaf[[#This Row],[Shipment Status]]="Returned",1,0)</f>
        <v>0</v>
      </c>
      <c r="Q822">
        <f>IF(Greenleaf[[#This Row],[Shipment Status]]="Delivered",1,0)</f>
        <v>0</v>
      </c>
    </row>
    <row r="823" spans="1:17" x14ac:dyDescent="0.45">
      <c r="A823" t="s">
        <v>1181</v>
      </c>
      <c r="B823">
        <v>45590</v>
      </c>
      <c r="C823" t="s">
        <v>23</v>
      </c>
      <c r="D823" t="s">
        <v>24</v>
      </c>
      <c r="E823">
        <v>9</v>
      </c>
      <c r="F823">
        <v>25</v>
      </c>
      <c r="G823">
        <v>9.23</v>
      </c>
      <c r="H823" t="s">
        <v>397</v>
      </c>
      <c r="I823" t="s">
        <v>128</v>
      </c>
      <c r="J823" t="s">
        <v>27</v>
      </c>
      <c r="K823" t="s">
        <v>38</v>
      </c>
      <c r="L823">
        <f t="shared" si="36"/>
        <v>225</v>
      </c>
      <c r="M823">
        <f t="shared" si="37"/>
        <v>83.070000000000007</v>
      </c>
      <c r="N823">
        <f t="shared" si="38"/>
        <v>141.93</v>
      </c>
      <c r="O823" cm="1">
        <f t="array" ref="O823">_xlfn.LET(_xlpm.cat, Greenleaf[[#This Row],[Product Category]], _xlpm.prices, _xlfn._xlws.FILTER(Greenleaf[Unit Price], (Greenleaf[Product Category]=_xlpm.cat)*(Greenleaf[Unit Price]&lt;&gt;"")), IFERROR(MEDIAN(_xlpm.prices), ""))</f>
        <v>25</v>
      </c>
      <c r="P823">
        <f>IF(Greenleaf[[#This Row],[Shipment Status]]="Returned",1,0)</f>
        <v>0</v>
      </c>
      <c r="Q823">
        <f>IF(Greenleaf[[#This Row],[Shipment Status]]="Delivered",1,0)</f>
        <v>1</v>
      </c>
    </row>
    <row r="824" spans="1:17" x14ac:dyDescent="0.45">
      <c r="A824" t="s">
        <v>1182</v>
      </c>
      <c r="B824">
        <v>45591</v>
      </c>
      <c r="C824" t="s">
        <v>30</v>
      </c>
      <c r="D824" t="s">
        <v>31</v>
      </c>
      <c r="E824">
        <v>2</v>
      </c>
      <c r="F824">
        <v>40</v>
      </c>
      <c r="G824">
        <v>11.27</v>
      </c>
      <c r="H824" t="s">
        <v>344</v>
      </c>
      <c r="I824" t="s">
        <v>277</v>
      </c>
      <c r="J824" t="s">
        <v>27</v>
      </c>
      <c r="K824" t="s">
        <v>59</v>
      </c>
      <c r="L824">
        <f t="shared" si="36"/>
        <v>80</v>
      </c>
      <c r="M824">
        <f t="shared" si="37"/>
        <v>22.54</v>
      </c>
      <c r="N824">
        <f t="shared" si="38"/>
        <v>57.46</v>
      </c>
      <c r="O824" cm="1">
        <f t="array" ref="O824">_xlfn.LET(_xlpm.cat, Greenleaf[[#This Row],[Product Category]], _xlpm.prices, _xlfn._xlws.FILTER(Greenleaf[Unit Price], (Greenleaf[Product Category]=_xlpm.cat)*(Greenleaf[Unit Price]&lt;&gt;"")), IFERROR(MEDIAN(_xlpm.prices), ""))</f>
        <v>40</v>
      </c>
      <c r="P824">
        <f>IF(Greenleaf[[#This Row],[Shipment Status]]="Returned",1,0)</f>
        <v>0</v>
      </c>
      <c r="Q824">
        <f>IF(Greenleaf[[#This Row],[Shipment Status]]="Delivered",1,0)</f>
        <v>1</v>
      </c>
    </row>
    <row r="825" spans="1:17" x14ac:dyDescent="0.45">
      <c r="A825" t="s">
        <v>1183</v>
      </c>
      <c r="B825">
        <v>45591</v>
      </c>
      <c r="C825" t="s">
        <v>30</v>
      </c>
      <c r="D825" t="s">
        <v>31</v>
      </c>
      <c r="E825">
        <v>4</v>
      </c>
      <c r="F825">
        <v>40</v>
      </c>
      <c r="G825">
        <v>9.61</v>
      </c>
      <c r="H825" t="s">
        <v>279</v>
      </c>
      <c r="I825" t="s">
        <v>280</v>
      </c>
      <c r="J825" t="s">
        <v>27</v>
      </c>
      <c r="K825" t="s">
        <v>74</v>
      </c>
      <c r="L825">
        <f t="shared" si="36"/>
        <v>160</v>
      </c>
      <c r="M825">
        <f t="shared" si="37"/>
        <v>38.44</v>
      </c>
      <c r="N825">
        <f t="shared" si="38"/>
        <v>121.56</v>
      </c>
      <c r="O825" cm="1">
        <f t="array" ref="O825">_xlfn.LET(_xlpm.cat, Greenleaf[[#This Row],[Product Category]], _xlpm.prices, _xlfn._xlws.FILTER(Greenleaf[Unit Price], (Greenleaf[Product Category]=_xlpm.cat)*(Greenleaf[Unit Price]&lt;&gt;"")), IFERROR(MEDIAN(_xlpm.prices), ""))</f>
        <v>40</v>
      </c>
      <c r="P825">
        <f>IF(Greenleaf[[#This Row],[Shipment Status]]="Returned",1,0)</f>
        <v>0</v>
      </c>
      <c r="Q825">
        <f>IF(Greenleaf[[#This Row],[Shipment Status]]="Delivered",1,0)</f>
        <v>1</v>
      </c>
    </row>
    <row r="826" spans="1:17" x14ac:dyDescent="0.45">
      <c r="A826" t="s">
        <v>1184</v>
      </c>
      <c r="B826">
        <v>45591</v>
      </c>
      <c r="C826" t="s">
        <v>23</v>
      </c>
      <c r="D826" t="s">
        <v>24</v>
      </c>
      <c r="E826">
        <v>6</v>
      </c>
      <c r="F826">
        <v>25</v>
      </c>
      <c r="G826">
        <v>9.08</v>
      </c>
      <c r="H826" t="s">
        <v>625</v>
      </c>
      <c r="I826" t="s">
        <v>374</v>
      </c>
      <c r="J826" t="s">
        <v>27</v>
      </c>
      <c r="K826" t="s">
        <v>43</v>
      </c>
      <c r="L826">
        <f t="shared" si="36"/>
        <v>150</v>
      </c>
      <c r="M826">
        <f t="shared" si="37"/>
        <v>54.480000000000004</v>
      </c>
      <c r="N826">
        <f t="shared" si="38"/>
        <v>95.52</v>
      </c>
      <c r="O826" cm="1">
        <f t="array" ref="O826">_xlfn.LET(_xlpm.cat, Greenleaf[[#This Row],[Product Category]], _xlpm.prices, _xlfn._xlws.FILTER(Greenleaf[Unit Price], (Greenleaf[Product Category]=_xlpm.cat)*(Greenleaf[Unit Price]&lt;&gt;"")), IFERROR(MEDIAN(_xlpm.prices), ""))</f>
        <v>25</v>
      </c>
      <c r="P826">
        <f>IF(Greenleaf[[#This Row],[Shipment Status]]="Returned",1,0)</f>
        <v>0</v>
      </c>
      <c r="Q826">
        <f>IF(Greenleaf[[#This Row],[Shipment Status]]="Delivered",1,0)</f>
        <v>1</v>
      </c>
    </row>
    <row r="827" spans="1:17" x14ac:dyDescent="0.45">
      <c r="A827" t="s">
        <v>1185</v>
      </c>
      <c r="B827">
        <v>45592</v>
      </c>
      <c r="C827" t="s">
        <v>16</v>
      </c>
      <c r="D827" t="s">
        <v>17</v>
      </c>
      <c r="E827">
        <v>10</v>
      </c>
      <c r="F827">
        <v>10</v>
      </c>
      <c r="G827">
        <v>3.48</v>
      </c>
      <c r="H827" t="s">
        <v>99</v>
      </c>
      <c r="I827" t="s">
        <v>100</v>
      </c>
      <c r="J827" t="s">
        <v>27</v>
      </c>
      <c r="K827" t="s">
        <v>56</v>
      </c>
      <c r="L827">
        <f t="shared" si="36"/>
        <v>100</v>
      </c>
      <c r="M827">
        <f t="shared" si="37"/>
        <v>34.799999999999997</v>
      </c>
      <c r="N827">
        <f t="shared" si="38"/>
        <v>65.2</v>
      </c>
      <c r="O827" cm="1">
        <f t="array" ref="O827">_xlfn.LET(_xlpm.cat, Greenleaf[[#This Row],[Product Category]], _xlpm.prices, _xlfn._xlws.FILTER(Greenleaf[Unit Price], (Greenleaf[Product Category]=_xlpm.cat)*(Greenleaf[Unit Price]&lt;&gt;"")), IFERROR(MEDIAN(_xlpm.prices), ""))</f>
        <v>10</v>
      </c>
      <c r="P827">
        <f>IF(Greenleaf[[#This Row],[Shipment Status]]="Returned",1,0)</f>
        <v>0</v>
      </c>
      <c r="Q827">
        <f>IF(Greenleaf[[#This Row],[Shipment Status]]="Delivered",1,0)</f>
        <v>1</v>
      </c>
    </row>
    <row r="828" spans="1:17" x14ac:dyDescent="0.45">
      <c r="A828" t="s">
        <v>1186</v>
      </c>
      <c r="B828">
        <v>45592</v>
      </c>
      <c r="C828" t="s">
        <v>23</v>
      </c>
      <c r="D828" t="s">
        <v>24</v>
      </c>
      <c r="E828">
        <v>1</v>
      </c>
      <c r="F828">
        <v>25</v>
      </c>
      <c r="G828">
        <v>6.8</v>
      </c>
      <c r="H828" t="s">
        <v>469</v>
      </c>
      <c r="I828" t="s">
        <v>470</v>
      </c>
      <c r="J828" t="s">
        <v>27</v>
      </c>
      <c r="K828" t="s">
        <v>74</v>
      </c>
      <c r="L828">
        <f t="shared" si="36"/>
        <v>25</v>
      </c>
      <c r="M828">
        <f t="shared" si="37"/>
        <v>6.8</v>
      </c>
      <c r="N828">
        <f t="shared" si="38"/>
        <v>18.2</v>
      </c>
      <c r="O828" cm="1">
        <f t="array" ref="O828">_xlfn.LET(_xlpm.cat, Greenleaf[[#This Row],[Product Category]], _xlpm.prices, _xlfn._xlws.FILTER(Greenleaf[Unit Price], (Greenleaf[Product Category]=_xlpm.cat)*(Greenleaf[Unit Price]&lt;&gt;"")), IFERROR(MEDIAN(_xlpm.prices), ""))</f>
        <v>25</v>
      </c>
      <c r="P828">
        <f>IF(Greenleaf[[#This Row],[Shipment Status]]="Returned",1,0)</f>
        <v>0</v>
      </c>
      <c r="Q828">
        <f>IF(Greenleaf[[#This Row],[Shipment Status]]="Delivered",1,0)</f>
        <v>1</v>
      </c>
    </row>
    <row r="829" spans="1:17" x14ac:dyDescent="0.45">
      <c r="A829" t="s">
        <v>1187</v>
      </c>
      <c r="B829">
        <v>45592</v>
      </c>
      <c r="C829" t="s">
        <v>23</v>
      </c>
      <c r="D829" t="s">
        <v>24</v>
      </c>
      <c r="E829">
        <v>10</v>
      </c>
      <c r="F829">
        <v>25</v>
      </c>
      <c r="G829">
        <v>8.74</v>
      </c>
      <c r="H829" t="s">
        <v>402</v>
      </c>
      <c r="I829" t="s">
        <v>403</v>
      </c>
      <c r="J829" t="s">
        <v>27</v>
      </c>
      <c r="K829" t="s">
        <v>43</v>
      </c>
      <c r="L829">
        <f t="shared" si="36"/>
        <v>250</v>
      </c>
      <c r="M829">
        <f t="shared" si="37"/>
        <v>87.4</v>
      </c>
      <c r="N829">
        <f t="shared" si="38"/>
        <v>162.6</v>
      </c>
      <c r="O829" cm="1">
        <f t="array" ref="O829">_xlfn.LET(_xlpm.cat, Greenleaf[[#This Row],[Product Category]], _xlpm.prices, _xlfn._xlws.FILTER(Greenleaf[Unit Price], (Greenleaf[Product Category]=_xlpm.cat)*(Greenleaf[Unit Price]&lt;&gt;"")), IFERROR(MEDIAN(_xlpm.prices), ""))</f>
        <v>25</v>
      </c>
      <c r="P829">
        <f>IF(Greenleaf[[#This Row],[Shipment Status]]="Returned",1,0)</f>
        <v>0</v>
      </c>
      <c r="Q829">
        <f>IF(Greenleaf[[#This Row],[Shipment Status]]="Delivered",1,0)</f>
        <v>1</v>
      </c>
    </row>
    <row r="830" spans="1:17" x14ac:dyDescent="0.45">
      <c r="A830" t="s">
        <v>1188</v>
      </c>
      <c r="B830">
        <v>45592</v>
      </c>
      <c r="C830" t="s">
        <v>49</v>
      </c>
      <c r="D830" t="s">
        <v>50</v>
      </c>
      <c r="E830">
        <v>8</v>
      </c>
      <c r="F830">
        <v>15</v>
      </c>
      <c r="G830">
        <v>5.93</v>
      </c>
      <c r="H830" t="s">
        <v>428</v>
      </c>
      <c r="I830" t="s">
        <v>429</v>
      </c>
      <c r="J830" t="s">
        <v>20</v>
      </c>
      <c r="K830" t="s">
        <v>134</v>
      </c>
      <c r="L830">
        <f t="shared" si="36"/>
        <v>120</v>
      </c>
      <c r="M830">
        <f t="shared" si="37"/>
        <v>47.44</v>
      </c>
      <c r="N830">
        <f t="shared" si="38"/>
        <v>72.56</v>
      </c>
      <c r="O830" cm="1">
        <f t="array" ref="O830">_xlfn.LET(_xlpm.cat, Greenleaf[[#This Row],[Product Category]], _xlpm.prices, _xlfn._xlws.FILTER(Greenleaf[Unit Price], (Greenleaf[Product Category]=_xlpm.cat)*(Greenleaf[Unit Price]&lt;&gt;"")), IFERROR(MEDIAN(_xlpm.prices), ""))</f>
        <v>15</v>
      </c>
      <c r="P830">
        <f>IF(Greenleaf[[#This Row],[Shipment Status]]="Returned",1,0)</f>
        <v>0</v>
      </c>
      <c r="Q830">
        <f>IF(Greenleaf[[#This Row],[Shipment Status]]="Delivered",1,0)</f>
        <v>0</v>
      </c>
    </row>
    <row r="831" spans="1:17" x14ac:dyDescent="0.45">
      <c r="A831" t="s">
        <v>1189</v>
      </c>
      <c r="B831">
        <v>45592</v>
      </c>
      <c r="C831" t="s">
        <v>30</v>
      </c>
      <c r="D831" t="s">
        <v>31</v>
      </c>
      <c r="E831">
        <v>2</v>
      </c>
      <c r="F831">
        <v>40</v>
      </c>
      <c r="G831">
        <v>11.4</v>
      </c>
      <c r="H831" t="s">
        <v>858</v>
      </c>
      <c r="I831" t="s">
        <v>859</v>
      </c>
      <c r="J831" t="s">
        <v>27</v>
      </c>
      <c r="K831" t="s">
        <v>134</v>
      </c>
      <c r="L831">
        <f t="shared" si="36"/>
        <v>80</v>
      </c>
      <c r="M831">
        <f t="shared" si="37"/>
        <v>22.8</v>
      </c>
      <c r="N831">
        <f t="shared" si="38"/>
        <v>57.2</v>
      </c>
      <c r="O831" cm="1">
        <f t="array" ref="O831">_xlfn.LET(_xlpm.cat, Greenleaf[[#This Row],[Product Category]], _xlpm.prices, _xlfn._xlws.FILTER(Greenleaf[Unit Price], (Greenleaf[Product Category]=_xlpm.cat)*(Greenleaf[Unit Price]&lt;&gt;"")), IFERROR(MEDIAN(_xlpm.prices), ""))</f>
        <v>40</v>
      </c>
      <c r="P831">
        <f>IF(Greenleaf[[#This Row],[Shipment Status]]="Returned",1,0)</f>
        <v>0</v>
      </c>
      <c r="Q831">
        <f>IF(Greenleaf[[#This Row],[Shipment Status]]="Delivered",1,0)</f>
        <v>1</v>
      </c>
    </row>
    <row r="832" spans="1:17" x14ac:dyDescent="0.45">
      <c r="A832" t="s">
        <v>1190</v>
      </c>
      <c r="B832">
        <v>45593</v>
      </c>
      <c r="C832" t="s">
        <v>49</v>
      </c>
      <c r="D832" t="s">
        <v>50</v>
      </c>
      <c r="E832">
        <v>10</v>
      </c>
      <c r="F832">
        <v>15</v>
      </c>
      <c r="G832">
        <v>3.2</v>
      </c>
      <c r="H832" t="s">
        <v>1071</v>
      </c>
      <c r="I832" t="s">
        <v>477</v>
      </c>
      <c r="J832" t="s">
        <v>27</v>
      </c>
      <c r="K832" t="s">
        <v>38</v>
      </c>
      <c r="L832">
        <f t="shared" si="36"/>
        <v>150</v>
      </c>
      <c r="M832">
        <f t="shared" si="37"/>
        <v>32</v>
      </c>
      <c r="N832">
        <f t="shared" si="38"/>
        <v>118</v>
      </c>
      <c r="O832" cm="1">
        <f t="array" ref="O832">_xlfn.LET(_xlpm.cat, Greenleaf[[#This Row],[Product Category]], _xlpm.prices, _xlfn._xlws.FILTER(Greenleaf[Unit Price], (Greenleaf[Product Category]=_xlpm.cat)*(Greenleaf[Unit Price]&lt;&gt;"")), IFERROR(MEDIAN(_xlpm.prices), ""))</f>
        <v>15</v>
      </c>
      <c r="P832">
        <f>IF(Greenleaf[[#This Row],[Shipment Status]]="Returned",1,0)</f>
        <v>0</v>
      </c>
      <c r="Q832">
        <f>IF(Greenleaf[[#This Row],[Shipment Status]]="Delivered",1,0)</f>
        <v>1</v>
      </c>
    </row>
    <row r="833" spans="1:17" x14ac:dyDescent="0.45">
      <c r="A833" t="s">
        <v>1191</v>
      </c>
      <c r="B833">
        <v>45593</v>
      </c>
      <c r="C833" t="s">
        <v>16</v>
      </c>
      <c r="D833" t="s">
        <v>17</v>
      </c>
      <c r="E833">
        <v>7</v>
      </c>
      <c r="F833">
        <v>10</v>
      </c>
      <c r="G833">
        <v>3.47</v>
      </c>
      <c r="H833" t="s">
        <v>530</v>
      </c>
      <c r="I833" t="s">
        <v>531</v>
      </c>
      <c r="J833" t="s">
        <v>27</v>
      </c>
      <c r="K833" t="s">
        <v>28</v>
      </c>
      <c r="L833">
        <f t="shared" si="36"/>
        <v>70</v>
      </c>
      <c r="M833">
        <f t="shared" si="37"/>
        <v>24.290000000000003</v>
      </c>
      <c r="N833">
        <f t="shared" si="38"/>
        <v>45.709999999999994</v>
      </c>
      <c r="O833" cm="1">
        <f t="array" ref="O833">_xlfn.LET(_xlpm.cat, Greenleaf[[#This Row],[Product Category]], _xlpm.prices, _xlfn._xlws.FILTER(Greenleaf[Unit Price], (Greenleaf[Product Category]=_xlpm.cat)*(Greenleaf[Unit Price]&lt;&gt;"")), IFERROR(MEDIAN(_xlpm.prices), ""))</f>
        <v>10</v>
      </c>
      <c r="P833">
        <f>IF(Greenleaf[[#This Row],[Shipment Status]]="Returned",1,0)</f>
        <v>0</v>
      </c>
      <c r="Q833">
        <f>IF(Greenleaf[[#This Row],[Shipment Status]]="Delivered",1,0)</f>
        <v>1</v>
      </c>
    </row>
    <row r="834" spans="1:17" x14ac:dyDescent="0.45">
      <c r="A834" t="s">
        <v>1192</v>
      </c>
      <c r="B834">
        <v>45593</v>
      </c>
      <c r="C834" t="s">
        <v>30</v>
      </c>
      <c r="D834" t="s">
        <v>31</v>
      </c>
      <c r="E834">
        <v>3</v>
      </c>
      <c r="F834">
        <v>40</v>
      </c>
      <c r="G834">
        <v>8.8800000000000008</v>
      </c>
      <c r="H834" t="s">
        <v>1071</v>
      </c>
      <c r="I834" t="s">
        <v>477</v>
      </c>
      <c r="J834" t="s">
        <v>20</v>
      </c>
      <c r="K834" t="s">
        <v>43</v>
      </c>
      <c r="L834">
        <f t="shared" ref="L834:L897" si="39">E834*F834</f>
        <v>120</v>
      </c>
      <c r="M834">
        <f t="shared" ref="M834:M897" si="40">E834*G834</f>
        <v>26.64</v>
      </c>
      <c r="N834">
        <f t="shared" ref="N834:N897" si="41">L834-M834</f>
        <v>93.36</v>
      </c>
      <c r="O834" cm="1">
        <f t="array" ref="O834">_xlfn.LET(_xlpm.cat, Greenleaf[[#This Row],[Product Category]], _xlpm.prices, _xlfn._xlws.FILTER(Greenleaf[Unit Price], (Greenleaf[Product Category]=_xlpm.cat)*(Greenleaf[Unit Price]&lt;&gt;"")), IFERROR(MEDIAN(_xlpm.prices), ""))</f>
        <v>40</v>
      </c>
      <c r="P834">
        <f>IF(Greenleaf[[#This Row],[Shipment Status]]="Returned",1,0)</f>
        <v>0</v>
      </c>
      <c r="Q834">
        <f>IF(Greenleaf[[#This Row],[Shipment Status]]="Delivered",1,0)</f>
        <v>0</v>
      </c>
    </row>
    <row r="835" spans="1:17" x14ac:dyDescent="0.45">
      <c r="A835" t="s">
        <v>1193</v>
      </c>
      <c r="B835">
        <v>45593</v>
      </c>
      <c r="C835" t="s">
        <v>49</v>
      </c>
      <c r="D835" t="s">
        <v>50</v>
      </c>
      <c r="E835">
        <v>10</v>
      </c>
      <c r="F835">
        <v>15</v>
      </c>
      <c r="G835">
        <v>4.0999999999999996</v>
      </c>
      <c r="H835" t="s">
        <v>763</v>
      </c>
      <c r="I835" t="s">
        <v>210</v>
      </c>
      <c r="J835" t="s">
        <v>42</v>
      </c>
      <c r="K835" t="s">
        <v>21</v>
      </c>
      <c r="L835">
        <f t="shared" si="39"/>
        <v>150</v>
      </c>
      <c r="M835">
        <f t="shared" si="40"/>
        <v>41</v>
      </c>
      <c r="N835">
        <f t="shared" si="41"/>
        <v>109</v>
      </c>
      <c r="O835" cm="1">
        <f t="array" ref="O835">_xlfn.LET(_xlpm.cat, Greenleaf[[#This Row],[Product Category]], _xlpm.prices, _xlfn._xlws.FILTER(Greenleaf[Unit Price], (Greenleaf[Product Category]=_xlpm.cat)*(Greenleaf[Unit Price]&lt;&gt;"")), IFERROR(MEDIAN(_xlpm.prices), ""))</f>
        <v>15</v>
      </c>
      <c r="P835">
        <f>IF(Greenleaf[[#This Row],[Shipment Status]]="Returned",1,0)</f>
        <v>1</v>
      </c>
      <c r="Q835">
        <f>IF(Greenleaf[[#This Row],[Shipment Status]]="Delivered",1,0)</f>
        <v>0</v>
      </c>
    </row>
    <row r="836" spans="1:17" x14ac:dyDescent="0.45">
      <c r="A836" t="s">
        <v>1194</v>
      </c>
      <c r="B836">
        <v>45594</v>
      </c>
      <c r="C836" t="s">
        <v>23</v>
      </c>
      <c r="D836" t="s">
        <v>24</v>
      </c>
      <c r="E836">
        <v>5</v>
      </c>
      <c r="F836">
        <v>25</v>
      </c>
      <c r="G836">
        <v>9.99</v>
      </c>
      <c r="H836" t="s">
        <v>558</v>
      </c>
      <c r="I836" t="s">
        <v>559</v>
      </c>
      <c r="J836" t="s">
        <v>27</v>
      </c>
      <c r="K836" t="s">
        <v>59</v>
      </c>
      <c r="L836">
        <f t="shared" si="39"/>
        <v>125</v>
      </c>
      <c r="M836">
        <f t="shared" si="40"/>
        <v>49.95</v>
      </c>
      <c r="N836">
        <f t="shared" si="41"/>
        <v>75.05</v>
      </c>
      <c r="O836" cm="1">
        <f t="array" ref="O836">_xlfn.LET(_xlpm.cat, Greenleaf[[#This Row],[Product Category]], _xlpm.prices, _xlfn._xlws.FILTER(Greenleaf[Unit Price], (Greenleaf[Product Category]=_xlpm.cat)*(Greenleaf[Unit Price]&lt;&gt;"")), IFERROR(MEDIAN(_xlpm.prices), ""))</f>
        <v>25</v>
      </c>
      <c r="P836">
        <f>IF(Greenleaf[[#This Row],[Shipment Status]]="Returned",1,0)</f>
        <v>0</v>
      </c>
      <c r="Q836">
        <f>IF(Greenleaf[[#This Row],[Shipment Status]]="Delivered",1,0)</f>
        <v>1</v>
      </c>
    </row>
    <row r="837" spans="1:17" x14ac:dyDescent="0.45">
      <c r="A837" t="s">
        <v>1195</v>
      </c>
      <c r="B837">
        <v>45594</v>
      </c>
      <c r="C837" t="s">
        <v>49</v>
      </c>
      <c r="D837" t="s">
        <v>50</v>
      </c>
      <c r="E837">
        <v>7</v>
      </c>
      <c r="F837">
        <v>15</v>
      </c>
      <c r="G837">
        <v>5.7</v>
      </c>
      <c r="H837" t="s">
        <v>158</v>
      </c>
      <c r="I837" t="s">
        <v>37</v>
      </c>
      <c r="J837" t="s">
        <v>47</v>
      </c>
      <c r="K837" t="s">
        <v>74</v>
      </c>
      <c r="L837">
        <f t="shared" si="39"/>
        <v>105</v>
      </c>
      <c r="M837">
        <f t="shared" si="40"/>
        <v>39.9</v>
      </c>
      <c r="N837">
        <f t="shared" si="41"/>
        <v>65.099999999999994</v>
      </c>
      <c r="O837" cm="1">
        <f t="array" ref="O837">_xlfn.LET(_xlpm.cat, Greenleaf[[#This Row],[Product Category]], _xlpm.prices, _xlfn._xlws.FILTER(Greenleaf[Unit Price], (Greenleaf[Product Category]=_xlpm.cat)*(Greenleaf[Unit Price]&lt;&gt;"")), IFERROR(MEDIAN(_xlpm.prices), ""))</f>
        <v>15</v>
      </c>
      <c r="P837">
        <f>IF(Greenleaf[[#This Row],[Shipment Status]]="Returned",1,0)</f>
        <v>0</v>
      </c>
      <c r="Q837">
        <f>IF(Greenleaf[[#This Row],[Shipment Status]]="Delivered",1,0)</f>
        <v>0</v>
      </c>
    </row>
    <row r="838" spans="1:17" x14ac:dyDescent="0.45">
      <c r="A838" t="s">
        <v>1196</v>
      </c>
      <c r="B838">
        <v>45594</v>
      </c>
      <c r="C838" t="s">
        <v>66</v>
      </c>
      <c r="D838" t="s">
        <v>67</v>
      </c>
      <c r="E838">
        <v>2</v>
      </c>
      <c r="F838">
        <v>12</v>
      </c>
      <c r="G838">
        <v>3.58</v>
      </c>
      <c r="H838" t="s">
        <v>92</v>
      </c>
      <c r="I838" t="s">
        <v>93</v>
      </c>
      <c r="J838" t="s">
        <v>27</v>
      </c>
      <c r="K838" t="s">
        <v>21</v>
      </c>
      <c r="L838">
        <f t="shared" si="39"/>
        <v>24</v>
      </c>
      <c r="M838">
        <f t="shared" si="40"/>
        <v>7.16</v>
      </c>
      <c r="N838">
        <f t="shared" si="41"/>
        <v>16.84</v>
      </c>
      <c r="O838" cm="1">
        <f t="array" ref="O838">_xlfn.LET(_xlpm.cat, Greenleaf[[#This Row],[Product Category]], _xlpm.prices, _xlfn._xlws.FILTER(Greenleaf[Unit Price], (Greenleaf[Product Category]=_xlpm.cat)*(Greenleaf[Unit Price]&lt;&gt;"")), IFERROR(MEDIAN(_xlpm.prices), ""))</f>
        <v>12</v>
      </c>
      <c r="P838">
        <f>IF(Greenleaf[[#This Row],[Shipment Status]]="Returned",1,0)</f>
        <v>0</v>
      </c>
      <c r="Q838">
        <f>IF(Greenleaf[[#This Row],[Shipment Status]]="Delivered",1,0)</f>
        <v>1</v>
      </c>
    </row>
    <row r="839" spans="1:17" x14ac:dyDescent="0.45">
      <c r="A839" t="s">
        <v>1197</v>
      </c>
      <c r="B839">
        <v>45594</v>
      </c>
      <c r="C839" t="s">
        <v>49</v>
      </c>
      <c r="D839" t="s">
        <v>50</v>
      </c>
      <c r="E839">
        <v>5</v>
      </c>
      <c r="F839">
        <v>15</v>
      </c>
      <c r="G839">
        <v>4.07</v>
      </c>
      <c r="H839" t="s">
        <v>197</v>
      </c>
      <c r="I839" t="s">
        <v>198</v>
      </c>
      <c r="J839" t="s">
        <v>27</v>
      </c>
      <c r="K839" t="s">
        <v>21</v>
      </c>
      <c r="L839">
        <f t="shared" si="39"/>
        <v>75</v>
      </c>
      <c r="M839">
        <f t="shared" si="40"/>
        <v>20.350000000000001</v>
      </c>
      <c r="N839">
        <f t="shared" si="41"/>
        <v>54.65</v>
      </c>
      <c r="O839" cm="1">
        <f t="array" ref="O839">_xlfn.LET(_xlpm.cat, Greenleaf[[#This Row],[Product Category]], _xlpm.prices, _xlfn._xlws.FILTER(Greenleaf[Unit Price], (Greenleaf[Product Category]=_xlpm.cat)*(Greenleaf[Unit Price]&lt;&gt;"")), IFERROR(MEDIAN(_xlpm.prices), ""))</f>
        <v>15</v>
      </c>
      <c r="P839">
        <f>IF(Greenleaf[[#This Row],[Shipment Status]]="Returned",1,0)</f>
        <v>0</v>
      </c>
      <c r="Q839">
        <f>IF(Greenleaf[[#This Row],[Shipment Status]]="Delivered",1,0)</f>
        <v>1</v>
      </c>
    </row>
    <row r="840" spans="1:17" x14ac:dyDescent="0.45">
      <c r="A840" t="s">
        <v>1198</v>
      </c>
      <c r="B840">
        <v>45594</v>
      </c>
      <c r="C840" t="s">
        <v>23</v>
      </c>
      <c r="D840" t="s">
        <v>24</v>
      </c>
      <c r="E840">
        <v>10</v>
      </c>
      <c r="F840">
        <v>25</v>
      </c>
      <c r="G840">
        <v>9.42</v>
      </c>
      <c r="H840" t="s">
        <v>36</v>
      </c>
      <c r="I840" t="s">
        <v>37</v>
      </c>
      <c r="J840" t="s">
        <v>27</v>
      </c>
      <c r="K840" t="s">
        <v>38</v>
      </c>
      <c r="L840">
        <f t="shared" si="39"/>
        <v>250</v>
      </c>
      <c r="M840">
        <f t="shared" si="40"/>
        <v>94.2</v>
      </c>
      <c r="N840">
        <f t="shared" si="41"/>
        <v>155.80000000000001</v>
      </c>
      <c r="O840" cm="1">
        <f t="array" ref="O840">_xlfn.LET(_xlpm.cat, Greenleaf[[#This Row],[Product Category]], _xlpm.prices, _xlfn._xlws.FILTER(Greenleaf[Unit Price], (Greenleaf[Product Category]=_xlpm.cat)*(Greenleaf[Unit Price]&lt;&gt;"")), IFERROR(MEDIAN(_xlpm.prices), ""))</f>
        <v>25</v>
      </c>
      <c r="P840">
        <f>IF(Greenleaf[[#This Row],[Shipment Status]]="Returned",1,0)</f>
        <v>0</v>
      </c>
      <c r="Q840">
        <f>IF(Greenleaf[[#This Row],[Shipment Status]]="Delivered",1,0)</f>
        <v>1</v>
      </c>
    </row>
    <row r="841" spans="1:17" x14ac:dyDescent="0.45">
      <c r="A841" t="s">
        <v>1199</v>
      </c>
      <c r="B841">
        <v>45596</v>
      </c>
      <c r="C841" t="s">
        <v>30</v>
      </c>
      <c r="D841" t="s">
        <v>31</v>
      </c>
      <c r="E841">
        <v>1</v>
      </c>
      <c r="F841">
        <v>40</v>
      </c>
      <c r="G841">
        <v>13.18</v>
      </c>
      <c r="H841" t="s">
        <v>164</v>
      </c>
      <c r="I841" t="s">
        <v>100</v>
      </c>
      <c r="J841" t="s">
        <v>20</v>
      </c>
      <c r="K841" t="s">
        <v>34</v>
      </c>
      <c r="L841">
        <f t="shared" si="39"/>
        <v>40</v>
      </c>
      <c r="M841">
        <f t="shared" si="40"/>
        <v>13.18</v>
      </c>
      <c r="N841">
        <f t="shared" si="41"/>
        <v>26.82</v>
      </c>
      <c r="O841" cm="1">
        <f t="array" ref="O841">_xlfn.LET(_xlpm.cat, Greenleaf[[#This Row],[Product Category]], _xlpm.prices, _xlfn._xlws.FILTER(Greenleaf[Unit Price], (Greenleaf[Product Category]=_xlpm.cat)*(Greenleaf[Unit Price]&lt;&gt;"")), IFERROR(MEDIAN(_xlpm.prices), ""))</f>
        <v>40</v>
      </c>
      <c r="P841">
        <f>IF(Greenleaf[[#This Row],[Shipment Status]]="Returned",1,0)</f>
        <v>0</v>
      </c>
      <c r="Q841">
        <f>IF(Greenleaf[[#This Row],[Shipment Status]]="Delivered",1,0)</f>
        <v>0</v>
      </c>
    </row>
    <row r="842" spans="1:17" x14ac:dyDescent="0.45">
      <c r="A842" t="s">
        <v>1200</v>
      </c>
      <c r="B842">
        <v>45596</v>
      </c>
      <c r="C842" t="s">
        <v>23</v>
      </c>
      <c r="D842" t="s">
        <v>24</v>
      </c>
      <c r="E842">
        <v>2</v>
      </c>
      <c r="F842">
        <v>25</v>
      </c>
      <c r="G842">
        <v>7.53</v>
      </c>
      <c r="H842" t="s">
        <v>156</v>
      </c>
      <c r="I842" t="s">
        <v>55</v>
      </c>
      <c r="J842" t="s">
        <v>27</v>
      </c>
      <c r="K842" t="s">
        <v>43</v>
      </c>
      <c r="L842">
        <f t="shared" si="39"/>
        <v>50</v>
      </c>
      <c r="M842">
        <f t="shared" si="40"/>
        <v>15.06</v>
      </c>
      <c r="N842">
        <f t="shared" si="41"/>
        <v>34.94</v>
      </c>
      <c r="O842" cm="1">
        <f t="array" ref="O842">_xlfn.LET(_xlpm.cat, Greenleaf[[#This Row],[Product Category]], _xlpm.prices, _xlfn._xlws.FILTER(Greenleaf[Unit Price], (Greenleaf[Product Category]=_xlpm.cat)*(Greenleaf[Unit Price]&lt;&gt;"")), IFERROR(MEDIAN(_xlpm.prices), ""))</f>
        <v>25</v>
      </c>
      <c r="P842">
        <f>IF(Greenleaf[[#This Row],[Shipment Status]]="Returned",1,0)</f>
        <v>0</v>
      </c>
      <c r="Q842">
        <f>IF(Greenleaf[[#This Row],[Shipment Status]]="Delivered",1,0)</f>
        <v>1</v>
      </c>
    </row>
    <row r="843" spans="1:17" x14ac:dyDescent="0.45">
      <c r="A843" t="s">
        <v>1201</v>
      </c>
      <c r="B843">
        <v>45596</v>
      </c>
      <c r="C843" t="s">
        <v>66</v>
      </c>
      <c r="D843" t="s">
        <v>67</v>
      </c>
      <c r="E843">
        <v>7</v>
      </c>
      <c r="F843">
        <v>12</v>
      </c>
      <c r="G843">
        <v>4.74</v>
      </c>
      <c r="H843" t="s">
        <v>197</v>
      </c>
      <c r="I843" t="s">
        <v>198</v>
      </c>
      <c r="J843" t="s">
        <v>47</v>
      </c>
      <c r="K843" t="s">
        <v>59</v>
      </c>
      <c r="L843">
        <f t="shared" si="39"/>
        <v>84</v>
      </c>
      <c r="M843">
        <f t="shared" si="40"/>
        <v>33.18</v>
      </c>
      <c r="N843">
        <f t="shared" si="41"/>
        <v>50.82</v>
      </c>
      <c r="O843" cm="1">
        <f t="array" ref="O843">_xlfn.LET(_xlpm.cat, Greenleaf[[#This Row],[Product Category]], _xlpm.prices, _xlfn._xlws.FILTER(Greenleaf[Unit Price], (Greenleaf[Product Category]=_xlpm.cat)*(Greenleaf[Unit Price]&lt;&gt;"")), IFERROR(MEDIAN(_xlpm.prices), ""))</f>
        <v>12</v>
      </c>
      <c r="P843">
        <f>IF(Greenleaf[[#This Row],[Shipment Status]]="Returned",1,0)</f>
        <v>0</v>
      </c>
      <c r="Q843">
        <f>IF(Greenleaf[[#This Row],[Shipment Status]]="Delivered",1,0)</f>
        <v>0</v>
      </c>
    </row>
    <row r="844" spans="1:17" x14ac:dyDescent="0.45">
      <c r="A844" t="s">
        <v>1202</v>
      </c>
      <c r="B844">
        <v>45596</v>
      </c>
      <c r="C844" t="s">
        <v>66</v>
      </c>
      <c r="D844" t="s">
        <v>67</v>
      </c>
      <c r="E844">
        <v>7</v>
      </c>
      <c r="F844">
        <v>12</v>
      </c>
      <c r="G844">
        <v>3.58</v>
      </c>
      <c r="H844" t="s">
        <v>45</v>
      </c>
      <c r="I844" t="s">
        <v>46</v>
      </c>
      <c r="J844" t="s">
        <v>27</v>
      </c>
      <c r="K844" t="s">
        <v>134</v>
      </c>
      <c r="L844">
        <f t="shared" si="39"/>
        <v>84</v>
      </c>
      <c r="M844">
        <f t="shared" si="40"/>
        <v>25.060000000000002</v>
      </c>
      <c r="N844">
        <f t="shared" si="41"/>
        <v>58.94</v>
      </c>
      <c r="O844" cm="1">
        <f t="array" ref="O844">_xlfn.LET(_xlpm.cat, Greenleaf[[#This Row],[Product Category]], _xlpm.prices, _xlfn._xlws.FILTER(Greenleaf[Unit Price], (Greenleaf[Product Category]=_xlpm.cat)*(Greenleaf[Unit Price]&lt;&gt;"")), IFERROR(MEDIAN(_xlpm.prices), ""))</f>
        <v>12</v>
      </c>
      <c r="P844">
        <f>IF(Greenleaf[[#This Row],[Shipment Status]]="Returned",1,0)</f>
        <v>0</v>
      </c>
      <c r="Q844">
        <f>IF(Greenleaf[[#This Row],[Shipment Status]]="Delivered",1,0)</f>
        <v>1</v>
      </c>
    </row>
    <row r="845" spans="1:17" x14ac:dyDescent="0.45">
      <c r="A845" t="s">
        <v>1203</v>
      </c>
      <c r="B845">
        <v>45597</v>
      </c>
      <c r="C845" t="s">
        <v>23</v>
      </c>
      <c r="D845" t="s">
        <v>24</v>
      </c>
      <c r="E845">
        <v>8</v>
      </c>
      <c r="F845">
        <v>25</v>
      </c>
      <c r="G845">
        <v>5.8</v>
      </c>
      <c r="H845" t="s">
        <v>82</v>
      </c>
      <c r="I845" t="s">
        <v>83</v>
      </c>
      <c r="J845" t="s">
        <v>47</v>
      </c>
      <c r="K845" t="s">
        <v>70</v>
      </c>
      <c r="L845">
        <f t="shared" si="39"/>
        <v>200</v>
      </c>
      <c r="M845">
        <f t="shared" si="40"/>
        <v>46.4</v>
      </c>
      <c r="N845">
        <f t="shared" si="41"/>
        <v>153.6</v>
      </c>
      <c r="O845" cm="1">
        <f t="array" ref="O845">_xlfn.LET(_xlpm.cat, Greenleaf[[#This Row],[Product Category]], _xlpm.prices, _xlfn._xlws.FILTER(Greenleaf[Unit Price], (Greenleaf[Product Category]=_xlpm.cat)*(Greenleaf[Unit Price]&lt;&gt;"")), IFERROR(MEDIAN(_xlpm.prices), ""))</f>
        <v>25</v>
      </c>
      <c r="P845">
        <f>IF(Greenleaf[[#This Row],[Shipment Status]]="Returned",1,0)</f>
        <v>0</v>
      </c>
      <c r="Q845">
        <f>IF(Greenleaf[[#This Row],[Shipment Status]]="Delivered",1,0)</f>
        <v>0</v>
      </c>
    </row>
    <row r="846" spans="1:17" x14ac:dyDescent="0.45">
      <c r="A846" t="s">
        <v>1204</v>
      </c>
      <c r="B846">
        <v>45597</v>
      </c>
      <c r="C846" t="s">
        <v>66</v>
      </c>
      <c r="D846" t="s">
        <v>67</v>
      </c>
      <c r="E846">
        <v>2</v>
      </c>
      <c r="F846">
        <v>12</v>
      </c>
      <c r="G846">
        <v>3.34</v>
      </c>
      <c r="H846" t="s">
        <v>296</v>
      </c>
      <c r="I846" t="s">
        <v>93</v>
      </c>
      <c r="J846" t="s">
        <v>27</v>
      </c>
      <c r="K846" t="s">
        <v>70</v>
      </c>
      <c r="L846">
        <f t="shared" si="39"/>
        <v>24</v>
      </c>
      <c r="M846">
        <f t="shared" si="40"/>
        <v>6.68</v>
      </c>
      <c r="N846">
        <f t="shared" si="41"/>
        <v>17.32</v>
      </c>
      <c r="O846" cm="1">
        <f t="array" ref="O846">_xlfn.LET(_xlpm.cat, Greenleaf[[#This Row],[Product Category]], _xlpm.prices, _xlfn._xlws.FILTER(Greenleaf[Unit Price], (Greenleaf[Product Category]=_xlpm.cat)*(Greenleaf[Unit Price]&lt;&gt;"")), IFERROR(MEDIAN(_xlpm.prices), ""))</f>
        <v>12</v>
      </c>
      <c r="P846">
        <f>IF(Greenleaf[[#This Row],[Shipment Status]]="Returned",1,0)</f>
        <v>0</v>
      </c>
      <c r="Q846">
        <f>IF(Greenleaf[[#This Row],[Shipment Status]]="Delivered",1,0)</f>
        <v>1</v>
      </c>
    </row>
    <row r="847" spans="1:17" x14ac:dyDescent="0.45">
      <c r="A847" t="s">
        <v>1205</v>
      </c>
      <c r="B847">
        <v>45597</v>
      </c>
      <c r="C847" t="s">
        <v>23</v>
      </c>
      <c r="D847" t="s">
        <v>24</v>
      </c>
      <c r="E847">
        <v>8</v>
      </c>
      <c r="F847">
        <v>25</v>
      </c>
      <c r="G847">
        <v>9.2899999999999991</v>
      </c>
      <c r="H847" t="s">
        <v>795</v>
      </c>
      <c r="I847" t="s">
        <v>440</v>
      </c>
      <c r="J847" t="s">
        <v>27</v>
      </c>
      <c r="K847" t="s">
        <v>134</v>
      </c>
      <c r="L847">
        <f t="shared" si="39"/>
        <v>200</v>
      </c>
      <c r="M847">
        <f t="shared" si="40"/>
        <v>74.319999999999993</v>
      </c>
      <c r="N847">
        <f t="shared" si="41"/>
        <v>125.68</v>
      </c>
      <c r="O847" cm="1">
        <f t="array" ref="O847">_xlfn.LET(_xlpm.cat, Greenleaf[[#This Row],[Product Category]], _xlpm.prices, _xlfn._xlws.FILTER(Greenleaf[Unit Price], (Greenleaf[Product Category]=_xlpm.cat)*(Greenleaf[Unit Price]&lt;&gt;"")), IFERROR(MEDIAN(_xlpm.prices), ""))</f>
        <v>25</v>
      </c>
      <c r="P847">
        <f>IF(Greenleaf[[#This Row],[Shipment Status]]="Returned",1,0)</f>
        <v>0</v>
      </c>
      <c r="Q847">
        <f>IF(Greenleaf[[#This Row],[Shipment Status]]="Delivered",1,0)</f>
        <v>1</v>
      </c>
    </row>
    <row r="848" spans="1:17" x14ac:dyDescent="0.45">
      <c r="A848" t="s">
        <v>1206</v>
      </c>
      <c r="B848">
        <v>45598</v>
      </c>
      <c r="C848" t="s">
        <v>49</v>
      </c>
      <c r="D848" t="s">
        <v>50</v>
      </c>
      <c r="E848">
        <v>8</v>
      </c>
      <c r="F848">
        <v>15</v>
      </c>
      <c r="G848">
        <v>5.94</v>
      </c>
      <c r="H848" t="s">
        <v>51</v>
      </c>
      <c r="I848" t="s">
        <v>52</v>
      </c>
      <c r="J848" t="s">
        <v>27</v>
      </c>
      <c r="K848" t="s">
        <v>56</v>
      </c>
      <c r="L848">
        <f t="shared" si="39"/>
        <v>120</v>
      </c>
      <c r="M848">
        <f t="shared" si="40"/>
        <v>47.52</v>
      </c>
      <c r="N848">
        <f t="shared" si="41"/>
        <v>72.47999999999999</v>
      </c>
      <c r="O848" cm="1">
        <f t="array" ref="O848">_xlfn.LET(_xlpm.cat, Greenleaf[[#This Row],[Product Category]], _xlpm.prices, _xlfn._xlws.FILTER(Greenleaf[Unit Price], (Greenleaf[Product Category]=_xlpm.cat)*(Greenleaf[Unit Price]&lt;&gt;"")), IFERROR(MEDIAN(_xlpm.prices), ""))</f>
        <v>15</v>
      </c>
      <c r="P848">
        <f>IF(Greenleaf[[#This Row],[Shipment Status]]="Returned",1,0)</f>
        <v>0</v>
      </c>
      <c r="Q848">
        <f>IF(Greenleaf[[#This Row],[Shipment Status]]="Delivered",1,0)</f>
        <v>1</v>
      </c>
    </row>
    <row r="849" spans="1:17" x14ac:dyDescent="0.45">
      <c r="A849" t="s">
        <v>1207</v>
      </c>
      <c r="B849">
        <v>45598</v>
      </c>
      <c r="C849" t="s">
        <v>16</v>
      </c>
      <c r="D849" t="s">
        <v>17</v>
      </c>
      <c r="E849">
        <v>10</v>
      </c>
      <c r="F849">
        <v>10</v>
      </c>
      <c r="G849">
        <v>3.09</v>
      </c>
      <c r="H849" t="s">
        <v>153</v>
      </c>
      <c r="I849" t="s">
        <v>154</v>
      </c>
      <c r="J849" t="s">
        <v>27</v>
      </c>
      <c r="K849" t="s">
        <v>59</v>
      </c>
      <c r="L849">
        <f t="shared" si="39"/>
        <v>100</v>
      </c>
      <c r="M849">
        <f t="shared" si="40"/>
        <v>30.9</v>
      </c>
      <c r="N849">
        <f t="shared" si="41"/>
        <v>69.099999999999994</v>
      </c>
      <c r="O849" cm="1">
        <f t="array" ref="O849">_xlfn.LET(_xlpm.cat, Greenleaf[[#This Row],[Product Category]], _xlpm.prices, _xlfn._xlws.FILTER(Greenleaf[Unit Price], (Greenleaf[Product Category]=_xlpm.cat)*(Greenleaf[Unit Price]&lt;&gt;"")), IFERROR(MEDIAN(_xlpm.prices), ""))</f>
        <v>10</v>
      </c>
      <c r="P849">
        <f>IF(Greenleaf[[#This Row],[Shipment Status]]="Returned",1,0)</f>
        <v>0</v>
      </c>
      <c r="Q849">
        <f>IF(Greenleaf[[#This Row],[Shipment Status]]="Delivered",1,0)</f>
        <v>1</v>
      </c>
    </row>
    <row r="850" spans="1:17" x14ac:dyDescent="0.45">
      <c r="A850" t="s">
        <v>1208</v>
      </c>
      <c r="B850">
        <v>45598</v>
      </c>
      <c r="C850" t="s">
        <v>66</v>
      </c>
      <c r="D850" t="s">
        <v>67</v>
      </c>
      <c r="E850">
        <v>10</v>
      </c>
      <c r="F850">
        <v>12</v>
      </c>
      <c r="G850">
        <v>3.06</v>
      </c>
      <c r="H850" t="s">
        <v>221</v>
      </c>
      <c r="I850" t="s">
        <v>222</v>
      </c>
      <c r="J850" t="s">
        <v>27</v>
      </c>
      <c r="K850" t="s">
        <v>38</v>
      </c>
      <c r="L850">
        <f t="shared" si="39"/>
        <v>120</v>
      </c>
      <c r="M850">
        <f t="shared" si="40"/>
        <v>30.6</v>
      </c>
      <c r="N850">
        <f t="shared" si="41"/>
        <v>89.4</v>
      </c>
      <c r="O850" cm="1">
        <f t="array" ref="O850">_xlfn.LET(_xlpm.cat, Greenleaf[[#This Row],[Product Category]], _xlpm.prices, _xlfn._xlws.FILTER(Greenleaf[Unit Price], (Greenleaf[Product Category]=_xlpm.cat)*(Greenleaf[Unit Price]&lt;&gt;"")), IFERROR(MEDIAN(_xlpm.prices), ""))</f>
        <v>12</v>
      </c>
      <c r="P850">
        <f>IF(Greenleaf[[#This Row],[Shipment Status]]="Returned",1,0)</f>
        <v>0</v>
      </c>
      <c r="Q850">
        <f>IF(Greenleaf[[#This Row],[Shipment Status]]="Delivered",1,0)</f>
        <v>1</v>
      </c>
    </row>
    <row r="851" spans="1:17" x14ac:dyDescent="0.45">
      <c r="A851" t="s">
        <v>1209</v>
      </c>
      <c r="B851">
        <v>45598</v>
      </c>
      <c r="C851" t="s">
        <v>23</v>
      </c>
      <c r="D851" t="s">
        <v>24</v>
      </c>
      <c r="E851">
        <v>1</v>
      </c>
      <c r="F851">
        <v>25</v>
      </c>
      <c r="G851">
        <v>5.0999999999999996</v>
      </c>
      <c r="H851" t="s">
        <v>114</v>
      </c>
      <c r="I851" t="s">
        <v>115</v>
      </c>
      <c r="J851" t="s">
        <v>27</v>
      </c>
      <c r="K851" t="s">
        <v>28</v>
      </c>
      <c r="L851">
        <f t="shared" si="39"/>
        <v>25</v>
      </c>
      <c r="M851">
        <f t="shared" si="40"/>
        <v>5.0999999999999996</v>
      </c>
      <c r="N851">
        <f t="shared" si="41"/>
        <v>19.899999999999999</v>
      </c>
      <c r="O851" cm="1">
        <f t="array" ref="O851">_xlfn.LET(_xlpm.cat, Greenleaf[[#This Row],[Product Category]], _xlpm.prices, _xlfn._xlws.FILTER(Greenleaf[Unit Price], (Greenleaf[Product Category]=_xlpm.cat)*(Greenleaf[Unit Price]&lt;&gt;"")), IFERROR(MEDIAN(_xlpm.prices), ""))</f>
        <v>25</v>
      </c>
      <c r="P851">
        <f>IF(Greenleaf[[#This Row],[Shipment Status]]="Returned",1,0)</f>
        <v>0</v>
      </c>
      <c r="Q851">
        <f>IF(Greenleaf[[#This Row],[Shipment Status]]="Delivered",1,0)</f>
        <v>1</v>
      </c>
    </row>
    <row r="852" spans="1:17" x14ac:dyDescent="0.45">
      <c r="A852" t="s">
        <v>1210</v>
      </c>
      <c r="B852">
        <v>45599</v>
      </c>
      <c r="C852" t="s">
        <v>23</v>
      </c>
      <c r="D852" t="s">
        <v>24</v>
      </c>
      <c r="E852">
        <v>7</v>
      </c>
      <c r="F852">
        <v>25</v>
      </c>
      <c r="G852">
        <v>8.57</v>
      </c>
      <c r="H852" t="s">
        <v>251</v>
      </c>
      <c r="I852" t="s">
        <v>252</v>
      </c>
      <c r="J852" t="s">
        <v>27</v>
      </c>
      <c r="K852" t="s">
        <v>28</v>
      </c>
      <c r="L852">
        <f t="shared" si="39"/>
        <v>175</v>
      </c>
      <c r="M852">
        <f t="shared" si="40"/>
        <v>59.99</v>
      </c>
      <c r="N852">
        <f t="shared" si="41"/>
        <v>115.00999999999999</v>
      </c>
      <c r="O852" cm="1">
        <f t="array" ref="O852">_xlfn.LET(_xlpm.cat, Greenleaf[[#This Row],[Product Category]], _xlpm.prices, _xlfn._xlws.FILTER(Greenleaf[Unit Price], (Greenleaf[Product Category]=_xlpm.cat)*(Greenleaf[Unit Price]&lt;&gt;"")), IFERROR(MEDIAN(_xlpm.prices), ""))</f>
        <v>25</v>
      </c>
      <c r="P852">
        <f>IF(Greenleaf[[#This Row],[Shipment Status]]="Returned",1,0)</f>
        <v>0</v>
      </c>
      <c r="Q852">
        <f>IF(Greenleaf[[#This Row],[Shipment Status]]="Delivered",1,0)</f>
        <v>1</v>
      </c>
    </row>
    <row r="853" spans="1:17" x14ac:dyDescent="0.45">
      <c r="A853" t="s">
        <v>1211</v>
      </c>
      <c r="B853">
        <v>45599</v>
      </c>
      <c r="C853" t="s">
        <v>30</v>
      </c>
      <c r="D853" t="s">
        <v>31</v>
      </c>
      <c r="E853">
        <v>9</v>
      </c>
      <c r="F853">
        <v>40</v>
      </c>
      <c r="G853">
        <v>15.79</v>
      </c>
      <c r="H853" t="s">
        <v>166</v>
      </c>
      <c r="I853" t="s">
        <v>167</v>
      </c>
      <c r="J853" t="s">
        <v>20</v>
      </c>
      <c r="K853" t="s">
        <v>56</v>
      </c>
      <c r="L853">
        <f t="shared" si="39"/>
        <v>360</v>
      </c>
      <c r="M853">
        <f t="shared" si="40"/>
        <v>142.10999999999999</v>
      </c>
      <c r="N853">
        <f t="shared" si="41"/>
        <v>217.89000000000001</v>
      </c>
      <c r="O853" cm="1">
        <f t="array" ref="O853">_xlfn.LET(_xlpm.cat, Greenleaf[[#This Row],[Product Category]], _xlpm.prices, _xlfn._xlws.FILTER(Greenleaf[Unit Price], (Greenleaf[Product Category]=_xlpm.cat)*(Greenleaf[Unit Price]&lt;&gt;"")), IFERROR(MEDIAN(_xlpm.prices), ""))</f>
        <v>40</v>
      </c>
      <c r="P853">
        <f>IF(Greenleaf[[#This Row],[Shipment Status]]="Returned",1,0)</f>
        <v>0</v>
      </c>
      <c r="Q853">
        <f>IF(Greenleaf[[#This Row],[Shipment Status]]="Delivered",1,0)</f>
        <v>0</v>
      </c>
    </row>
    <row r="854" spans="1:17" x14ac:dyDescent="0.45">
      <c r="A854" t="s">
        <v>1212</v>
      </c>
      <c r="B854">
        <v>45599</v>
      </c>
      <c r="C854" t="s">
        <v>16</v>
      </c>
      <c r="D854" t="s">
        <v>17</v>
      </c>
      <c r="E854">
        <v>5</v>
      </c>
      <c r="F854">
        <v>10</v>
      </c>
      <c r="G854">
        <v>2.91</v>
      </c>
      <c r="H854" t="s">
        <v>61</v>
      </c>
      <c r="I854" t="s">
        <v>62</v>
      </c>
      <c r="J854" t="s">
        <v>42</v>
      </c>
      <c r="K854" t="s">
        <v>34</v>
      </c>
      <c r="L854">
        <f t="shared" si="39"/>
        <v>50</v>
      </c>
      <c r="M854">
        <f t="shared" si="40"/>
        <v>14.55</v>
      </c>
      <c r="N854">
        <f t="shared" si="41"/>
        <v>35.450000000000003</v>
      </c>
      <c r="O854" cm="1">
        <f t="array" ref="O854">_xlfn.LET(_xlpm.cat, Greenleaf[[#This Row],[Product Category]], _xlpm.prices, _xlfn._xlws.FILTER(Greenleaf[Unit Price], (Greenleaf[Product Category]=_xlpm.cat)*(Greenleaf[Unit Price]&lt;&gt;"")), IFERROR(MEDIAN(_xlpm.prices), ""))</f>
        <v>10</v>
      </c>
      <c r="P854">
        <f>IF(Greenleaf[[#This Row],[Shipment Status]]="Returned",1,0)</f>
        <v>1</v>
      </c>
      <c r="Q854">
        <f>IF(Greenleaf[[#This Row],[Shipment Status]]="Delivered",1,0)</f>
        <v>0</v>
      </c>
    </row>
    <row r="855" spans="1:17" x14ac:dyDescent="0.45">
      <c r="A855" t="s">
        <v>1213</v>
      </c>
      <c r="B855">
        <v>45600</v>
      </c>
      <c r="C855" t="s">
        <v>16</v>
      </c>
      <c r="D855" t="s">
        <v>17</v>
      </c>
      <c r="E855">
        <v>4</v>
      </c>
      <c r="F855">
        <v>10</v>
      </c>
      <c r="G855">
        <v>2.2200000000000002</v>
      </c>
      <c r="H855" t="s">
        <v>305</v>
      </c>
      <c r="I855" t="s">
        <v>210</v>
      </c>
      <c r="J855" t="s">
        <v>42</v>
      </c>
      <c r="K855" t="s">
        <v>21</v>
      </c>
      <c r="L855">
        <f t="shared" si="39"/>
        <v>40</v>
      </c>
      <c r="M855">
        <f t="shared" si="40"/>
        <v>8.8800000000000008</v>
      </c>
      <c r="N855">
        <f t="shared" si="41"/>
        <v>31.119999999999997</v>
      </c>
      <c r="O855" cm="1">
        <f t="array" ref="O855">_xlfn.LET(_xlpm.cat, Greenleaf[[#This Row],[Product Category]], _xlpm.prices, _xlfn._xlws.FILTER(Greenleaf[Unit Price], (Greenleaf[Product Category]=_xlpm.cat)*(Greenleaf[Unit Price]&lt;&gt;"")), IFERROR(MEDIAN(_xlpm.prices), ""))</f>
        <v>10</v>
      </c>
      <c r="P855">
        <f>IF(Greenleaf[[#This Row],[Shipment Status]]="Returned",1,0)</f>
        <v>1</v>
      </c>
      <c r="Q855">
        <f>IF(Greenleaf[[#This Row],[Shipment Status]]="Delivered",1,0)</f>
        <v>0</v>
      </c>
    </row>
    <row r="856" spans="1:17" x14ac:dyDescent="0.45">
      <c r="A856" t="s">
        <v>1214</v>
      </c>
      <c r="B856">
        <v>45600</v>
      </c>
      <c r="C856" t="s">
        <v>23</v>
      </c>
      <c r="D856" t="s">
        <v>24</v>
      </c>
      <c r="E856">
        <v>1</v>
      </c>
      <c r="F856">
        <v>25</v>
      </c>
      <c r="G856">
        <v>8.4499999999999993</v>
      </c>
      <c r="H856" t="s">
        <v>840</v>
      </c>
      <c r="I856" t="s">
        <v>518</v>
      </c>
      <c r="J856" t="s">
        <v>47</v>
      </c>
      <c r="K856" t="s">
        <v>70</v>
      </c>
      <c r="L856">
        <f t="shared" si="39"/>
        <v>25</v>
      </c>
      <c r="M856">
        <f t="shared" si="40"/>
        <v>8.4499999999999993</v>
      </c>
      <c r="N856">
        <f t="shared" si="41"/>
        <v>16.55</v>
      </c>
      <c r="O856" cm="1">
        <f t="array" ref="O856">_xlfn.LET(_xlpm.cat, Greenleaf[[#This Row],[Product Category]], _xlpm.prices, _xlfn._xlws.FILTER(Greenleaf[Unit Price], (Greenleaf[Product Category]=_xlpm.cat)*(Greenleaf[Unit Price]&lt;&gt;"")), IFERROR(MEDIAN(_xlpm.prices), ""))</f>
        <v>25</v>
      </c>
      <c r="P856">
        <f>IF(Greenleaf[[#This Row],[Shipment Status]]="Returned",1,0)</f>
        <v>0</v>
      </c>
      <c r="Q856">
        <f>IF(Greenleaf[[#This Row],[Shipment Status]]="Delivered",1,0)</f>
        <v>0</v>
      </c>
    </row>
    <row r="857" spans="1:17" x14ac:dyDescent="0.45">
      <c r="A857" t="s">
        <v>1215</v>
      </c>
      <c r="B857">
        <v>45601</v>
      </c>
      <c r="C857" t="s">
        <v>49</v>
      </c>
      <c r="D857" t="s">
        <v>50</v>
      </c>
      <c r="E857">
        <v>3</v>
      </c>
      <c r="F857">
        <v>15</v>
      </c>
      <c r="G857">
        <v>3.12</v>
      </c>
      <c r="H857" t="s">
        <v>482</v>
      </c>
      <c r="I857" t="s">
        <v>143</v>
      </c>
      <c r="J857" t="s">
        <v>20</v>
      </c>
      <c r="K857" t="s">
        <v>56</v>
      </c>
      <c r="L857">
        <f t="shared" si="39"/>
        <v>45</v>
      </c>
      <c r="M857">
        <f t="shared" si="40"/>
        <v>9.36</v>
      </c>
      <c r="N857">
        <f t="shared" si="41"/>
        <v>35.64</v>
      </c>
      <c r="O857" cm="1">
        <f t="array" ref="O857">_xlfn.LET(_xlpm.cat, Greenleaf[[#This Row],[Product Category]], _xlpm.prices, _xlfn._xlws.FILTER(Greenleaf[Unit Price], (Greenleaf[Product Category]=_xlpm.cat)*(Greenleaf[Unit Price]&lt;&gt;"")), IFERROR(MEDIAN(_xlpm.prices), ""))</f>
        <v>15</v>
      </c>
      <c r="P857">
        <f>IF(Greenleaf[[#This Row],[Shipment Status]]="Returned",1,0)</f>
        <v>0</v>
      </c>
      <c r="Q857">
        <f>IF(Greenleaf[[#This Row],[Shipment Status]]="Delivered",1,0)</f>
        <v>0</v>
      </c>
    </row>
    <row r="858" spans="1:17" x14ac:dyDescent="0.45">
      <c r="A858" t="s">
        <v>1216</v>
      </c>
      <c r="B858">
        <v>45601</v>
      </c>
      <c r="C858" t="s">
        <v>23</v>
      </c>
      <c r="D858" t="s">
        <v>24</v>
      </c>
      <c r="E858">
        <v>7</v>
      </c>
      <c r="F858">
        <v>25</v>
      </c>
      <c r="G858">
        <v>7.96</v>
      </c>
      <c r="H858" t="s">
        <v>428</v>
      </c>
      <c r="I858" t="s">
        <v>429</v>
      </c>
      <c r="J858" t="s">
        <v>27</v>
      </c>
      <c r="K858" t="s">
        <v>59</v>
      </c>
      <c r="L858">
        <f t="shared" si="39"/>
        <v>175</v>
      </c>
      <c r="M858">
        <f t="shared" si="40"/>
        <v>55.72</v>
      </c>
      <c r="N858">
        <f t="shared" si="41"/>
        <v>119.28</v>
      </c>
      <c r="O858" cm="1">
        <f t="array" ref="O858">_xlfn.LET(_xlpm.cat, Greenleaf[[#This Row],[Product Category]], _xlpm.prices, _xlfn._xlws.FILTER(Greenleaf[Unit Price], (Greenleaf[Product Category]=_xlpm.cat)*(Greenleaf[Unit Price]&lt;&gt;"")), IFERROR(MEDIAN(_xlpm.prices), ""))</f>
        <v>25</v>
      </c>
      <c r="P858">
        <f>IF(Greenleaf[[#This Row],[Shipment Status]]="Returned",1,0)</f>
        <v>0</v>
      </c>
      <c r="Q858">
        <f>IF(Greenleaf[[#This Row],[Shipment Status]]="Delivered",1,0)</f>
        <v>1</v>
      </c>
    </row>
    <row r="859" spans="1:17" x14ac:dyDescent="0.45">
      <c r="A859" t="s">
        <v>1217</v>
      </c>
      <c r="B859">
        <v>45602</v>
      </c>
      <c r="C859" t="s">
        <v>16</v>
      </c>
      <c r="D859" t="s">
        <v>17</v>
      </c>
      <c r="E859">
        <v>10</v>
      </c>
      <c r="F859">
        <v>10</v>
      </c>
      <c r="G859">
        <v>3.97</v>
      </c>
      <c r="H859" t="s">
        <v>176</v>
      </c>
      <c r="I859" t="s">
        <v>177</v>
      </c>
      <c r="J859" t="s">
        <v>27</v>
      </c>
      <c r="K859" t="s">
        <v>56</v>
      </c>
      <c r="L859">
        <f t="shared" si="39"/>
        <v>100</v>
      </c>
      <c r="M859">
        <f t="shared" si="40"/>
        <v>39.700000000000003</v>
      </c>
      <c r="N859">
        <f t="shared" si="41"/>
        <v>60.3</v>
      </c>
      <c r="O859" cm="1">
        <f t="array" ref="O859">_xlfn.LET(_xlpm.cat, Greenleaf[[#This Row],[Product Category]], _xlpm.prices, _xlfn._xlws.FILTER(Greenleaf[Unit Price], (Greenleaf[Product Category]=_xlpm.cat)*(Greenleaf[Unit Price]&lt;&gt;"")), IFERROR(MEDIAN(_xlpm.prices), ""))</f>
        <v>10</v>
      </c>
      <c r="P859">
        <f>IF(Greenleaf[[#This Row],[Shipment Status]]="Returned",1,0)</f>
        <v>0</v>
      </c>
      <c r="Q859">
        <f>IF(Greenleaf[[#This Row],[Shipment Status]]="Delivered",1,0)</f>
        <v>1</v>
      </c>
    </row>
    <row r="860" spans="1:17" x14ac:dyDescent="0.45">
      <c r="A860" t="s">
        <v>1218</v>
      </c>
      <c r="B860">
        <v>45602</v>
      </c>
      <c r="C860" t="s">
        <v>16</v>
      </c>
      <c r="D860" t="s">
        <v>17</v>
      </c>
      <c r="E860">
        <v>7</v>
      </c>
      <c r="F860">
        <v>10</v>
      </c>
      <c r="G860">
        <v>3.07</v>
      </c>
      <c r="H860" t="s">
        <v>254</v>
      </c>
      <c r="I860" t="s">
        <v>177</v>
      </c>
      <c r="J860" t="s">
        <v>27</v>
      </c>
      <c r="K860" t="s">
        <v>28</v>
      </c>
      <c r="L860">
        <f t="shared" si="39"/>
        <v>70</v>
      </c>
      <c r="M860">
        <f t="shared" si="40"/>
        <v>21.49</v>
      </c>
      <c r="N860">
        <f t="shared" si="41"/>
        <v>48.510000000000005</v>
      </c>
      <c r="O860" cm="1">
        <f t="array" ref="O860">_xlfn.LET(_xlpm.cat, Greenleaf[[#This Row],[Product Category]], _xlpm.prices, _xlfn._xlws.FILTER(Greenleaf[Unit Price], (Greenleaf[Product Category]=_xlpm.cat)*(Greenleaf[Unit Price]&lt;&gt;"")), IFERROR(MEDIAN(_xlpm.prices), ""))</f>
        <v>10</v>
      </c>
      <c r="P860">
        <f>IF(Greenleaf[[#This Row],[Shipment Status]]="Returned",1,0)</f>
        <v>0</v>
      </c>
      <c r="Q860">
        <f>IF(Greenleaf[[#This Row],[Shipment Status]]="Delivered",1,0)</f>
        <v>1</v>
      </c>
    </row>
    <row r="861" spans="1:17" x14ac:dyDescent="0.45">
      <c r="A861" t="s">
        <v>1219</v>
      </c>
      <c r="B861">
        <v>45603</v>
      </c>
      <c r="C861" t="s">
        <v>49</v>
      </c>
      <c r="D861" t="s">
        <v>50</v>
      </c>
      <c r="E861">
        <v>2</v>
      </c>
      <c r="F861">
        <v>15</v>
      </c>
      <c r="G861">
        <v>5.34</v>
      </c>
      <c r="H861" t="s">
        <v>139</v>
      </c>
      <c r="I861" t="s">
        <v>140</v>
      </c>
      <c r="J861" t="s">
        <v>27</v>
      </c>
      <c r="K861" t="s">
        <v>28</v>
      </c>
      <c r="L861">
        <f t="shared" si="39"/>
        <v>30</v>
      </c>
      <c r="M861">
        <f t="shared" si="40"/>
        <v>10.68</v>
      </c>
      <c r="N861">
        <f t="shared" si="41"/>
        <v>19.32</v>
      </c>
      <c r="O861" cm="1">
        <f t="array" ref="O861">_xlfn.LET(_xlpm.cat, Greenleaf[[#This Row],[Product Category]], _xlpm.prices, _xlfn._xlws.FILTER(Greenleaf[Unit Price], (Greenleaf[Product Category]=_xlpm.cat)*(Greenleaf[Unit Price]&lt;&gt;"")), IFERROR(MEDIAN(_xlpm.prices), ""))</f>
        <v>15</v>
      </c>
      <c r="P861">
        <f>IF(Greenleaf[[#This Row],[Shipment Status]]="Returned",1,0)</f>
        <v>0</v>
      </c>
      <c r="Q861">
        <f>IF(Greenleaf[[#This Row],[Shipment Status]]="Delivered",1,0)</f>
        <v>1</v>
      </c>
    </row>
    <row r="862" spans="1:17" x14ac:dyDescent="0.45">
      <c r="A862" t="s">
        <v>1220</v>
      </c>
      <c r="B862">
        <v>45604</v>
      </c>
      <c r="C862" t="s">
        <v>49</v>
      </c>
      <c r="D862" t="s">
        <v>50</v>
      </c>
      <c r="E862">
        <v>6</v>
      </c>
      <c r="F862">
        <v>15</v>
      </c>
      <c r="G862">
        <v>5.79</v>
      </c>
      <c r="H862" t="s">
        <v>25</v>
      </c>
      <c r="I862" t="s">
        <v>26</v>
      </c>
      <c r="J862" t="s">
        <v>42</v>
      </c>
      <c r="K862" t="s">
        <v>34</v>
      </c>
      <c r="L862">
        <f t="shared" si="39"/>
        <v>90</v>
      </c>
      <c r="M862">
        <f t="shared" si="40"/>
        <v>34.74</v>
      </c>
      <c r="N862">
        <f t="shared" si="41"/>
        <v>55.26</v>
      </c>
      <c r="O862" cm="1">
        <f t="array" ref="O862">_xlfn.LET(_xlpm.cat, Greenleaf[[#This Row],[Product Category]], _xlpm.prices, _xlfn._xlws.FILTER(Greenleaf[Unit Price], (Greenleaf[Product Category]=_xlpm.cat)*(Greenleaf[Unit Price]&lt;&gt;"")), IFERROR(MEDIAN(_xlpm.prices), ""))</f>
        <v>15</v>
      </c>
      <c r="P862">
        <f>IF(Greenleaf[[#This Row],[Shipment Status]]="Returned",1,0)</f>
        <v>1</v>
      </c>
      <c r="Q862">
        <f>IF(Greenleaf[[#This Row],[Shipment Status]]="Delivered",1,0)</f>
        <v>0</v>
      </c>
    </row>
    <row r="863" spans="1:17" x14ac:dyDescent="0.45">
      <c r="A863" t="s">
        <v>1221</v>
      </c>
      <c r="B863">
        <v>45604</v>
      </c>
      <c r="C863" t="s">
        <v>16</v>
      </c>
      <c r="D863" t="s">
        <v>17</v>
      </c>
      <c r="E863">
        <v>5</v>
      </c>
      <c r="F863">
        <v>10</v>
      </c>
      <c r="G863">
        <v>3.82</v>
      </c>
      <c r="H863" t="s">
        <v>96</v>
      </c>
      <c r="I863" t="s">
        <v>97</v>
      </c>
      <c r="J863" t="s">
        <v>27</v>
      </c>
      <c r="K863" t="s">
        <v>38</v>
      </c>
      <c r="L863">
        <f t="shared" si="39"/>
        <v>50</v>
      </c>
      <c r="M863">
        <f t="shared" si="40"/>
        <v>19.099999999999998</v>
      </c>
      <c r="N863">
        <f t="shared" si="41"/>
        <v>30.900000000000002</v>
      </c>
      <c r="O863" cm="1">
        <f t="array" ref="O863">_xlfn.LET(_xlpm.cat, Greenleaf[[#This Row],[Product Category]], _xlpm.prices, _xlfn._xlws.FILTER(Greenleaf[Unit Price], (Greenleaf[Product Category]=_xlpm.cat)*(Greenleaf[Unit Price]&lt;&gt;"")), IFERROR(MEDIAN(_xlpm.prices), ""))</f>
        <v>10</v>
      </c>
      <c r="P863">
        <f>IF(Greenleaf[[#This Row],[Shipment Status]]="Returned",1,0)</f>
        <v>0</v>
      </c>
      <c r="Q863">
        <f>IF(Greenleaf[[#This Row],[Shipment Status]]="Delivered",1,0)</f>
        <v>1</v>
      </c>
    </row>
    <row r="864" spans="1:17" x14ac:dyDescent="0.45">
      <c r="A864" t="s">
        <v>1222</v>
      </c>
      <c r="B864">
        <v>45604</v>
      </c>
      <c r="C864" t="s">
        <v>16</v>
      </c>
      <c r="D864" t="s">
        <v>17</v>
      </c>
      <c r="E864">
        <v>1</v>
      </c>
      <c r="F864">
        <v>10</v>
      </c>
      <c r="G864">
        <v>2</v>
      </c>
      <c r="H864" t="s">
        <v>326</v>
      </c>
      <c r="I864" t="s">
        <v>327</v>
      </c>
      <c r="J864" t="s">
        <v>42</v>
      </c>
      <c r="K864" t="s">
        <v>70</v>
      </c>
      <c r="L864">
        <f t="shared" si="39"/>
        <v>10</v>
      </c>
      <c r="M864">
        <f t="shared" si="40"/>
        <v>2</v>
      </c>
      <c r="N864">
        <f t="shared" si="41"/>
        <v>8</v>
      </c>
      <c r="O864" cm="1">
        <f t="array" ref="O864">_xlfn.LET(_xlpm.cat, Greenleaf[[#This Row],[Product Category]], _xlpm.prices, _xlfn._xlws.FILTER(Greenleaf[Unit Price], (Greenleaf[Product Category]=_xlpm.cat)*(Greenleaf[Unit Price]&lt;&gt;"")), IFERROR(MEDIAN(_xlpm.prices), ""))</f>
        <v>10</v>
      </c>
      <c r="P864">
        <f>IF(Greenleaf[[#This Row],[Shipment Status]]="Returned",1,0)</f>
        <v>1</v>
      </c>
      <c r="Q864">
        <f>IF(Greenleaf[[#This Row],[Shipment Status]]="Delivered",1,0)</f>
        <v>0</v>
      </c>
    </row>
    <row r="865" spans="1:17" x14ac:dyDescent="0.45">
      <c r="A865" t="s">
        <v>1223</v>
      </c>
      <c r="B865">
        <v>45605</v>
      </c>
      <c r="C865" t="s">
        <v>16</v>
      </c>
      <c r="D865" t="s">
        <v>17</v>
      </c>
      <c r="E865">
        <v>3</v>
      </c>
      <c r="F865">
        <v>10</v>
      </c>
      <c r="G865">
        <v>2.39</v>
      </c>
      <c r="H865" t="s">
        <v>449</v>
      </c>
      <c r="I865" t="s">
        <v>450</v>
      </c>
      <c r="J865" t="s">
        <v>20</v>
      </c>
      <c r="K865" t="s">
        <v>34</v>
      </c>
      <c r="L865">
        <f t="shared" si="39"/>
        <v>30</v>
      </c>
      <c r="M865">
        <f t="shared" si="40"/>
        <v>7.17</v>
      </c>
      <c r="N865">
        <f t="shared" si="41"/>
        <v>22.83</v>
      </c>
      <c r="O865" cm="1">
        <f t="array" ref="O865">_xlfn.LET(_xlpm.cat, Greenleaf[[#This Row],[Product Category]], _xlpm.prices, _xlfn._xlws.FILTER(Greenleaf[Unit Price], (Greenleaf[Product Category]=_xlpm.cat)*(Greenleaf[Unit Price]&lt;&gt;"")), IFERROR(MEDIAN(_xlpm.prices), ""))</f>
        <v>10</v>
      </c>
      <c r="P865">
        <f>IF(Greenleaf[[#This Row],[Shipment Status]]="Returned",1,0)</f>
        <v>0</v>
      </c>
      <c r="Q865">
        <f>IF(Greenleaf[[#This Row],[Shipment Status]]="Delivered",1,0)</f>
        <v>0</v>
      </c>
    </row>
    <row r="866" spans="1:17" x14ac:dyDescent="0.45">
      <c r="A866" t="s">
        <v>1224</v>
      </c>
      <c r="B866">
        <v>45605</v>
      </c>
      <c r="C866" t="s">
        <v>16</v>
      </c>
      <c r="D866" t="s">
        <v>17</v>
      </c>
      <c r="E866">
        <v>5</v>
      </c>
      <c r="F866">
        <v>10</v>
      </c>
      <c r="G866">
        <v>2.48</v>
      </c>
      <c r="H866" t="s">
        <v>416</v>
      </c>
      <c r="I866" t="s">
        <v>403</v>
      </c>
      <c r="J866" t="s">
        <v>47</v>
      </c>
      <c r="K866" t="s">
        <v>70</v>
      </c>
      <c r="L866">
        <f t="shared" si="39"/>
        <v>50</v>
      </c>
      <c r="M866">
        <f t="shared" si="40"/>
        <v>12.4</v>
      </c>
      <c r="N866">
        <f t="shared" si="41"/>
        <v>37.6</v>
      </c>
      <c r="O866" cm="1">
        <f t="array" ref="O866">_xlfn.LET(_xlpm.cat, Greenleaf[[#This Row],[Product Category]], _xlpm.prices, _xlfn._xlws.FILTER(Greenleaf[Unit Price], (Greenleaf[Product Category]=_xlpm.cat)*(Greenleaf[Unit Price]&lt;&gt;"")), IFERROR(MEDIAN(_xlpm.prices), ""))</f>
        <v>10</v>
      </c>
      <c r="P866">
        <f>IF(Greenleaf[[#This Row],[Shipment Status]]="Returned",1,0)</f>
        <v>0</v>
      </c>
      <c r="Q866">
        <f>IF(Greenleaf[[#This Row],[Shipment Status]]="Delivered",1,0)</f>
        <v>0</v>
      </c>
    </row>
    <row r="867" spans="1:17" x14ac:dyDescent="0.45">
      <c r="A867" t="s">
        <v>1225</v>
      </c>
      <c r="B867">
        <v>45606</v>
      </c>
      <c r="C867" t="s">
        <v>23</v>
      </c>
      <c r="D867" t="s">
        <v>24</v>
      </c>
      <c r="E867">
        <v>4</v>
      </c>
      <c r="F867">
        <v>25</v>
      </c>
      <c r="G867">
        <v>6.48</v>
      </c>
      <c r="H867" t="s">
        <v>92</v>
      </c>
      <c r="I867" t="s">
        <v>93</v>
      </c>
      <c r="J867" t="s">
        <v>27</v>
      </c>
      <c r="K867" t="s">
        <v>134</v>
      </c>
      <c r="L867">
        <f t="shared" si="39"/>
        <v>100</v>
      </c>
      <c r="M867">
        <f t="shared" si="40"/>
        <v>25.92</v>
      </c>
      <c r="N867">
        <f t="shared" si="41"/>
        <v>74.08</v>
      </c>
      <c r="O867" cm="1">
        <f t="array" ref="O867">_xlfn.LET(_xlpm.cat, Greenleaf[[#This Row],[Product Category]], _xlpm.prices, _xlfn._xlws.FILTER(Greenleaf[Unit Price], (Greenleaf[Product Category]=_xlpm.cat)*(Greenleaf[Unit Price]&lt;&gt;"")), IFERROR(MEDIAN(_xlpm.prices), ""))</f>
        <v>25</v>
      </c>
      <c r="P867">
        <f>IF(Greenleaf[[#This Row],[Shipment Status]]="Returned",1,0)</f>
        <v>0</v>
      </c>
      <c r="Q867">
        <f>IF(Greenleaf[[#This Row],[Shipment Status]]="Delivered",1,0)</f>
        <v>1</v>
      </c>
    </row>
    <row r="868" spans="1:17" x14ac:dyDescent="0.45">
      <c r="A868" t="s">
        <v>1226</v>
      </c>
      <c r="B868">
        <v>45606</v>
      </c>
      <c r="C868" t="s">
        <v>66</v>
      </c>
      <c r="D868" t="s">
        <v>67</v>
      </c>
      <c r="E868">
        <v>8</v>
      </c>
      <c r="F868">
        <v>12</v>
      </c>
      <c r="G868">
        <v>3.72</v>
      </c>
      <c r="H868" t="s">
        <v>256</v>
      </c>
      <c r="I868" t="s">
        <v>257</v>
      </c>
      <c r="J868" t="s">
        <v>20</v>
      </c>
      <c r="K868" t="s">
        <v>56</v>
      </c>
      <c r="L868">
        <f t="shared" si="39"/>
        <v>96</v>
      </c>
      <c r="M868">
        <f t="shared" si="40"/>
        <v>29.76</v>
      </c>
      <c r="N868">
        <f t="shared" si="41"/>
        <v>66.239999999999995</v>
      </c>
      <c r="O868" cm="1">
        <f t="array" ref="O868">_xlfn.LET(_xlpm.cat, Greenleaf[[#This Row],[Product Category]], _xlpm.prices, _xlfn._xlws.FILTER(Greenleaf[Unit Price], (Greenleaf[Product Category]=_xlpm.cat)*(Greenleaf[Unit Price]&lt;&gt;"")), IFERROR(MEDIAN(_xlpm.prices), ""))</f>
        <v>12</v>
      </c>
      <c r="P868">
        <f>IF(Greenleaf[[#This Row],[Shipment Status]]="Returned",1,0)</f>
        <v>0</v>
      </c>
      <c r="Q868">
        <f>IF(Greenleaf[[#This Row],[Shipment Status]]="Delivered",1,0)</f>
        <v>0</v>
      </c>
    </row>
    <row r="869" spans="1:17" x14ac:dyDescent="0.45">
      <c r="A869" t="s">
        <v>1227</v>
      </c>
      <c r="B869">
        <v>45606</v>
      </c>
      <c r="C869" t="s">
        <v>66</v>
      </c>
      <c r="D869" t="s">
        <v>67</v>
      </c>
      <c r="E869">
        <v>8</v>
      </c>
      <c r="F869">
        <v>12</v>
      </c>
      <c r="G869">
        <v>3.33</v>
      </c>
      <c r="H869" t="s">
        <v>731</v>
      </c>
      <c r="I869" t="s">
        <v>732</v>
      </c>
      <c r="J869" t="s">
        <v>27</v>
      </c>
      <c r="K869" t="s">
        <v>21</v>
      </c>
      <c r="L869">
        <f t="shared" si="39"/>
        <v>96</v>
      </c>
      <c r="M869">
        <f t="shared" si="40"/>
        <v>26.64</v>
      </c>
      <c r="N869">
        <f t="shared" si="41"/>
        <v>69.36</v>
      </c>
      <c r="O869" cm="1">
        <f t="array" ref="O869">_xlfn.LET(_xlpm.cat, Greenleaf[[#This Row],[Product Category]], _xlpm.prices, _xlfn._xlws.FILTER(Greenleaf[Unit Price], (Greenleaf[Product Category]=_xlpm.cat)*(Greenleaf[Unit Price]&lt;&gt;"")), IFERROR(MEDIAN(_xlpm.prices), ""))</f>
        <v>12</v>
      </c>
      <c r="P869">
        <f>IF(Greenleaf[[#This Row],[Shipment Status]]="Returned",1,0)</f>
        <v>0</v>
      </c>
      <c r="Q869">
        <f>IF(Greenleaf[[#This Row],[Shipment Status]]="Delivered",1,0)</f>
        <v>1</v>
      </c>
    </row>
    <row r="870" spans="1:17" x14ac:dyDescent="0.45">
      <c r="A870" t="s">
        <v>1228</v>
      </c>
      <c r="B870">
        <v>45606</v>
      </c>
      <c r="C870" t="s">
        <v>16</v>
      </c>
      <c r="D870" t="s">
        <v>17</v>
      </c>
      <c r="E870">
        <v>4</v>
      </c>
      <c r="F870">
        <v>10</v>
      </c>
      <c r="G870">
        <v>2.23</v>
      </c>
      <c r="H870" t="s">
        <v>1166</v>
      </c>
      <c r="I870" t="s">
        <v>1167</v>
      </c>
      <c r="J870" t="s">
        <v>27</v>
      </c>
      <c r="K870" t="s">
        <v>74</v>
      </c>
      <c r="L870">
        <f t="shared" si="39"/>
        <v>40</v>
      </c>
      <c r="M870">
        <f t="shared" si="40"/>
        <v>8.92</v>
      </c>
      <c r="N870">
        <f t="shared" si="41"/>
        <v>31.08</v>
      </c>
      <c r="O870" cm="1">
        <f t="array" ref="O870">_xlfn.LET(_xlpm.cat, Greenleaf[[#This Row],[Product Category]], _xlpm.prices, _xlfn._xlws.FILTER(Greenleaf[Unit Price], (Greenleaf[Product Category]=_xlpm.cat)*(Greenleaf[Unit Price]&lt;&gt;"")), IFERROR(MEDIAN(_xlpm.prices), ""))</f>
        <v>10</v>
      </c>
      <c r="P870">
        <f>IF(Greenleaf[[#This Row],[Shipment Status]]="Returned",1,0)</f>
        <v>0</v>
      </c>
      <c r="Q870">
        <f>IF(Greenleaf[[#This Row],[Shipment Status]]="Delivered",1,0)</f>
        <v>1</v>
      </c>
    </row>
    <row r="871" spans="1:17" x14ac:dyDescent="0.45">
      <c r="A871" t="s">
        <v>1229</v>
      </c>
      <c r="B871">
        <v>45607</v>
      </c>
      <c r="C871" t="s">
        <v>30</v>
      </c>
      <c r="D871" t="s">
        <v>31</v>
      </c>
      <c r="E871">
        <v>4</v>
      </c>
      <c r="F871">
        <v>40</v>
      </c>
      <c r="G871">
        <v>13.67</v>
      </c>
      <c r="H871" t="s">
        <v>530</v>
      </c>
      <c r="I871" t="s">
        <v>531</v>
      </c>
      <c r="J871" t="s">
        <v>27</v>
      </c>
      <c r="K871" t="s">
        <v>34</v>
      </c>
      <c r="L871">
        <f t="shared" si="39"/>
        <v>160</v>
      </c>
      <c r="M871">
        <f t="shared" si="40"/>
        <v>54.68</v>
      </c>
      <c r="N871">
        <f t="shared" si="41"/>
        <v>105.32</v>
      </c>
      <c r="O871" cm="1">
        <f t="array" ref="O871">_xlfn.LET(_xlpm.cat, Greenleaf[[#This Row],[Product Category]], _xlpm.prices, _xlfn._xlws.FILTER(Greenleaf[Unit Price], (Greenleaf[Product Category]=_xlpm.cat)*(Greenleaf[Unit Price]&lt;&gt;"")), IFERROR(MEDIAN(_xlpm.prices), ""))</f>
        <v>40</v>
      </c>
      <c r="P871">
        <f>IF(Greenleaf[[#This Row],[Shipment Status]]="Returned",1,0)</f>
        <v>0</v>
      </c>
      <c r="Q871">
        <f>IF(Greenleaf[[#This Row],[Shipment Status]]="Delivered",1,0)</f>
        <v>1</v>
      </c>
    </row>
    <row r="872" spans="1:17" x14ac:dyDescent="0.45">
      <c r="A872" t="s">
        <v>1230</v>
      </c>
      <c r="B872">
        <v>45607</v>
      </c>
      <c r="C872" t="s">
        <v>30</v>
      </c>
      <c r="D872" t="s">
        <v>31</v>
      </c>
      <c r="E872">
        <v>10</v>
      </c>
      <c r="F872">
        <v>40</v>
      </c>
      <c r="G872">
        <v>8.85</v>
      </c>
      <c r="H872" t="s">
        <v>337</v>
      </c>
      <c r="I872" t="s">
        <v>183</v>
      </c>
      <c r="J872" t="s">
        <v>27</v>
      </c>
      <c r="K872" t="s">
        <v>43</v>
      </c>
      <c r="L872">
        <f t="shared" si="39"/>
        <v>400</v>
      </c>
      <c r="M872">
        <f t="shared" si="40"/>
        <v>88.5</v>
      </c>
      <c r="N872">
        <f t="shared" si="41"/>
        <v>311.5</v>
      </c>
      <c r="O872" cm="1">
        <f t="array" ref="O872">_xlfn.LET(_xlpm.cat, Greenleaf[[#This Row],[Product Category]], _xlpm.prices, _xlfn._xlws.FILTER(Greenleaf[Unit Price], (Greenleaf[Product Category]=_xlpm.cat)*(Greenleaf[Unit Price]&lt;&gt;"")), IFERROR(MEDIAN(_xlpm.prices), ""))</f>
        <v>40</v>
      </c>
      <c r="P872">
        <f>IF(Greenleaf[[#This Row],[Shipment Status]]="Returned",1,0)</f>
        <v>0</v>
      </c>
      <c r="Q872">
        <f>IF(Greenleaf[[#This Row],[Shipment Status]]="Delivered",1,0)</f>
        <v>1</v>
      </c>
    </row>
    <row r="873" spans="1:17" x14ac:dyDescent="0.45">
      <c r="A873" t="s">
        <v>1231</v>
      </c>
      <c r="B873">
        <v>45607</v>
      </c>
      <c r="C873" t="s">
        <v>66</v>
      </c>
      <c r="D873" t="s">
        <v>67</v>
      </c>
      <c r="E873">
        <v>9</v>
      </c>
      <c r="F873">
        <v>12</v>
      </c>
      <c r="G873">
        <v>2.5499999999999998</v>
      </c>
      <c r="H873" t="s">
        <v>1232</v>
      </c>
      <c r="I873" t="s">
        <v>1233</v>
      </c>
      <c r="J873" t="s">
        <v>27</v>
      </c>
      <c r="K873" t="s">
        <v>38</v>
      </c>
      <c r="L873">
        <f t="shared" si="39"/>
        <v>108</v>
      </c>
      <c r="M873">
        <f t="shared" si="40"/>
        <v>22.95</v>
      </c>
      <c r="N873">
        <f t="shared" si="41"/>
        <v>85.05</v>
      </c>
      <c r="O873" cm="1">
        <f t="array" ref="O873">_xlfn.LET(_xlpm.cat, Greenleaf[[#This Row],[Product Category]], _xlpm.prices, _xlfn._xlws.FILTER(Greenleaf[Unit Price], (Greenleaf[Product Category]=_xlpm.cat)*(Greenleaf[Unit Price]&lt;&gt;"")), IFERROR(MEDIAN(_xlpm.prices), ""))</f>
        <v>12</v>
      </c>
      <c r="P873">
        <f>IF(Greenleaf[[#This Row],[Shipment Status]]="Returned",1,0)</f>
        <v>0</v>
      </c>
      <c r="Q873">
        <f>IF(Greenleaf[[#This Row],[Shipment Status]]="Delivered",1,0)</f>
        <v>1</v>
      </c>
    </row>
    <row r="874" spans="1:17" x14ac:dyDescent="0.45">
      <c r="A874" t="s">
        <v>1234</v>
      </c>
      <c r="B874">
        <v>45607</v>
      </c>
      <c r="C874" t="s">
        <v>49</v>
      </c>
      <c r="D874" t="s">
        <v>50</v>
      </c>
      <c r="E874">
        <v>4</v>
      </c>
      <c r="F874">
        <v>15</v>
      </c>
      <c r="G874">
        <v>5.0199999999999996</v>
      </c>
      <c r="H874" t="s">
        <v>1049</v>
      </c>
      <c r="I874" t="s">
        <v>574</v>
      </c>
      <c r="J874" t="s">
        <v>27</v>
      </c>
      <c r="K874" t="s">
        <v>28</v>
      </c>
      <c r="L874">
        <f t="shared" si="39"/>
        <v>60</v>
      </c>
      <c r="M874">
        <f t="shared" si="40"/>
        <v>20.079999999999998</v>
      </c>
      <c r="N874">
        <f t="shared" si="41"/>
        <v>39.92</v>
      </c>
      <c r="O874" cm="1">
        <f t="array" ref="O874">_xlfn.LET(_xlpm.cat, Greenleaf[[#This Row],[Product Category]], _xlpm.prices, _xlfn._xlws.FILTER(Greenleaf[Unit Price], (Greenleaf[Product Category]=_xlpm.cat)*(Greenleaf[Unit Price]&lt;&gt;"")), IFERROR(MEDIAN(_xlpm.prices), ""))</f>
        <v>15</v>
      </c>
      <c r="P874">
        <f>IF(Greenleaf[[#This Row],[Shipment Status]]="Returned",1,0)</f>
        <v>0</v>
      </c>
      <c r="Q874">
        <f>IF(Greenleaf[[#This Row],[Shipment Status]]="Delivered",1,0)</f>
        <v>1</v>
      </c>
    </row>
    <row r="875" spans="1:17" x14ac:dyDescent="0.45">
      <c r="A875" t="s">
        <v>1235</v>
      </c>
      <c r="B875">
        <v>45607</v>
      </c>
      <c r="C875" t="s">
        <v>49</v>
      </c>
      <c r="D875" t="s">
        <v>50</v>
      </c>
      <c r="E875">
        <v>1</v>
      </c>
      <c r="F875">
        <v>15</v>
      </c>
      <c r="G875">
        <v>5.27</v>
      </c>
      <c r="H875" t="s">
        <v>1160</v>
      </c>
      <c r="I875" t="s">
        <v>93</v>
      </c>
      <c r="J875" t="s">
        <v>27</v>
      </c>
      <c r="K875" t="s">
        <v>28</v>
      </c>
      <c r="L875">
        <f t="shared" si="39"/>
        <v>15</v>
      </c>
      <c r="M875">
        <f t="shared" si="40"/>
        <v>5.27</v>
      </c>
      <c r="N875">
        <f t="shared" si="41"/>
        <v>9.73</v>
      </c>
      <c r="O875" cm="1">
        <f t="array" ref="O875">_xlfn.LET(_xlpm.cat, Greenleaf[[#This Row],[Product Category]], _xlpm.prices, _xlfn._xlws.FILTER(Greenleaf[Unit Price], (Greenleaf[Product Category]=_xlpm.cat)*(Greenleaf[Unit Price]&lt;&gt;"")), IFERROR(MEDIAN(_xlpm.prices), ""))</f>
        <v>15</v>
      </c>
      <c r="P875">
        <f>IF(Greenleaf[[#This Row],[Shipment Status]]="Returned",1,0)</f>
        <v>0</v>
      </c>
      <c r="Q875">
        <f>IF(Greenleaf[[#This Row],[Shipment Status]]="Delivered",1,0)</f>
        <v>1</v>
      </c>
    </row>
    <row r="876" spans="1:17" x14ac:dyDescent="0.45">
      <c r="A876" t="s">
        <v>1236</v>
      </c>
      <c r="B876">
        <v>45607</v>
      </c>
      <c r="C876" t="s">
        <v>49</v>
      </c>
      <c r="D876" t="s">
        <v>50</v>
      </c>
      <c r="E876">
        <v>8</v>
      </c>
      <c r="F876">
        <v>15</v>
      </c>
      <c r="G876">
        <v>3.79</v>
      </c>
      <c r="H876" t="s">
        <v>142</v>
      </c>
      <c r="I876" t="s">
        <v>143</v>
      </c>
      <c r="J876" t="s">
        <v>27</v>
      </c>
      <c r="K876" t="s">
        <v>43</v>
      </c>
      <c r="L876">
        <f t="shared" si="39"/>
        <v>120</v>
      </c>
      <c r="M876">
        <f t="shared" si="40"/>
        <v>30.32</v>
      </c>
      <c r="N876">
        <f t="shared" si="41"/>
        <v>89.68</v>
      </c>
      <c r="O876" cm="1">
        <f t="array" ref="O876">_xlfn.LET(_xlpm.cat, Greenleaf[[#This Row],[Product Category]], _xlpm.prices, _xlfn._xlws.FILTER(Greenleaf[Unit Price], (Greenleaf[Product Category]=_xlpm.cat)*(Greenleaf[Unit Price]&lt;&gt;"")), IFERROR(MEDIAN(_xlpm.prices), ""))</f>
        <v>15</v>
      </c>
      <c r="P876">
        <f>IF(Greenleaf[[#This Row],[Shipment Status]]="Returned",1,0)</f>
        <v>0</v>
      </c>
      <c r="Q876">
        <f>IF(Greenleaf[[#This Row],[Shipment Status]]="Delivered",1,0)</f>
        <v>1</v>
      </c>
    </row>
    <row r="877" spans="1:17" x14ac:dyDescent="0.45">
      <c r="A877" t="s">
        <v>1237</v>
      </c>
      <c r="B877">
        <v>45608</v>
      </c>
      <c r="C877" t="s">
        <v>16</v>
      </c>
      <c r="D877" t="s">
        <v>17</v>
      </c>
      <c r="E877">
        <v>8</v>
      </c>
      <c r="F877">
        <v>10</v>
      </c>
      <c r="G877">
        <v>2.94</v>
      </c>
      <c r="H877" t="s">
        <v>191</v>
      </c>
      <c r="I877" t="s">
        <v>192</v>
      </c>
      <c r="J877" t="s">
        <v>27</v>
      </c>
      <c r="K877" t="s">
        <v>38</v>
      </c>
      <c r="L877">
        <f t="shared" si="39"/>
        <v>80</v>
      </c>
      <c r="M877">
        <f t="shared" si="40"/>
        <v>23.52</v>
      </c>
      <c r="N877">
        <f t="shared" si="41"/>
        <v>56.480000000000004</v>
      </c>
      <c r="O877" cm="1">
        <f t="array" ref="O877">_xlfn.LET(_xlpm.cat, Greenleaf[[#This Row],[Product Category]], _xlpm.prices, _xlfn._xlws.FILTER(Greenleaf[Unit Price], (Greenleaf[Product Category]=_xlpm.cat)*(Greenleaf[Unit Price]&lt;&gt;"")), IFERROR(MEDIAN(_xlpm.prices), ""))</f>
        <v>10</v>
      </c>
      <c r="P877">
        <f>IF(Greenleaf[[#This Row],[Shipment Status]]="Returned",1,0)</f>
        <v>0</v>
      </c>
      <c r="Q877">
        <f>IF(Greenleaf[[#This Row],[Shipment Status]]="Delivered",1,0)</f>
        <v>1</v>
      </c>
    </row>
    <row r="878" spans="1:17" x14ac:dyDescent="0.45">
      <c r="A878" t="s">
        <v>1238</v>
      </c>
      <c r="B878">
        <v>45608</v>
      </c>
      <c r="C878" t="s">
        <v>23</v>
      </c>
      <c r="D878" t="s">
        <v>24</v>
      </c>
      <c r="E878">
        <v>10</v>
      </c>
      <c r="F878">
        <v>25</v>
      </c>
      <c r="G878">
        <v>6.9</v>
      </c>
      <c r="H878" t="s">
        <v>259</v>
      </c>
      <c r="I878" t="s">
        <v>260</v>
      </c>
      <c r="J878" t="s">
        <v>20</v>
      </c>
      <c r="K878" t="s">
        <v>74</v>
      </c>
      <c r="L878">
        <f t="shared" si="39"/>
        <v>250</v>
      </c>
      <c r="M878">
        <f t="shared" si="40"/>
        <v>69</v>
      </c>
      <c r="N878">
        <f t="shared" si="41"/>
        <v>181</v>
      </c>
      <c r="O878" cm="1">
        <f t="array" ref="O878">_xlfn.LET(_xlpm.cat, Greenleaf[[#This Row],[Product Category]], _xlpm.prices, _xlfn._xlws.FILTER(Greenleaf[Unit Price], (Greenleaf[Product Category]=_xlpm.cat)*(Greenleaf[Unit Price]&lt;&gt;"")), IFERROR(MEDIAN(_xlpm.prices), ""))</f>
        <v>25</v>
      </c>
      <c r="P878">
        <f>IF(Greenleaf[[#This Row],[Shipment Status]]="Returned",1,0)</f>
        <v>0</v>
      </c>
      <c r="Q878">
        <f>IF(Greenleaf[[#This Row],[Shipment Status]]="Delivered",1,0)</f>
        <v>0</v>
      </c>
    </row>
    <row r="879" spans="1:17" x14ac:dyDescent="0.45">
      <c r="A879" t="s">
        <v>1239</v>
      </c>
      <c r="B879">
        <v>45609</v>
      </c>
      <c r="C879" t="s">
        <v>30</v>
      </c>
      <c r="D879" t="s">
        <v>31</v>
      </c>
      <c r="E879">
        <v>9</v>
      </c>
      <c r="F879">
        <v>40</v>
      </c>
      <c r="G879">
        <v>14.51</v>
      </c>
      <c r="H879" t="s">
        <v>251</v>
      </c>
      <c r="I879" t="s">
        <v>252</v>
      </c>
      <c r="J879" t="s">
        <v>27</v>
      </c>
      <c r="K879" t="s">
        <v>34</v>
      </c>
      <c r="L879">
        <f t="shared" si="39"/>
        <v>360</v>
      </c>
      <c r="M879">
        <f t="shared" si="40"/>
        <v>130.59</v>
      </c>
      <c r="N879">
        <f t="shared" si="41"/>
        <v>229.41</v>
      </c>
      <c r="O879" cm="1">
        <f t="array" ref="O879">_xlfn.LET(_xlpm.cat, Greenleaf[[#This Row],[Product Category]], _xlpm.prices, _xlfn._xlws.FILTER(Greenleaf[Unit Price], (Greenleaf[Product Category]=_xlpm.cat)*(Greenleaf[Unit Price]&lt;&gt;"")), IFERROR(MEDIAN(_xlpm.prices), ""))</f>
        <v>40</v>
      </c>
      <c r="P879">
        <f>IF(Greenleaf[[#This Row],[Shipment Status]]="Returned",1,0)</f>
        <v>0</v>
      </c>
      <c r="Q879">
        <f>IF(Greenleaf[[#This Row],[Shipment Status]]="Delivered",1,0)</f>
        <v>1</v>
      </c>
    </row>
    <row r="880" spans="1:17" x14ac:dyDescent="0.45">
      <c r="A880" t="s">
        <v>1240</v>
      </c>
      <c r="B880">
        <v>45609</v>
      </c>
      <c r="C880" t="s">
        <v>49</v>
      </c>
      <c r="D880" t="s">
        <v>50</v>
      </c>
      <c r="E880">
        <v>9</v>
      </c>
      <c r="F880">
        <v>15</v>
      </c>
      <c r="G880">
        <v>4.51</v>
      </c>
      <c r="H880" t="s">
        <v>238</v>
      </c>
      <c r="I880" t="s">
        <v>239</v>
      </c>
      <c r="J880" t="s">
        <v>47</v>
      </c>
      <c r="K880" t="s">
        <v>59</v>
      </c>
      <c r="L880">
        <f t="shared" si="39"/>
        <v>135</v>
      </c>
      <c r="M880">
        <f t="shared" si="40"/>
        <v>40.589999999999996</v>
      </c>
      <c r="N880">
        <f t="shared" si="41"/>
        <v>94.41</v>
      </c>
      <c r="O880" cm="1">
        <f t="array" ref="O880">_xlfn.LET(_xlpm.cat, Greenleaf[[#This Row],[Product Category]], _xlpm.prices, _xlfn._xlws.FILTER(Greenleaf[Unit Price], (Greenleaf[Product Category]=_xlpm.cat)*(Greenleaf[Unit Price]&lt;&gt;"")), IFERROR(MEDIAN(_xlpm.prices), ""))</f>
        <v>15</v>
      </c>
      <c r="P880">
        <f>IF(Greenleaf[[#This Row],[Shipment Status]]="Returned",1,0)</f>
        <v>0</v>
      </c>
      <c r="Q880">
        <f>IF(Greenleaf[[#This Row],[Shipment Status]]="Delivered",1,0)</f>
        <v>0</v>
      </c>
    </row>
    <row r="881" spans="1:17" x14ac:dyDescent="0.45">
      <c r="A881" t="s">
        <v>1241</v>
      </c>
      <c r="B881">
        <v>45609</v>
      </c>
      <c r="C881" t="s">
        <v>30</v>
      </c>
      <c r="D881" t="s">
        <v>31</v>
      </c>
      <c r="E881">
        <v>8</v>
      </c>
      <c r="F881">
        <v>40</v>
      </c>
      <c r="G881">
        <v>14.12</v>
      </c>
      <c r="H881" t="s">
        <v>142</v>
      </c>
      <c r="I881" t="s">
        <v>143</v>
      </c>
      <c r="J881" t="s">
        <v>27</v>
      </c>
      <c r="K881" t="s">
        <v>59</v>
      </c>
      <c r="L881">
        <f t="shared" si="39"/>
        <v>320</v>
      </c>
      <c r="M881">
        <f t="shared" si="40"/>
        <v>112.96</v>
      </c>
      <c r="N881">
        <f t="shared" si="41"/>
        <v>207.04000000000002</v>
      </c>
      <c r="O881" cm="1">
        <f t="array" ref="O881">_xlfn.LET(_xlpm.cat, Greenleaf[[#This Row],[Product Category]], _xlpm.prices, _xlfn._xlws.FILTER(Greenleaf[Unit Price], (Greenleaf[Product Category]=_xlpm.cat)*(Greenleaf[Unit Price]&lt;&gt;"")), IFERROR(MEDIAN(_xlpm.prices), ""))</f>
        <v>40</v>
      </c>
      <c r="P881">
        <f>IF(Greenleaf[[#This Row],[Shipment Status]]="Returned",1,0)</f>
        <v>0</v>
      </c>
      <c r="Q881">
        <f>IF(Greenleaf[[#This Row],[Shipment Status]]="Delivered",1,0)</f>
        <v>1</v>
      </c>
    </row>
    <row r="882" spans="1:17" x14ac:dyDescent="0.45">
      <c r="A882" t="s">
        <v>1242</v>
      </c>
      <c r="B882">
        <v>45609</v>
      </c>
      <c r="C882" t="s">
        <v>30</v>
      </c>
      <c r="D882" t="s">
        <v>31</v>
      </c>
      <c r="E882">
        <v>1</v>
      </c>
      <c r="F882">
        <v>40</v>
      </c>
      <c r="G882">
        <v>9.23</v>
      </c>
      <c r="H882" t="s">
        <v>494</v>
      </c>
      <c r="I882" t="s">
        <v>495</v>
      </c>
      <c r="J882" t="s">
        <v>20</v>
      </c>
      <c r="K882" t="s">
        <v>21</v>
      </c>
      <c r="L882">
        <f t="shared" si="39"/>
        <v>40</v>
      </c>
      <c r="M882">
        <f t="shared" si="40"/>
        <v>9.23</v>
      </c>
      <c r="N882">
        <f t="shared" si="41"/>
        <v>30.77</v>
      </c>
      <c r="O882" cm="1">
        <f t="array" ref="O882">_xlfn.LET(_xlpm.cat, Greenleaf[[#This Row],[Product Category]], _xlpm.prices, _xlfn._xlws.FILTER(Greenleaf[Unit Price], (Greenleaf[Product Category]=_xlpm.cat)*(Greenleaf[Unit Price]&lt;&gt;"")), IFERROR(MEDIAN(_xlpm.prices), ""))</f>
        <v>40</v>
      </c>
      <c r="P882">
        <f>IF(Greenleaf[[#This Row],[Shipment Status]]="Returned",1,0)</f>
        <v>0</v>
      </c>
      <c r="Q882">
        <f>IF(Greenleaf[[#This Row],[Shipment Status]]="Delivered",1,0)</f>
        <v>0</v>
      </c>
    </row>
    <row r="883" spans="1:17" x14ac:dyDescent="0.45">
      <c r="A883" t="s">
        <v>1243</v>
      </c>
      <c r="B883">
        <v>45610</v>
      </c>
      <c r="C883" t="s">
        <v>66</v>
      </c>
      <c r="D883" t="s">
        <v>67</v>
      </c>
      <c r="E883">
        <v>3</v>
      </c>
      <c r="F883">
        <v>12</v>
      </c>
      <c r="G883">
        <v>3.16</v>
      </c>
      <c r="H883" t="s">
        <v>102</v>
      </c>
      <c r="I883" t="s">
        <v>97</v>
      </c>
      <c r="J883" t="s">
        <v>27</v>
      </c>
      <c r="K883" t="s">
        <v>134</v>
      </c>
      <c r="L883">
        <f t="shared" si="39"/>
        <v>36</v>
      </c>
      <c r="M883">
        <f t="shared" si="40"/>
        <v>9.48</v>
      </c>
      <c r="N883">
        <f t="shared" si="41"/>
        <v>26.52</v>
      </c>
      <c r="O883" cm="1">
        <f t="array" ref="O883">_xlfn.LET(_xlpm.cat, Greenleaf[[#This Row],[Product Category]], _xlpm.prices, _xlfn._xlws.FILTER(Greenleaf[Unit Price], (Greenleaf[Product Category]=_xlpm.cat)*(Greenleaf[Unit Price]&lt;&gt;"")), IFERROR(MEDIAN(_xlpm.prices), ""))</f>
        <v>12</v>
      </c>
      <c r="P883">
        <f>IF(Greenleaf[[#This Row],[Shipment Status]]="Returned",1,0)</f>
        <v>0</v>
      </c>
      <c r="Q883">
        <f>IF(Greenleaf[[#This Row],[Shipment Status]]="Delivered",1,0)</f>
        <v>1</v>
      </c>
    </row>
    <row r="884" spans="1:17" x14ac:dyDescent="0.45">
      <c r="A884" t="s">
        <v>1244</v>
      </c>
      <c r="B884">
        <v>45610</v>
      </c>
      <c r="C884" t="s">
        <v>23</v>
      </c>
      <c r="D884" t="s">
        <v>24</v>
      </c>
      <c r="E884">
        <v>8</v>
      </c>
      <c r="F884">
        <v>25</v>
      </c>
      <c r="G884">
        <v>9.1199999999999992</v>
      </c>
      <c r="H884" t="s">
        <v>174</v>
      </c>
      <c r="I884" t="s">
        <v>112</v>
      </c>
      <c r="J884" t="s">
        <v>27</v>
      </c>
      <c r="K884" t="s">
        <v>34</v>
      </c>
      <c r="L884">
        <f t="shared" si="39"/>
        <v>200</v>
      </c>
      <c r="M884">
        <f t="shared" si="40"/>
        <v>72.959999999999994</v>
      </c>
      <c r="N884">
        <f t="shared" si="41"/>
        <v>127.04</v>
      </c>
      <c r="O884" cm="1">
        <f t="array" ref="O884">_xlfn.LET(_xlpm.cat, Greenleaf[[#This Row],[Product Category]], _xlpm.prices, _xlfn._xlws.FILTER(Greenleaf[Unit Price], (Greenleaf[Product Category]=_xlpm.cat)*(Greenleaf[Unit Price]&lt;&gt;"")), IFERROR(MEDIAN(_xlpm.prices), ""))</f>
        <v>25</v>
      </c>
      <c r="P884">
        <f>IF(Greenleaf[[#This Row],[Shipment Status]]="Returned",1,0)</f>
        <v>0</v>
      </c>
      <c r="Q884">
        <f>IF(Greenleaf[[#This Row],[Shipment Status]]="Delivered",1,0)</f>
        <v>1</v>
      </c>
    </row>
    <row r="885" spans="1:17" x14ac:dyDescent="0.45">
      <c r="A885" t="s">
        <v>1245</v>
      </c>
      <c r="B885">
        <v>45611</v>
      </c>
      <c r="C885" t="s">
        <v>30</v>
      </c>
      <c r="D885" t="s">
        <v>31</v>
      </c>
      <c r="E885">
        <v>6</v>
      </c>
      <c r="F885">
        <v>40</v>
      </c>
      <c r="G885">
        <v>13.56</v>
      </c>
      <c r="H885" t="s">
        <v>594</v>
      </c>
      <c r="I885" t="s">
        <v>217</v>
      </c>
      <c r="J885" t="s">
        <v>27</v>
      </c>
      <c r="K885" t="s">
        <v>56</v>
      </c>
      <c r="L885">
        <f t="shared" si="39"/>
        <v>240</v>
      </c>
      <c r="M885">
        <f t="shared" si="40"/>
        <v>81.36</v>
      </c>
      <c r="N885">
        <f t="shared" si="41"/>
        <v>158.63999999999999</v>
      </c>
      <c r="O885" cm="1">
        <f t="array" ref="O885">_xlfn.LET(_xlpm.cat, Greenleaf[[#This Row],[Product Category]], _xlpm.prices, _xlfn._xlws.FILTER(Greenleaf[Unit Price], (Greenleaf[Product Category]=_xlpm.cat)*(Greenleaf[Unit Price]&lt;&gt;"")), IFERROR(MEDIAN(_xlpm.prices), ""))</f>
        <v>40</v>
      </c>
      <c r="P885">
        <f>IF(Greenleaf[[#This Row],[Shipment Status]]="Returned",1,0)</f>
        <v>0</v>
      </c>
      <c r="Q885">
        <f>IF(Greenleaf[[#This Row],[Shipment Status]]="Delivered",1,0)</f>
        <v>1</v>
      </c>
    </row>
    <row r="886" spans="1:17" x14ac:dyDescent="0.45">
      <c r="A886" t="s">
        <v>1246</v>
      </c>
      <c r="B886">
        <v>45612</v>
      </c>
      <c r="C886" t="s">
        <v>30</v>
      </c>
      <c r="D886" t="s">
        <v>31</v>
      </c>
      <c r="E886">
        <v>6</v>
      </c>
      <c r="F886">
        <v>40</v>
      </c>
      <c r="G886">
        <v>9.3699999999999992</v>
      </c>
      <c r="H886" t="s">
        <v>851</v>
      </c>
      <c r="I886" t="s">
        <v>852</v>
      </c>
      <c r="J886" t="s">
        <v>27</v>
      </c>
      <c r="K886" t="s">
        <v>43</v>
      </c>
      <c r="L886">
        <f t="shared" si="39"/>
        <v>240</v>
      </c>
      <c r="M886">
        <f t="shared" si="40"/>
        <v>56.22</v>
      </c>
      <c r="N886">
        <f t="shared" si="41"/>
        <v>183.78</v>
      </c>
      <c r="O886" cm="1">
        <f t="array" ref="O886">_xlfn.LET(_xlpm.cat, Greenleaf[[#This Row],[Product Category]], _xlpm.prices, _xlfn._xlws.FILTER(Greenleaf[Unit Price], (Greenleaf[Product Category]=_xlpm.cat)*(Greenleaf[Unit Price]&lt;&gt;"")), IFERROR(MEDIAN(_xlpm.prices), ""))</f>
        <v>40</v>
      </c>
      <c r="P886">
        <f>IF(Greenleaf[[#This Row],[Shipment Status]]="Returned",1,0)</f>
        <v>0</v>
      </c>
      <c r="Q886">
        <f>IF(Greenleaf[[#This Row],[Shipment Status]]="Delivered",1,0)</f>
        <v>1</v>
      </c>
    </row>
    <row r="887" spans="1:17" x14ac:dyDescent="0.45">
      <c r="A887" t="s">
        <v>1247</v>
      </c>
      <c r="B887">
        <v>45612</v>
      </c>
      <c r="C887" t="s">
        <v>23</v>
      </c>
      <c r="D887" t="s">
        <v>24</v>
      </c>
      <c r="E887">
        <v>4</v>
      </c>
      <c r="F887">
        <v>25</v>
      </c>
      <c r="G887">
        <v>7.64</v>
      </c>
      <c r="H887" t="s">
        <v>321</v>
      </c>
      <c r="I887" t="s">
        <v>322</v>
      </c>
      <c r="J887" t="s">
        <v>42</v>
      </c>
      <c r="K887" t="s">
        <v>56</v>
      </c>
      <c r="L887">
        <f t="shared" si="39"/>
        <v>100</v>
      </c>
      <c r="M887">
        <f t="shared" si="40"/>
        <v>30.56</v>
      </c>
      <c r="N887">
        <f t="shared" si="41"/>
        <v>69.44</v>
      </c>
      <c r="O887" cm="1">
        <f t="array" ref="O887">_xlfn.LET(_xlpm.cat, Greenleaf[[#This Row],[Product Category]], _xlpm.prices, _xlfn._xlws.FILTER(Greenleaf[Unit Price], (Greenleaf[Product Category]=_xlpm.cat)*(Greenleaf[Unit Price]&lt;&gt;"")), IFERROR(MEDIAN(_xlpm.prices), ""))</f>
        <v>25</v>
      </c>
      <c r="P887">
        <f>IF(Greenleaf[[#This Row],[Shipment Status]]="Returned",1,0)</f>
        <v>1</v>
      </c>
      <c r="Q887">
        <f>IF(Greenleaf[[#This Row],[Shipment Status]]="Delivered",1,0)</f>
        <v>0</v>
      </c>
    </row>
    <row r="888" spans="1:17" x14ac:dyDescent="0.45">
      <c r="A888" t="s">
        <v>1248</v>
      </c>
      <c r="B888">
        <v>45613</v>
      </c>
      <c r="C888" t="s">
        <v>23</v>
      </c>
      <c r="D888" t="s">
        <v>24</v>
      </c>
      <c r="E888">
        <v>9</v>
      </c>
      <c r="F888">
        <v>25</v>
      </c>
      <c r="G888">
        <v>6.72</v>
      </c>
      <c r="H888" t="s">
        <v>206</v>
      </c>
      <c r="I888" t="s">
        <v>207</v>
      </c>
      <c r="J888" t="s">
        <v>27</v>
      </c>
      <c r="K888" t="s">
        <v>134</v>
      </c>
      <c r="L888">
        <f t="shared" si="39"/>
        <v>225</v>
      </c>
      <c r="M888">
        <f t="shared" si="40"/>
        <v>60.48</v>
      </c>
      <c r="N888">
        <f t="shared" si="41"/>
        <v>164.52</v>
      </c>
      <c r="O888" cm="1">
        <f t="array" ref="O888">_xlfn.LET(_xlpm.cat, Greenleaf[[#This Row],[Product Category]], _xlpm.prices, _xlfn._xlws.FILTER(Greenleaf[Unit Price], (Greenleaf[Product Category]=_xlpm.cat)*(Greenleaf[Unit Price]&lt;&gt;"")), IFERROR(MEDIAN(_xlpm.prices), ""))</f>
        <v>25</v>
      </c>
      <c r="P888">
        <f>IF(Greenleaf[[#This Row],[Shipment Status]]="Returned",1,0)</f>
        <v>0</v>
      </c>
      <c r="Q888">
        <f>IF(Greenleaf[[#This Row],[Shipment Status]]="Delivered",1,0)</f>
        <v>1</v>
      </c>
    </row>
    <row r="889" spans="1:17" x14ac:dyDescent="0.45">
      <c r="A889" t="s">
        <v>1249</v>
      </c>
      <c r="B889">
        <v>45613</v>
      </c>
      <c r="C889" t="s">
        <v>66</v>
      </c>
      <c r="D889" t="s">
        <v>67</v>
      </c>
      <c r="E889">
        <v>6</v>
      </c>
      <c r="F889">
        <v>12</v>
      </c>
      <c r="G889">
        <v>4.53</v>
      </c>
      <c r="H889" t="s">
        <v>221</v>
      </c>
      <c r="I889" t="s">
        <v>222</v>
      </c>
      <c r="J889" t="s">
        <v>27</v>
      </c>
      <c r="K889" t="s">
        <v>56</v>
      </c>
      <c r="L889">
        <f t="shared" si="39"/>
        <v>72</v>
      </c>
      <c r="M889">
        <f t="shared" si="40"/>
        <v>27.18</v>
      </c>
      <c r="N889">
        <f t="shared" si="41"/>
        <v>44.82</v>
      </c>
      <c r="O889" cm="1">
        <f t="array" ref="O889">_xlfn.LET(_xlpm.cat, Greenleaf[[#This Row],[Product Category]], _xlpm.prices, _xlfn._xlws.FILTER(Greenleaf[Unit Price], (Greenleaf[Product Category]=_xlpm.cat)*(Greenleaf[Unit Price]&lt;&gt;"")), IFERROR(MEDIAN(_xlpm.prices), ""))</f>
        <v>12</v>
      </c>
      <c r="P889">
        <f>IF(Greenleaf[[#This Row],[Shipment Status]]="Returned",1,0)</f>
        <v>0</v>
      </c>
      <c r="Q889">
        <f>IF(Greenleaf[[#This Row],[Shipment Status]]="Delivered",1,0)</f>
        <v>1</v>
      </c>
    </row>
    <row r="890" spans="1:17" x14ac:dyDescent="0.45">
      <c r="A890" t="s">
        <v>1250</v>
      </c>
      <c r="B890">
        <v>45613</v>
      </c>
      <c r="C890" t="s">
        <v>23</v>
      </c>
      <c r="D890" t="s">
        <v>24</v>
      </c>
      <c r="E890">
        <v>2</v>
      </c>
      <c r="F890">
        <v>25</v>
      </c>
      <c r="G890">
        <v>8.14</v>
      </c>
      <c r="H890" t="s">
        <v>76</v>
      </c>
      <c r="I890" t="s">
        <v>77</v>
      </c>
      <c r="J890" t="s">
        <v>20</v>
      </c>
      <c r="K890" t="s">
        <v>134</v>
      </c>
      <c r="L890">
        <f t="shared" si="39"/>
        <v>50</v>
      </c>
      <c r="M890">
        <f t="shared" si="40"/>
        <v>16.28</v>
      </c>
      <c r="N890">
        <f t="shared" si="41"/>
        <v>33.72</v>
      </c>
      <c r="O890" cm="1">
        <f t="array" ref="O890">_xlfn.LET(_xlpm.cat, Greenleaf[[#This Row],[Product Category]], _xlpm.prices, _xlfn._xlws.FILTER(Greenleaf[Unit Price], (Greenleaf[Product Category]=_xlpm.cat)*(Greenleaf[Unit Price]&lt;&gt;"")), IFERROR(MEDIAN(_xlpm.prices), ""))</f>
        <v>25</v>
      </c>
      <c r="P890">
        <f>IF(Greenleaf[[#This Row],[Shipment Status]]="Returned",1,0)</f>
        <v>0</v>
      </c>
      <c r="Q890">
        <f>IF(Greenleaf[[#This Row],[Shipment Status]]="Delivered",1,0)</f>
        <v>0</v>
      </c>
    </row>
    <row r="891" spans="1:17" x14ac:dyDescent="0.45">
      <c r="A891" t="s">
        <v>1251</v>
      </c>
      <c r="B891">
        <v>45614</v>
      </c>
      <c r="C891" t="s">
        <v>49</v>
      </c>
      <c r="D891" t="s">
        <v>50</v>
      </c>
      <c r="E891">
        <v>2</v>
      </c>
      <c r="F891">
        <v>15</v>
      </c>
      <c r="G891">
        <v>5.3</v>
      </c>
      <c r="H891" t="s">
        <v>188</v>
      </c>
      <c r="I891" t="s">
        <v>189</v>
      </c>
      <c r="J891" t="s">
        <v>27</v>
      </c>
      <c r="K891" t="s">
        <v>70</v>
      </c>
      <c r="L891">
        <f t="shared" si="39"/>
        <v>30</v>
      </c>
      <c r="M891">
        <f t="shared" si="40"/>
        <v>10.6</v>
      </c>
      <c r="N891">
        <f t="shared" si="41"/>
        <v>19.399999999999999</v>
      </c>
      <c r="O891" cm="1">
        <f t="array" ref="O891">_xlfn.LET(_xlpm.cat, Greenleaf[[#This Row],[Product Category]], _xlpm.prices, _xlfn._xlws.FILTER(Greenleaf[Unit Price], (Greenleaf[Product Category]=_xlpm.cat)*(Greenleaf[Unit Price]&lt;&gt;"")), IFERROR(MEDIAN(_xlpm.prices), ""))</f>
        <v>15</v>
      </c>
      <c r="P891">
        <f>IF(Greenleaf[[#This Row],[Shipment Status]]="Returned",1,0)</f>
        <v>0</v>
      </c>
      <c r="Q891">
        <f>IF(Greenleaf[[#This Row],[Shipment Status]]="Delivered",1,0)</f>
        <v>1</v>
      </c>
    </row>
    <row r="892" spans="1:17" x14ac:dyDescent="0.45">
      <c r="A892" t="s">
        <v>1252</v>
      </c>
      <c r="B892">
        <v>45614</v>
      </c>
      <c r="C892" t="s">
        <v>66</v>
      </c>
      <c r="D892" t="s">
        <v>67</v>
      </c>
      <c r="E892">
        <v>10</v>
      </c>
      <c r="F892">
        <v>12</v>
      </c>
      <c r="G892">
        <v>2.4500000000000002</v>
      </c>
      <c r="H892" t="s">
        <v>647</v>
      </c>
      <c r="I892" t="s">
        <v>648</v>
      </c>
      <c r="J892" t="s">
        <v>27</v>
      </c>
      <c r="K892" t="s">
        <v>74</v>
      </c>
      <c r="L892">
        <f t="shared" si="39"/>
        <v>120</v>
      </c>
      <c r="M892">
        <f t="shared" si="40"/>
        <v>24.5</v>
      </c>
      <c r="N892">
        <f t="shared" si="41"/>
        <v>95.5</v>
      </c>
      <c r="O892" cm="1">
        <f t="array" ref="O892">_xlfn.LET(_xlpm.cat, Greenleaf[[#This Row],[Product Category]], _xlpm.prices, _xlfn._xlws.FILTER(Greenleaf[Unit Price], (Greenleaf[Product Category]=_xlpm.cat)*(Greenleaf[Unit Price]&lt;&gt;"")), IFERROR(MEDIAN(_xlpm.prices), ""))</f>
        <v>12</v>
      </c>
      <c r="P892">
        <f>IF(Greenleaf[[#This Row],[Shipment Status]]="Returned",1,0)</f>
        <v>0</v>
      </c>
      <c r="Q892">
        <f>IF(Greenleaf[[#This Row],[Shipment Status]]="Delivered",1,0)</f>
        <v>1</v>
      </c>
    </row>
    <row r="893" spans="1:17" x14ac:dyDescent="0.45">
      <c r="A893" t="s">
        <v>1253</v>
      </c>
      <c r="B893">
        <v>45614</v>
      </c>
      <c r="C893" t="s">
        <v>30</v>
      </c>
      <c r="D893" t="s">
        <v>31</v>
      </c>
      <c r="E893">
        <v>1</v>
      </c>
      <c r="F893">
        <v>40</v>
      </c>
      <c r="G893">
        <v>8.51</v>
      </c>
      <c r="H893" t="s">
        <v>182</v>
      </c>
      <c r="I893" t="s">
        <v>183</v>
      </c>
      <c r="J893" t="s">
        <v>47</v>
      </c>
      <c r="K893" t="s">
        <v>34</v>
      </c>
      <c r="L893">
        <f t="shared" si="39"/>
        <v>40</v>
      </c>
      <c r="M893">
        <f t="shared" si="40"/>
        <v>8.51</v>
      </c>
      <c r="N893">
        <f t="shared" si="41"/>
        <v>31.490000000000002</v>
      </c>
      <c r="O893" cm="1">
        <f t="array" ref="O893">_xlfn.LET(_xlpm.cat, Greenleaf[[#This Row],[Product Category]], _xlpm.prices, _xlfn._xlws.FILTER(Greenleaf[Unit Price], (Greenleaf[Product Category]=_xlpm.cat)*(Greenleaf[Unit Price]&lt;&gt;"")), IFERROR(MEDIAN(_xlpm.prices), ""))</f>
        <v>40</v>
      </c>
      <c r="P893">
        <f>IF(Greenleaf[[#This Row],[Shipment Status]]="Returned",1,0)</f>
        <v>0</v>
      </c>
      <c r="Q893">
        <f>IF(Greenleaf[[#This Row],[Shipment Status]]="Delivered",1,0)</f>
        <v>0</v>
      </c>
    </row>
    <row r="894" spans="1:17" x14ac:dyDescent="0.45">
      <c r="A894" t="s">
        <v>1254</v>
      </c>
      <c r="B894">
        <v>45614</v>
      </c>
      <c r="C894" t="s">
        <v>23</v>
      </c>
      <c r="D894" t="s">
        <v>24</v>
      </c>
      <c r="E894">
        <v>3</v>
      </c>
      <c r="F894">
        <v>25</v>
      </c>
      <c r="G894">
        <v>5.0999999999999996</v>
      </c>
      <c r="H894" t="s">
        <v>96</v>
      </c>
      <c r="I894" t="s">
        <v>97</v>
      </c>
      <c r="J894" t="s">
        <v>20</v>
      </c>
      <c r="K894" t="s">
        <v>28</v>
      </c>
      <c r="L894">
        <f t="shared" si="39"/>
        <v>75</v>
      </c>
      <c r="M894">
        <f t="shared" si="40"/>
        <v>15.299999999999999</v>
      </c>
      <c r="N894">
        <f t="shared" si="41"/>
        <v>59.7</v>
      </c>
      <c r="O894" cm="1">
        <f t="array" ref="O894">_xlfn.LET(_xlpm.cat, Greenleaf[[#This Row],[Product Category]], _xlpm.prices, _xlfn._xlws.FILTER(Greenleaf[Unit Price], (Greenleaf[Product Category]=_xlpm.cat)*(Greenleaf[Unit Price]&lt;&gt;"")), IFERROR(MEDIAN(_xlpm.prices), ""))</f>
        <v>25</v>
      </c>
      <c r="P894">
        <f>IF(Greenleaf[[#This Row],[Shipment Status]]="Returned",1,0)</f>
        <v>0</v>
      </c>
      <c r="Q894">
        <f>IF(Greenleaf[[#This Row],[Shipment Status]]="Delivered",1,0)</f>
        <v>0</v>
      </c>
    </row>
    <row r="895" spans="1:17" x14ac:dyDescent="0.45">
      <c r="A895" t="s">
        <v>1255</v>
      </c>
      <c r="B895">
        <v>45614</v>
      </c>
      <c r="C895" t="s">
        <v>16</v>
      </c>
      <c r="D895" t="s">
        <v>17</v>
      </c>
      <c r="E895">
        <v>9</v>
      </c>
      <c r="F895">
        <v>10</v>
      </c>
      <c r="G895">
        <v>2.68</v>
      </c>
      <c r="H895" t="s">
        <v>104</v>
      </c>
      <c r="I895" t="s">
        <v>105</v>
      </c>
      <c r="J895" t="s">
        <v>47</v>
      </c>
      <c r="K895" t="s">
        <v>28</v>
      </c>
      <c r="L895">
        <f t="shared" si="39"/>
        <v>90</v>
      </c>
      <c r="M895">
        <f t="shared" si="40"/>
        <v>24.12</v>
      </c>
      <c r="N895">
        <f t="shared" si="41"/>
        <v>65.88</v>
      </c>
      <c r="O895" cm="1">
        <f t="array" ref="O895">_xlfn.LET(_xlpm.cat, Greenleaf[[#This Row],[Product Category]], _xlpm.prices, _xlfn._xlws.FILTER(Greenleaf[Unit Price], (Greenleaf[Product Category]=_xlpm.cat)*(Greenleaf[Unit Price]&lt;&gt;"")), IFERROR(MEDIAN(_xlpm.prices), ""))</f>
        <v>10</v>
      </c>
      <c r="P895">
        <f>IF(Greenleaf[[#This Row],[Shipment Status]]="Returned",1,0)</f>
        <v>0</v>
      </c>
      <c r="Q895">
        <f>IF(Greenleaf[[#This Row],[Shipment Status]]="Delivered",1,0)</f>
        <v>0</v>
      </c>
    </row>
    <row r="896" spans="1:17" x14ac:dyDescent="0.45">
      <c r="A896" t="s">
        <v>1256</v>
      </c>
      <c r="B896">
        <v>45614</v>
      </c>
      <c r="C896" t="s">
        <v>16</v>
      </c>
      <c r="D896" t="s">
        <v>17</v>
      </c>
      <c r="E896">
        <v>10</v>
      </c>
      <c r="F896">
        <v>10</v>
      </c>
      <c r="G896">
        <v>3.4</v>
      </c>
      <c r="H896" t="s">
        <v>292</v>
      </c>
      <c r="I896" t="s">
        <v>90</v>
      </c>
      <c r="J896" t="s">
        <v>20</v>
      </c>
      <c r="K896" t="s">
        <v>43</v>
      </c>
      <c r="L896">
        <f t="shared" si="39"/>
        <v>100</v>
      </c>
      <c r="M896">
        <f t="shared" si="40"/>
        <v>34</v>
      </c>
      <c r="N896">
        <f t="shared" si="41"/>
        <v>66</v>
      </c>
      <c r="O896" cm="1">
        <f t="array" ref="O896">_xlfn.LET(_xlpm.cat, Greenleaf[[#This Row],[Product Category]], _xlpm.prices, _xlfn._xlws.FILTER(Greenleaf[Unit Price], (Greenleaf[Product Category]=_xlpm.cat)*(Greenleaf[Unit Price]&lt;&gt;"")), IFERROR(MEDIAN(_xlpm.prices), ""))</f>
        <v>10</v>
      </c>
      <c r="P896">
        <f>IF(Greenleaf[[#This Row],[Shipment Status]]="Returned",1,0)</f>
        <v>0</v>
      </c>
      <c r="Q896">
        <f>IF(Greenleaf[[#This Row],[Shipment Status]]="Delivered",1,0)</f>
        <v>0</v>
      </c>
    </row>
    <row r="897" spans="1:17" x14ac:dyDescent="0.45">
      <c r="A897" t="s">
        <v>1257</v>
      </c>
      <c r="B897">
        <v>45615</v>
      </c>
      <c r="C897" t="s">
        <v>16</v>
      </c>
      <c r="D897" t="s">
        <v>17</v>
      </c>
      <c r="E897">
        <v>1</v>
      </c>
      <c r="F897">
        <v>10</v>
      </c>
      <c r="G897">
        <v>3.72</v>
      </c>
      <c r="H897" t="s">
        <v>150</v>
      </c>
      <c r="I897" t="s">
        <v>151</v>
      </c>
      <c r="J897" t="s">
        <v>20</v>
      </c>
      <c r="K897" t="s">
        <v>34</v>
      </c>
      <c r="L897">
        <f t="shared" si="39"/>
        <v>10</v>
      </c>
      <c r="M897">
        <f t="shared" si="40"/>
        <v>3.72</v>
      </c>
      <c r="N897">
        <f t="shared" si="41"/>
        <v>6.2799999999999994</v>
      </c>
      <c r="O897" cm="1">
        <f t="array" ref="O897">_xlfn.LET(_xlpm.cat, Greenleaf[[#This Row],[Product Category]], _xlpm.prices, _xlfn._xlws.FILTER(Greenleaf[Unit Price], (Greenleaf[Product Category]=_xlpm.cat)*(Greenleaf[Unit Price]&lt;&gt;"")), IFERROR(MEDIAN(_xlpm.prices), ""))</f>
        <v>10</v>
      </c>
      <c r="P897">
        <f>IF(Greenleaf[[#This Row],[Shipment Status]]="Returned",1,0)</f>
        <v>0</v>
      </c>
      <c r="Q897">
        <f>IF(Greenleaf[[#This Row],[Shipment Status]]="Delivered",1,0)</f>
        <v>0</v>
      </c>
    </row>
    <row r="898" spans="1:17" x14ac:dyDescent="0.45">
      <c r="A898" t="s">
        <v>1258</v>
      </c>
      <c r="B898">
        <v>45616</v>
      </c>
      <c r="C898" t="s">
        <v>23</v>
      </c>
      <c r="D898" t="s">
        <v>24</v>
      </c>
      <c r="E898">
        <v>10</v>
      </c>
      <c r="F898">
        <v>25</v>
      </c>
      <c r="G898">
        <v>9.86</v>
      </c>
      <c r="H898" t="s">
        <v>489</v>
      </c>
      <c r="I898" t="s">
        <v>490</v>
      </c>
      <c r="J898" t="s">
        <v>47</v>
      </c>
      <c r="K898" t="s">
        <v>74</v>
      </c>
      <c r="L898">
        <f t="shared" ref="L898:L961" si="42">E898*F898</f>
        <v>250</v>
      </c>
      <c r="M898">
        <f t="shared" ref="M898:M961" si="43">E898*G898</f>
        <v>98.6</v>
      </c>
      <c r="N898">
        <f t="shared" ref="N898:N961" si="44">L898-M898</f>
        <v>151.4</v>
      </c>
      <c r="O898" cm="1">
        <f t="array" ref="O898">_xlfn.LET(_xlpm.cat, Greenleaf[[#This Row],[Product Category]], _xlpm.prices, _xlfn._xlws.FILTER(Greenleaf[Unit Price], (Greenleaf[Product Category]=_xlpm.cat)*(Greenleaf[Unit Price]&lt;&gt;"")), IFERROR(MEDIAN(_xlpm.prices), ""))</f>
        <v>25</v>
      </c>
      <c r="P898">
        <f>IF(Greenleaf[[#This Row],[Shipment Status]]="Returned",1,0)</f>
        <v>0</v>
      </c>
      <c r="Q898">
        <f>IF(Greenleaf[[#This Row],[Shipment Status]]="Delivered",1,0)</f>
        <v>0</v>
      </c>
    </row>
    <row r="899" spans="1:17" x14ac:dyDescent="0.45">
      <c r="A899" t="s">
        <v>1259</v>
      </c>
      <c r="B899">
        <v>45617</v>
      </c>
      <c r="C899" t="s">
        <v>66</v>
      </c>
      <c r="D899" t="s">
        <v>67</v>
      </c>
      <c r="E899">
        <v>2</v>
      </c>
      <c r="F899">
        <v>12</v>
      </c>
      <c r="G899">
        <v>4.3899999999999997</v>
      </c>
      <c r="H899" t="s">
        <v>40</v>
      </c>
      <c r="I899" t="s">
        <v>41</v>
      </c>
      <c r="J899" t="s">
        <v>27</v>
      </c>
      <c r="K899" t="s">
        <v>74</v>
      </c>
      <c r="L899">
        <f t="shared" si="42"/>
        <v>24</v>
      </c>
      <c r="M899">
        <f t="shared" si="43"/>
        <v>8.7799999999999994</v>
      </c>
      <c r="N899">
        <f t="shared" si="44"/>
        <v>15.22</v>
      </c>
      <c r="O899" cm="1">
        <f t="array" ref="O899">_xlfn.LET(_xlpm.cat, Greenleaf[[#This Row],[Product Category]], _xlpm.prices, _xlfn._xlws.FILTER(Greenleaf[Unit Price], (Greenleaf[Product Category]=_xlpm.cat)*(Greenleaf[Unit Price]&lt;&gt;"")), IFERROR(MEDIAN(_xlpm.prices), ""))</f>
        <v>12</v>
      </c>
      <c r="P899">
        <f>IF(Greenleaf[[#This Row],[Shipment Status]]="Returned",1,0)</f>
        <v>0</v>
      </c>
      <c r="Q899">
        <f>IF(Greenleaf[[#This Row],[Shipment Status]]="Delivered",1,0)</f>
        <v>1</v>
      </c>
    </row>
    <row r="900" spans="1:17" x14ac:dyDescent="0.45">
      <c r="A900" t="s">
        <v>1260</v>
      </c>
      <c r="B900">
        <v>45618</v>
      </c>
      <c r="C900" t="s">
        <v>49</v>
      </c>
      <c r="D900" t="s">
        <v>50</v>
      </c>
      <c r="E900">
        <v>1</v>
      </c>
      <c r="F900">
        <v>15</v>
      </c>
      <c r="G900">
        <v>3.55</v>
      </c>
      <c r="H900" t="s">
        <v>191</v>
      </c>
      <c r="I900" t="s">
        <v>192</v>
      </c>
      <c r="J900" t="s">
        <v>27</v>
      </c>
      <c r="K900" t="s">
        <v>34</v>
      </c>
      <c r="L900">
        <f t="shared" si="42"/>
        <v>15</v>
      </c>
      <c r="M900">
        <f t="shared" si="43"/>
        <v>3.55</v>
      </c>
      <c r="N900">
        <f t="shared" si="44"/>
        <v>11.45</v>
      </c>
      <c r="O900" cm="1">
        <f t="array" ref="O900">_xlfn.LET(_xlpm.cat, Greenleaf[[#This Row],[Product Category]], _xlpm.prices, _xlfn._xlws.FILTER(Greenleaf[Unit Price], (Greenleaf[Product Category]=_xlpm.cat)*(Greenleaf[Unit Price]&lt;&gt;"")), IFERROR(MEDIAN(_xlpm.prices), ""))</f>
        <v>15</v>
      </c>
      <c r="P900">
        <f>IF(Greenleaf[[#This Row],[Shipment Status]]="Returned",1,0)</f>
        <v>0</v>
      </c>
      <c r="Q900">
        <f>IF(Greenleaf[[#This Row],[Shipment Status]]="Delivered",1,0)</f>
        <v>1</v>
      </c>
    </row>
    <row r="901" spans="1:17" x14ac:dyDescent="0.45">
      <c r="A901" t="s">
        <v>1261</v>
      </c>
      <c r="B901">
        <v>45618</v>
      </c>
      <c r="C901" t="s">
        <v>49</v>
      </c>
      <c r="D901" t="s">
        <v>50</v>
      </c>
      <c r="E901">
        <v>7</v>
      </c>
      <c r="F901">
        <v>15</v>
      </c>
      <c r="G901">
        <v>4.03</v>
      </c>
      <c r="H901" t="s">
        <v>1071</v>
      </c>
      <c r="I901" t="s">
        <v>477</v>
      </c>
      <c r="J901" t="s">
        <v>27</v>
      </c>
      <c r="K901" t="s">
        <v>134</v>
      </c>
      <c r="L901">
        <f t="shared" si="42"/>
        <v>105</v>
      </c>
      <c r="M901">
        <f t="shared" si="43"/>
        <v>28.21</v>
      </c>
      <c r="N901">
        <f t="shared" si="44"/>
        <v>76.789999999999992</v>
      </c>
      <c r="O901" cm="1">
        <f t="array" ref="O901">_xlfn.LET(_xlpm.cat, Greenleaf[[#This Row],[Product Category]], _xlpm.prices, _xlfn._xlws.FILTER(Greenleaf[Unit Price], (Greenleaf[Product Category]=_xlpm.cat)*(Greenleaf[Unit Price]&lt;&gt;"")), IFERROR(MEDIAN(_xlpm.prices), ""))</f>
        <v>15</v>
      </c>
      <c r="P901">
        <f>IF(Greenleaf[[#This Row],[Shipment Status]]="Returned",1,0)</f>
        <v>0</v>
      </c>
      <c r="Q901">
        <f>IF(Greenleaf[[#This Row],[Shipment Status]]="Delivered",1,0)</f>
        <v>1</v>
      </c>
    </row>
    <row r="902" spans="1:17" x14ac:dyDescent="0.45">
      <c r="A902" t="s">
        <v>1262</v>
      </c>
      <c r="B902">
        <v>45619</v>
      </c>
      <c r="C902" t="s">
        <v>23</v>
      </c>
      <c r="D902" t="s">
        <v>24</v>
      </c>
      <c r="E902">
        <v>1</v>
      </c>
      <c r="F902">
        <v>25</v>
      </c>
      <c r="G902">
        <v>9.8800000000000008</v>
      </c>
      <c r="H902" t="s">
        <v>494</v>
      </c>
      <c r="I902" t="s">
        <v>495</v>
      </c>
      <c r="J902" t="s">
        <v>27</v>
      </c>
      <c r="K902" t="s">
        <v>34</v>
      </c>
      <c r="L902">
        <f t="shared" si="42"/>
        <v>25</v>
      </c>
      <c r="M902">
        <f t="shared" si="43"/>
        <v>9.8800000000000008</v>
      </c>
      <c r="N902">
        <f t="shared" si="44"/>
        <v>15.12</v>
      </c>
      <c r="O902" cm="1">
        <f t="array" ref="O902">_xlfn.LET(_xlpm.cat, Greenleaf[[#This Row],[Product Category]], _xlpm.prices, _xlfn._xlws.FILTER(Greenleaf[Unit Price], (Greenleaf[Product Category]=_xlpm.cat)*(Greenleaf[Unit Price]&lt;&gt;"")), IFERROR(MEDIAN(_xlpm.prices), ""))</f>
        <v>25</v>
      </c>
      <c r="P902">
        <f>IF(Greenleaf[[#This Row],[Shipment Status]]="Returned",1,0)</f>
        <v>0</v>
      </c>
      <c r="Q902">
        <f>IF(Greenleaf[[#This Row],[Shipment Status]]="Delivered",1,0)</f>
        <v>1</v>
      </c>
    </row>
    <row r="903" spans="1:17" x14ac:dyDescent="0.45">
      <c r="A903" t="s">
        <v>1263</v>
      </c>
      <c r="B903">
        <v>45619</v>
      </c>
      <c r="C903" t="s">
        <v>23</v>
      </c>
      <c r="D903" t="s">
        <v>24</v>
      </c>
      <c r="E903">
        <v>8</v>
      </c>
      <c r="F903">
        <v>25</v>
      </c>
      <c r="G903">
        <v>6.58</v>
      </c>
      <c r="H903" t="s">
        <v>99</v>
      </c>
      <c r="I903" t="s">
        <v>100</v>
      </c>
      <c r="J903" t="s">
        <v>27</v>
      </c>
      <c r="K903" t="s">
        <v>74</v>
      </c>
      <c r="L903">
        <f t="shared" si="42"/>
        <v>200</v>
      </c>
      <c r="M903">
        <f t="shared" si="43"/>
        <v>52.64</v>
      </c>
      <c r="N903">
        <f t="shared" si="44"/>
        <v>147.36000000000001</v>
      </c>
      <c r="O903" cm="1">
        <f t="array" ref="O903">_xlfn.LET(_xlpm.cat, Greenleaf[[#This Row],[Product Category]], _xlpm.prices, _xlfn._xlws.FILTER(Greenleaf[Unit Price], (Greenleaf[Product Category]=_xlpm.cat)*(Greenleaf[Unit Price]&lt;&gt;"")), IFERROR(MEDIAN(_xlpm.prices), ""))</f>
        <v>25</v>
      </c>
      <c r="P903">
        <f>IF(Greenleaf[[#This Row],[Shipment Status]]="Returned",1,0)</f>
        <v>0</v>
      </c>
      <c r="Q903">
        <f>IF(Greenleaf[[#This Row],[Shipment Status]]="Delivered",1,0)</f>
        <v>1</v>
      </c>
    </row>
    <row r="904" spans="1:17" x14ac:dyDescent="0.45">
      <c r="A904" t="s">
        <v>1264</v>
      </c>
      <c r="B904">
        <v>45619</v>
      </c>
      <c r="C904" t="s">
        <v>23</v>
      </c>
      <c r="D904" t="s">
        <v>24</v>
      </c>
      <c r="E904">
        <v>8</v>
      </c>
      <c r="F904">
        <v>25</v>
      </c>
      <c r="G904">
        <v>6.56</v>
      </c>
      <c r="H904" t="s">
        <v>594</v>
      </c>
      <c r="I904" t="s">
        <v>217</v>
      </c>
      <c r="J904" t="s">
        <v>20</v>
      </c>
      <c r="K904" t="s">
        <v>28</v>
      </c>
      <c r="L904">
        <f t="shared" si="42"/>
        <v>200</v>
      </c>
      <c r="M904">
        <f t="shared" si="43"/>
        <v>52.48</v>
      </c>
      <c r="N904">
        <f t="shared" si="44"/>
        <v>147.52000000000001</v>
      </c>
      <c r="O904" cm="1">
        <f t="array" ref="O904">_xlfn.LET(_xlpm.cat, Greenleaf[[#This Row],[Product Category]], _xlpm.prices, _xlfn._xlws.FILTER(Greenleaf[Unit Price], (Greenleaf[Product Category]=_xlpm.cat)*(Greenleaf[Unit Price]&lt;&gt;"")), IFERROR(MEDIAN(_xlpm.prices), ""))</f>
        <v>25</v>
      </c>
      <c r="P904">
        <f>IF(Greenleaf[[#This Row],[Shipment Status]]="Returned",1,0)</f>
        <v>0</v>
      </c>
      <c r="Q904">
        <f>IF(Greenleaf[[#This Row],[Shipment Status]]="Delivered",1,0)</f>
        <v>0</v>
      </c>
    </row>
    <row r="905" spans="1:17" x14ac:dyDescent="0.45">
      <c r="A905" t="s">
        <v>1265</v>
      </c>
      <c r="B905">
        <v>45620</v>
      </c>
      <c r="C905" t="s">
        <v>16</v>
      </c>
      <c r="D905" t="s">
        <v>17</v>
      </c>
      <c r="E905">
        <v>9</v>
      </c>
      <c r="F905">
        <v>10</v>
      </c>
      <c r="G905">
        <v>2.66</v>
      </c>
      <c r="H905" t="s">
        <v>428</v>
      </c>
      <c r="I905" t="s">
        <v>429</v>
      </c>
      <c r="J905" t="s">
        <v>20</v>
      </c>
      <c r="K905" t="s">
        <v>34</v>
      </c>
      <c r="L905">
        <f t="shared" si="42"/>
        <v>90</v>
      </c>
      <c r="M905">
        <f t="shared" si="43"/>
        <v>23.94</v>
      </c>
      <c r="N905">
        <f t="shared" si="44"/>
        <v>66.06</v>
      </c>
      <c r="O905" cm="1">
        <f t="array" ref="O905">_xlfn.LET(_xlpm.cat, Greenleaf[[#This Row],[Product Category]], _xlpm.prices, _xlfn._xlws.FILTER(Greenleaf[Unit Price], (Greenleaf[Product Category]=_xlpm.cat)*(Greenleaf[Unit Price]&lt;&gt;"")), IFERROR(MEDIAN(_xlpm.prices), ""))</f>
        <v>10</v>
      </c>
      <c r="P905">
        <f>IF(Greenleaf[[#This Row],[Shipment Status]]="Returned",1,0)</f>
        <v>0</v>
      </c>
      <c r="Q905">
        <f>IF(Greenleaf[[#This Row],[Shipment Status]]="Delivered",1,0)</f>
        <v>0</v>
      </c>
    </row>
    <row r="906" spans="1:17" x14ac:dyDescent="0.45">
      <c r="A906" t="s">
        <v>1266</v>
      </c>
      <c r="B906">
        <v>45622</v>
      </c>
      <c r="C906" t="s">
        <v>30</v>
      </c>
      <c r="D906" t="s">
        <v>31</v>
      </c>
      <c r="E906">
        <v>1</v>
      </c>
      <c r="F906">
        <v>40</v>
      </c>
      <c r="G906">
        <v>10.130000000000001</v>
      </c>
      <c r="H906" t="s">
        <v>795</v>
      </c>
      <c r="I906" t="s">
        <v>440</v>
      </c>
      <c r="J906" t="s">
        <v>27</v>
      </c>
      <c r="K906" t="s">
        <v>43</v>
      </c>
      <c r="L906">
        <f t="shared" si="42"/>
        <v>40</v>
      </c>
      <c r="M906">
        <f t="shared" si="43"/>
        <v>10.130000000000001</v>
      </c>
      <c r="N906">
        <f t="shared" si="44"/>
        <v>29.869999999999997</v>
      </c>
      <c r="O906" cm="1">
        <f t="array" ref="O906">_xlfn.LET(_xlpm.cat, Greenleaf[[#This Row],[Product Category]], _xlpm.prices, _xlfn._xlws.FILTER(Greenleaf[Unit Price], (Greenleaf[Product Category]=_xlpm.cat)*(Greenleaf[Unit Price]&lt;&gt;"")), IFERROR(MEDIAN(_xlpm.prices), ""))</f>
        <v>40</v>
      </c>
      <c r="P906">
        <f>IF(Greenleaf[[#This Row],[Shipment Status]]="Returned",1,0)</f>
        <v>0</v>
      </c>
      <c r="Q906">
        <f>IF(Greenleaf[[#This Row],[Shipment Status]]="Delivered",1,0)</f>
        <v>1</v>
      </c>
    </row>
    <row r="907" spans="1:17" x14ac:dyDescent="0.45">
      <c r="A907" t="s">
        <v>1267</v>
      </c>
      <c r="B907">
        <v>45622</v>
      </c>
      <c r="C907" t="s">
        <v>49</v>
      </c>
      <c r="D907" t="s">
        <v>50</v>
      </c>
      <c r="E907">
        <v>2</v>
      </c>
      <c r="F907">
        <v>15</v>
      </c>
      <c r="G907">
        <v>3.3</v>
      </c>
      <c r="H907" t="s">
        <v>382</v>
      </c>
      <c r="I907" t="s">
        <v>383</v>
      </c>
      <c r="J907" t="s">
        <v>20</v>
      </c>
      <c r="K907" t="s">
        <v>56</v>
      </c>
      <c r="L907">
        <f t="shared" si="42"/>
        <v>30</v>
      </c>
      <c r="M907">
        <f t="shared" si="43"/>
        <v>6.6</v>
      </c>
      <c r="N907">
        <f t="shared" si="44"/>
        <v>23.4</v>
      </c>
      <c r="O907" cm="1">
        <f t="array" ref="O907">_xlfn.LET(_xlpm.cat, Greenleaf[[#This Row],[Product Category]], _xlpm.prices, _xlfn._xlws.FILTER(Greenleaf[Unit Price], (Greenleaf[Product Category]=_xlpm.cat)*(Greenleaf[Unit Price]&lt;&gt;"")), IFERROR(MEDIAN(_xlpm.prices), ""))</f>
        <v>15</v>
      </c>
      <c r="P907">
        <f>IF(Greenleaf[[#This Row],[Shipment Status]]="Returned",1,0)</f>
        <v>0</v>
      </c>
      <c r="Q907">
        <f>IF(Greenleaf[[#This Row],[Shipment Status]]="Delivered",1,0)</f>
        <v>0</v>
      </c>
    </row>
    <row r="908" spans="1:17" x14ac:dyDescent="0.45">
      <c r="A908" t="s">
        <v>1268</v>
      </c>
      <c r="B908">
        <v>45622</v>
      </c>
      <c r="C908" t="s">
        <v>49</v>
      </c>
      <c r="D908" t="s">
        <v>50</v>
      </c>
      <c r="E908">
        <v>6</v>
      </c>
      <c r="F908">
        <v>15</v>
      </c>
      <c r="G908">
        <v>5.45</v>
      </c>
      <c r="H908" t="s">
        <v>164</v>
      </c>
      <c r="I908" t="s">
        <v>100</v>
      </c>
      <c r="J908" t="s">
        <v>20</v>
      </c>
      <c r="K908" t="s">
        <v>38</v>
      </c>
      <c r="L908">
        <f t="shared" si="42"/>
        <v>90</v>
      </c>
      <c r="M908">
        <f t="shared" si="43"/>
        <v>32.700000000000003</v>
      </c>
      <c r="N908">
        <f t="shared" si="44"/>
        <v>57.3</v>
      </c>
      <c r="O908" cm="1">
        <f t="array" ref="O908">_xlfn.LET(_xlpm.cat, Greenleaf[[#This Row],[Product Category]], _xlpm.prices, _xlfn._xlws.FILTER(Greenleaf[Unit Price], (Greenleaf[Product Category]=_xlpm.cat)*(Greenleaf[Unit Price]&lt;&gt;"")), IFERROR(MEDIAN(_xlpm.prices), ""))</f>
        <v>15</v>
      </c>
      <c r="P908">
        <f>IF(Greenleaf[[#This Row],[Shipment Status]]="Returned",1,0)</f>
        <v>0</v>
      </c>
      <c r="Q908">
        <f>IF(Greenleaf[[#This Row],[Shipment Status]]="Delivered",1,0)</f>
        <v>0</v>
      </c>
    </row>
    <row r="909" spans="1:17" x14ac:dyDescent="0.45">
      <c r="A909" t="s">
        <v>1269</v>
      </c>
      <c r="B909">
        <v>45622</v>
      </c>
      <c r="C909" t="s">
        <v>30</v>
      </c>
      <c r="D909" t="s">
        <v>31</v>
      </c>
      <c r="E909">
        <v>2</v>
      </c>
      <c r="F909">
        <v>40</v>
      </c>
      <c r="G909">
        <v>12.19</v>
      </c>
      <c r="H909" t="s">
        <v>691</v>
      </c>
      <c r="I909" t="s">
        <v>692</v>
      </c>
      <c r="J909" t="s">
        <v>27</v>
      </c>
      <c r="K909" t="s">
        <v>74</v>
      </c>
      <c r="L909">
        <f t="shared" si="42"/>
        <v>80</v>
      </c>
      <c r="M909">
        <f t="shared" si="43"/>
        <v>24.38</v>
      </c>
      <c r="N909">
        <f t="shared" si="44"/>
        <v>55.620000000000005</v>
      </c>
      <c r="O909" cm="1">
        <f t="array" ref="O909">_xlfn.LET(_xlpm.cat, Greenleaf[[#This Row],[Product Category]], _xlpm.prices, _xlfn._xlws.FILTER(Greenleaf[Unit Price], (Greenleaf[Product Category]=_xlpm.cat)*(Greenleaf[Unit Price]&lt;&gt;"")), IFERROR(MEDIAN(_xlpm.prices), ""))</f>
        <v>40</v>
      </c>
      <c r="P909">
        <f>IF(Greenleaf[[#This Row],[Shipment Status]]="Returned",1,0)</f>
        <v>0</v>
      </c>
      <c r="Q909">
        <f>IF(Greenleaf[[#This Row],[Shipment Status]]="Delivered",1,0)</f>
        <v>1</v>
      </c>
    </row>
    <row r="910" spans="1:17" x14ac:dyDescent="0.45">
      <c r="A910" t="s">
        <v>1270</v>
      </c>
      <c r="B910">
        <v>45622</v>
      </c>
      <c r="C910" t="s">
        <v>23</v>
      </c>
      <c r="D910" t="s">
        <v>24</v>
      </c>
      <c r="E910">
        <v>2</v>
      </c>
      <c r="F910">
        <v>25</v>
      </c>
      <c r="G910">
        <v>6.17</v>
      </c>
      <c r="H910" t="s">
        <v>72</v>
      </c>
      <c r="I910" t="s">
        <v>73</v>
      </c>
      <c r="J910" t="s">
        <v>27</v>
      </c>
      <c r="K910" t="s">
        <v>59</v>
      </c>
      <c r="L910">
        <f t="shared" si="42"/>
        <v>50</v>
      </c>
      <c r="M910">
        <f t="shared" si="43"/>
        <v>12.34</v>
      </c>
      <c r="N910">
        <f t="shared" si="44"/>
        <v>37.659999999999997</v>
      </c>
      <c r="O910" cm="1">
        <f t="array" ref="O910">_xlfn.LET(_xlpm.cat, Greenleaf[[#This Row],[Product Category]], _xlpm.prices, _xlfn._xlws.FILTER(Greenleaf[Unit Price], (Greenleaf[Product Category]=_xlpm.cat)*(Greenleaf[Unit Price]&lt;&gt;"")), IFERROR(MEDIAN(_xlpm.prices), ""))</f>
        <v>25</v>
      </c>
      <c r="P910">
        <f>IF(Greenleaf[[#This Row],[Shipment Status]]="Returned",1,0)</f>
        <v>0</v>
      </c>
      <c r="Q910">
        <f>IF(Greenleaf[[#This Row],[Shipment Status]]="Delivered",1,0)</f>
        <v>1</v>
      </c>
    </row>
    <row r="911" spans="1:17" x14ac:dyDescent="0.45">
      <c r="A911" t="s">
        <v>1271</v>
      </c>
      <c r="B911">
        <v>45622</v>
      </c>
      <c r="C911" t="s">
        <v>23</v>
      </c>
      <c r="D911" t="s">
        <v>24</v>
      </c>
      <c r="E911">
        <v>9</v>
      </c>
      <c r="F911">
        <v>25</v>
      </c>
      <c r="G911">
        <v>6.35</v>
      </c>
      <c r="H911" t="s">
        <v>633</v>
      </c>
      <c r="I911" t="s">
        <v>634</v>
      </c>
      <c r="J911" t="s">
        <v>42</v>
      </c>
      <c r="K911" t="s">
        <v>134</v>
      </c>
      <c r="L911">
        <f t="shared" si="42"/>
        <v>225</v>
      </c>
      <c r="M911">
        <f t="shared" si="43"/>
        <v>57.15</v>
      </c>
      <c r="N911">
        <f t="shared" si="44"/>
        <v>167.85</v>
      </c>
      <c r="O911" cm="1">
        <f t="array" ref="O911">_xlfn.LET(_xlpm.cat, Greenleaf[[#This Row],[Product Category]], _xlpm.prices, _xlfn._xlws.FILTER(Greenleaf[Unit Price], (Greenleaf[Product Category]=_xlpm.cat)*(Greenleaf[Unit Price]&lt;&gt;"")), IFERROR(MEDIAN(_xlpm.prices), ""))</f>
        <v>25</v>
      </c>
      <c r="P911">
        <f>IF(Greenleaf[[#This Row],[Shipment Status]]="Returned",1,0)</f>
        <v>1</v>
      </c>
      <c r="Q911">
        <f>IF(Greenleaf[[#This Row],[Shipment Status]]="Delivered",1,0)</f>
        <v>0</v>
      </c>
    </row>
    <row r="912" spans="1:17" x14ac:dyDescent="0.45">
      <c r="A912" t="s">
        <v>1272</v>
      </c>
      <c r="B912">
        <v>45623</v>
      </c>
      <c r="C912" t="s">
        <v>49</v>
      </c>
      <c r="D912" t="s">
        <v>50</v>
      </c>
      <c r="E912">
        <v>2</v>
      </c>
      <c r="F912">
        <v>15</v>
      </c>
      <c r="G912">
        <v>4.1500000000000004</v>
      </c>
      <c r="H912" t="s">
        <v>356</v>
      </c>
      <c r="I912" t="s">
        <v>357</v>
      </c>
      <c r="J912" t="s">
        <v>20</v>
      </c>
      <c r="K912" t="s">
        <v>38</v>
      </c>
      <c r="L912">
        <f t="shared" si="42"/>
        <v>30</v>
      </c>
      <c r="M912">
        <f t="shared" si="43"/>
        <v>8.3000000000000007</v>
      </c>
      <c r="N912">
        <f t="shared" si="44"/>
        <v>21.7</v>
      </c>
      <c r="O912" cm="1">
        <f t="array" ref="O912">_xlfn.LET(_xlpm.cat, Greenleaf[[#This Row],[Product Category]], _xlpm.prices, _xlfn._xlws.FILTER(Greenleaf[Unit Price], (Greenleaf[Product Category]=_xlpm.cat)*(Greenleaf[Unit Price]&lt;&gt;"")), IFERROR(MEDIAN(_xlpm.prices), ""))</f>
        <v>15</v>
      </c>
      <c r="P912">
        <f>IF(Greenleaf[[#This Row],[Shipment Status]]="Returned",1,0)</f>
        <v>0</v>
      </c>
      <c r="Q912">
        <f>IF(Greenleaf[[#This Row],[Shipment Status]]="Delivered",1,0)</f>
        <v>0</v>
      </c>
    </row>
    <row r="913" spans="1:17" x14ac:dyDescent="0.45">
      <c r="A913" t="s">
        <v>1273</v>
      </c>
      <c r="B913">
        <v>45623</v>
      </c>
      <c r="C913" t="s">
        <v>23</v>
      </c>
      <c r="D913" t="s">
        <v>24</v>
      </c>
      <c r="E913">
        <v>3</v>
      </c>
      <c r="F913">
        <v>25</v>
      </c>
      <c r="G913">
        <v>9.27</v>
      </c>
      <c r="H913" t="s">
        <v>489</v>
      </c>
      <c r="I913" t="s">
        <v>490</v>
      </c>
      <c r="J913" t="s">
        <v>42</v>
      </c>
      <c r="K913" t="s">
        <v>34</v>
      </c>
      <c r="L913">
        <f t="shared" si="42"/>
        <v>75</v>
      </c>
      <c r="M913">
        <f t="shared" si="43"/>
        <v>27.81</v>
      </c>
      <c r="N913">
        <f t="shared" si="44"/>
        <v>47.19</v>
      </c>
      <c r="O913" cm="1">
        <f t="array" ref="O913">_xlfn.LET(_xlpm.cat, Greenleaf[[#This Row],[Product Category]], _xlpm.prices, _xlfn._xlws.FILTER(Greenleaf[Unit Price], (Greenleaf[Product Category]=_xlpm.cat)*(Greenleaf[Unit Price]&lt;&gt;"")), IFERROR(MEDIAN(_xlpm.prices), ""))</f>
        <v>25</v>
      </c>
      <c r="P913">
        <f>IF(Greenleaf[[#This Row],[Shipment Status]]="Returned",1,0)</f>
        <v>1</v>
      </c>
      <c r="Q913">
        <f>IF(Greenleaf[[#This Row],[Shipment Status]]="Delivered",1,0)</f>
        <v>0</v>
      </c>
    </row>
    <row r="914" spans="1:17" x14ac:dyDescent="0.45">
      <c r="A914" t="s">
        <v>1274</v>
      </c>
      <c r="B914">
        <v>45623</v>
      </c>
      <c r="C914" t="s">
        <v>66</v>
      </c>
      <c r="D914" t="s">
        <v>67</v>
      </c>
      <c r="E914">
        <v>4</v>
      </c>
      <c r="F914">
        <v>12</v>
      </c>
      <c r="G914">
        <v>4.3899999999999997</v>
      </c>
      <c r="H914" t="s">
        <v>510</v>
      </c>
      <c r="I914" t="s">
        <v>511</v>
      </c>
      <c r="J914" t="s">
        <v>27</v>
      </c>
      <c r="K914" t="s">
        <v>70</v>
      </c>
      <c r="L914">
        <f t="shared" si="42"/>
        <v>48</v>
      </c>
      <c r="M914">
        <f t="shared" si="43"/>
        <v>17.559999999999999</v>
      </c>
      <c r="N914">
        <f t="shared" si="44"/>
        <v>30.44</v>
      </c>
      <c r="O914" cm="1">
        <f t="array" ref="O914">_xlfn.LET(_xlpm.cat, Greenleaf[[#This Row],[Product Category]], _xlpm.prices, _xlfn._xlws.FILTER(Greenleaf[Unit Price], (Greenleaf[Product Category]=_xlpm.cat)*(Greenleaf[Unit Price]&lt;&gt;"")), IFERROR(MEDIAN(_xlpm.prices), ""))</f>
        <v>12</v>
      </c>
      <c r="P914">
        <f>IF(Greenleaf[[#This Row],[Shipment Status]]="Returned",1,0)</f>
        <v>0</v>
      </c>
      <c r="Q914">
        <f>IF(Greenleaf[[#This Row],[Shipment Status]]="Delivered",1,0)</f>
        <v>1</v>
      </c>
    </row>
    <row r="915" spans="1:17" x14ac:dyDescent="0.45">
      <c r="A915" t="s">
        <v>1275</v>
      </c>
      <c r="B915">
        <v>45623</v>
      </c>
      <c r="C915" t="s">
        <v>23</v>
      </c>
      <c r="D915" t="s">
        <v>24</v>
      </c>
      <c r="E915">
        <v>10</v>
      </c>
      <c r="F915">
        <v>25</v>
      </c>
      <c r="G915">
        <v>9.83</v>
      </c>
      <c r="H915" t="s">
        <v>389</v>
      </c>
      <c r="I915" t="s">
        <v>390</v>
      </c>
      <c r="J915" t="s">
        <v>20</v>
      </c>
      <c r="K915" t="s">
        <v>34</v>
      </c>
      <c r="L915">
        <f t="shared" si="42"/>
        <v>250</v>
      </c>
      <c r="M915">
        <f t="shared" si="43"/>
        <v>98.3</v>
      </c>
      <c r="N915">
        <f t="shared" si="44"/>
        <v>151.69999999999999</v>
      </c>
      <c r="O915" cm="1">
        <f t="array" ref="O915">_xlfn.LET(_xlpm.cat, Greenleaf[[#This Row],[Product Category]], _xlpm.prices, _xlfn._xlws.FILTER(Greenleaf[Unit Price], (Greenleaf[Product Category]=_xlpm.cat)*(Greenleaf[Unit Price]&lt;&gt;"")), IFERROR(MEDIAN(_xlpm.prices), ""))</f>
        <v>25</v>
      </c>
      <c r="P915">
        <f>IF(Greenleaf[[#This Row],[Shipment Status]]="Returned",1,0)</f>
        <v>0</v>
      </c>
      <c r="Q915">
        <f>IF(Greenleaf[[#This Row],[Shipment Status]]="Delivered",1,0)</f>
        <v>0</v>
      </c>
    </row>
    <row r="916" spans="1:17" x14ac:dyDescent="0.45">
      <c r="A916" t="s">
        <v>1276</v>
      </c>
      <c r="B916">
        <v>45623</v>
      </c>
      <c r="C916" t="s">
        <v>66</v>
      </c>
      <c r="D916" t="s">
        <v>67</v>
      </c>
      <c r="E916">
        <v>2</v>
      </c>
      <c r="F916">
        <v>12</v>
      </c>
      <c r="G916">
        <v>3.46</v>
      </c>
      <c r="H916" t="s">
        <v>206</v>
      </c>
      <c r="I916" t="s">
        <v>207</v>
      </c>
      <c r="J916" t="s">
        <v>20</v>
      </c>
      <c r="K916" t="s">
        <v>43</v>
      </c>
      <c r="L916">
        <f t="shared" si="42"/>
        <v>24</v>
      </c>
      <c r="M916">
        <f t="shared" si="43"/>
        <v>6.92</v>
      </c>
      <c r="N916">
        <f t="shared" si="44"/>
        <v>17.079999999999998</v>
      </c>
      <c r="O916" cm="1">
        <f t="array" ref="O916">_xlfn.LET(_xlpm.cat, Greenleaf[[#This Row],[Product Category]], _xlpm.prices, _xlfn._xlws.FILTER(Greenleaf[Unit Price], (Greenleaf[Product Category]=_xlpm.cat)*(Greenleaf[Unit Price]&lt;&gt;"")), IFERROR(MEDIAN(_xlpm.prices), ""))</f>
        <v>12</v>
      </c>
      <c r="P916">
        <f>IF(Greenleaf[[#This Row],[Shipment Status]]="Returned",1,0)</f>
        <v>0</v>
      </c>
      <c r="Q916">
        <f>IF(Greenleaf[[#This Row],[Shipment Status]]="Delivered",1,0)</f>
        <v>0</v>
      </c>
    </row>
    <row r="917" spans="1:17" x14ac:dyDescent="0.45">
      <c r="A917" t="s">
        <v>1277</v>
      </c>
      <c r="B917">
        <v>45624</v>
      </c>
      <c r="C917" t="s">
        <v>23</v>
      </c>
      <c r="D917" t="s">
        <v>24</v>
      </c>
      <c r="E917">
        <v>2</v>
      </c>
      <c r="F917">
        <v>25</v>
      </c>
      <c r="G917">
        <v>7.66</v>
      </c>
      <c r="H917" t="s">
        <v>68</v>
      </c>
      <c r="I917" t="s">
        <v>69</v>
      </c>
      <c r="J917" t="s">
        <v>27</v>
      </c>
      <c r="K917" t="s">
        <v>34</v>
      </c>
      <c r="L917">
        <f t="shared" si="42"/>
        <v>50</v>
      </c>
      <c r="M917">
        <f t="shared" si="43"/>
        <v>15.32</v>
      </c>
      <c r="N917">
        <f t="shared" si="44"/>
        <v>34.68</v>
      </c>
      <c r="O917" cm="1">
        <f t="array" ref="O917">_xlfn.LET(_xlpm.cat, Greenleaf[[#This Row],[Product Category]], _xlpm.prices, _xlfn._xlws.FILTER(Greenleaf[Unit Price], (Greenleaf[Product Category]=_xlpm.cat)*(Greenleaf[Unit Price]&lt;&gt;"")), IFERROR(MEDIAN(_xlpm.prices), ""))</f>
        <v>25</v>
      </c>
      <c r="P917">
        <f>IF(Greenleaf[[#This Row],[Shipment Status]]="Returned",1,0)</f>
        <v>0</v>
      </c>
      <c r="Q917">
        <f>IF(Greenleaf[[#This Row],[Shipment Status]]="Delivered",1,0)</f>
        <v>1</v>
      </c>
    </row>
    <row r="918" spans="1:17" x14ac:dyDescent="0.45">
      <c r="A918" t="s">
        <v>1278</v>
      </c>
      <c r="B918">
        <v>45625</v>
      </c>
      <c r="C918" t="s">
        <v>16</v>
      </c>
      <c r="D918" t="s">
        <v>17</v>
      </c>
      <c r="E918">
        <v>10</v>
      </c>
      <c r="F918">
        <v>10</v>
      </c>
      <c r="G918">
        <v>2.0299999999999998</v>
      </c>
      <c r="H918" t="s">
        <v>434</v>
      </c>
      <c r="I918" t="s">
        <v>257</v>
      </c>
      <c r="J918" t="s">
        <v>20</v>
      </c>
      <c r="K918" t="s">
        <v>74</v>
      </c>
      <c r="L918">
        <f t="shared" si="42"/>
        <v>100</v>
      </c>
      <c r="M918">
        <f t="shared" si="43"/>
        <v>20.299999999999997</v>
      </c>
      <c r="N918">
        <f t="shared" si="44"/>
        <v>79.7</v>
      </c>
      <c r="O918" cm="1">
        <f t="array" ref="O918">_xlfn.LET(_xlpm.cat, Greenleaf[[#This Row],[Product Category]], _xlpm.prices, _xlfn._xlws.FILTER(Greenleaf[Unit Price], (Greenleaf[Product Category]=_xlpm.cat)*(Greenleaf[Unit Price]&lt;&gt;"")), IFERROR(MEDIAN(_xlpm.prices), ""))</f>
        <v>10</v>
      </c>
      <c r="P918">
        <f>IF(Greenleaf[[#This Row],[Shipment Status]]="Returned",1,0)</f>
        <v>0</v>
      </c>
      <c r="Q918">
        <f>IF(Greenleaf[[#This Row],[Shipment Status]]="Delivered",1,0)</f>
        <v>0</v>
      </c>
    </row>
    <row r="919" spans="1:17" x14ac:dyDescent="0.45">
      <c r="A919" t="s">
        <v>1279</v>
      </c>
      <c r="B919">
        <v>45625</v>
      </c>
      <c r="C919" t="s">
        <v>16</v>
      </c>
      <c r="D919" t="s">
        <v>17</v>
      </c>
      <c r="E919">
        <v>10</v>
      </c>
      <c r="F919">
        <v>10</v>
      </c>
      <c r="G919">
        <v>3.83</v>
      </c>
      <c r="H919" t="s">
        <v>524</v>
      </c>
      <c r="I919" t="s">
        <v>525</v>
      </c>
      <c r="J919" t="s">
        <v>42</v>
      </c>
      <c r="K919" t="s">
        <v>34</v>
      </c>
      <c r="L919">
        <f t="shared" si="42"/>
        <v>100</v>
      </c>
      <c r="M919">
        <f t="shared" si="43"/>
        <v>38.299999999999997</v>
      </c>
      <c r="N919">
        <f t="shared" si="44"/>
        <v>61.7</v>
      </c>
      <c r="O919" cm="1">
        <f t="array" ref="O919">_xlfn.LET(_xlpm.cat, Greenleaf[[#This Row],[Product Category]], _xlpm.prices, _xlfn._xlws.FILTER(Greenleaf[Unit Price], (Greenleaf[Product Category]=_xlpm.cat)*(Greenleaf[Unit Price]&lt;&gt;"")), IFERROR(MEDIAN(_xlpm.prices), ""))</f>
        <v>10</v>
      </c>
      <c r="P919">
        <f>IF(Greenleaf[[#This Row],[Shipment Status]]="Returned",1,0)</f>
        <v>1</v>
      </c>
      <c r="Q919">
        <f>IF(Greenleaf[[#This Row],[Shipment Status]]="Delivered",1,0)</f>
        <v>0</v>
      </c>
    </row>
    <row r="920" spans="1:17" x14ac:dyDescent="0.45">
      <c r="A920" t="s">
        <v>1280</v>
      </c>
      <c r="B920">
        <v>45625</v>
      </c>
      <c r="C920" t="s">
        <v>23</v>
      </c>
      <c r="D920" t="s">
        <v>24</v>
      </c>
      <c r="E920">
        <v>2</v>
      </c>
      <c r="F920">
        <v>25</v>
      </c>
      <c r="G920">
        <v>7.63</v>
      </c>
      <c r="H920" t="s">
        <v>245</v>
      </c>
      <c r="I920" t="s">
        <v>100</v>
      </c>
      <c r="J920" t="s">
        <v>47</v>
      </c>
      <c r="K920" t="s">
        <v>74</v>
      </c>
      <c r="L920">
        <f t="shared" si="42"/>
        <v>50</v>
      </c>
      <c r="M920">
        <f t="shared" si="43"/>
        <v>15.26</v>
      </c>
      <c r="N920">
        <f t="shared" si="44"/>
        <v>34.74</v>
      </c>
      <c r="O920" cm="1">
        <f t="array" ref="O920">_xlfn.LET(_xlpm.cat, Greenleaf[[#This Row],[Product Category]], _xlpm.prices, _xlfn._xlws.FILTER(Greenleaf[Unit Price], (Greenleaf[Product Category]=_xlpm.cat)*(Greenleaf[Unit Price]&lt;&gt;"")), IFERROR(MEDIAN(_xlpm.prices), ""))</f>
        <v>25</v>
      </c>
      <c r="P920">
        <f>IF(Greenleaf[[#This Row],[Shipment Status]]="Returned",1,0)</f>
        <v>0</v>
      </c>
      <c r="Q920">
        <f>IF(Greenleaf[[#This Row],[Shipment Status]]="Delivered",1,0)</f>
        <v>0</v>
      </c>
    </row>
    <row r="921" spans="1:17" x14ac:dyDescent="0.45">
      <c r="A921" t="s">
        <v>1281</v>
      </c>
      <c r="B921">
        <v>45625</v>
      </c>
      <c r="C921" t="s">
        <v>49</v>
      </c>
      <c r="D921" t="s">
        <v>50</v>
      </c>
      <c r="E921">
        <v>4</v>
      </c>
      <c r="F921">
        <v>15</v>
      </c>
      <c r="G921">
        <v>4.93</v>
      </c>
      <c r="H921" t="s">
        <v>118</v>
      </c>
      <c r="I921" t="s">
        <v>119</v>
      </c>
      <c r="J921" t="s">
        <v>27</v>
      </c>
      <c r="K921" t="s">
        <v>70</v>
      </c>
      <c r="L921">
        <f t="shared" si="42"/>
        <v>60</v>
      </c>
      <c r="M921">
        <f t="shared" si="43"/>
        <v>19.72</v>
      </c>
      <c r="N921">
        <f t="shared" si="44"/>
        <v>40.28</v>
      </c>
      <c r="O921" cm="1">
        <f t="array" ref="O921">_xlfn.LET(_xlpm.cat, Greenleaf[[#This Row],[Product Category]], _xlpm.prices, _xlfn._xlws.FILTER(Greenleaf[Unit Price], (Greenleaf[Product Category]=_xlpm.cat)*(Greenleaf[Unit Price]&lt;&gt;"")), IFERROR(MEDIAN(_xlpm.prices), ""))</f>
        <v>15</v>
      </c>
      <c r="P921">
        <f>IF(Greenleaf[[#This Row],[Shipment Status]]="Returned",1,0)</f>
        <v>0</v>
      </c>
      <c r="Q921">
        <f>IF(Greenleaf[[#This Row],[Shipment Status]]="Delivered",1,0)</f>
        <v>1</v>
      </c>
    </row>
    <row r="922" spans="1:17" x14ac:dyDescent="0.45">
      <c r="A922" t="s">
        <v>1282</v>
      </c>
      <c r="B922">
        <v>45627</v>
      </c>
      <c r="C922" t="s">
        <v>23</v>
      </c>
      <c r="D922" t="s">
        <v>24</v>
      </c>
      <c r="E922">
        <v>8</v>
      </c>
      <c r="F922">
        <v>25</v>
      </c>
      <c r="G922">
        <v>7.07</v>
      </c>
      <c r="H922" t="s">
        <v>840</v>
      </c>
      <c r="I922" t="s">
        <v>518</v>
      </c>
      <c r="J922" t="s">
        <v>27</v>
      </c>
      <c r="K922" t="s">
        <v>38</v>
      </c>
      <c r="L922">
        <f t="shared" si="42"/>
        <v>200</v>
      </c>
      <c r="M922">
        <f t="shared" si="43"/>
        <v>56.56</v>
      </c>
      <c r="N922">
        <f t="shared" si="44"/>
        <v>143.44</v>
      </c>
      <c r="O922" cm="1">
        <f t="array" ref="O922">_xlfn.LET(_xlpm.cat, Greenleaf[[#This Row],[Product Category]], _xlpm.prices, _xlfn._xlws.FILTER(Greenleaf[Unit Price], (Greenleaf[Product Category]=_xlpm.cat)*(Greenleaf[Unit Price]&lt;&gt;"")), IFERROR(MEDIAN(_xlpm.prices), ""))</f>
        <v>25</v>
      </c>
      <c r="P922">
        <f>IF(Greenleaf[[#This Row],[Shipment Status]]="Returned",1,0)</f>
        <v>0</v>
      </c>
      <c r="Q922">
        <f>IF(Greenleaf[[#This Row],[Shipment Status]]="Delivered",1,0)</f>
        <v>1</v>
      </c>
    </row>
    <row r="923" spans="1:17" x14ac:dyDescent="0.45">
      <c r="A923" t="s">
        <v>1283</v>
      </c>
      <c r="B923">
        <v>45627</v>
      </c>
      <c r="C923" t="s">
        <v>66</v>
      </c>
      <c r="D923" t="s">
        <v>67</v>
      </c>
      <c r="E923">
        <v>9</v>
      </c>
      <c r="F923">
        <v>12</v>
      </c>
      <c r="G923">
        <v>2.78</v>
      </c>
      <c r="H923" t="s">
        <v>174</v>
      </c>
      <c r="I923" t="s">
        <v>112</v>
      </c>
      <c r="J923" t="s">
        <v>20</v>
      </c>
      <c r="K923" t="s">
        <v>43</v>
      </c>
      <c r="L923">
        <f t="shared" si="42"/>
        <v>108</v>
      </c>
      <c r="M923">
        <f t="shared" si="43"/>
        <v>25.02</v>
      </c>
      <c r="N923">
        <f t="shared" si="44"/>
        <v>82.98</v>
      </c>
      <c r="O923" cm="1">
        <f t="array" ref="O923">_xlfn.LET(_xlpm.cat, Greenleaf[[#This Row],[Product Category]], _xlpm.prices, _xlfn._xlws.FILTER(Greenleaf[Unit Price], (Greenleaf[Product Category]=_xlpm.cat)*(Greenleaf[Unit Price]&lt;&gt;"")), IFERROR(MEDIAN(_xlpm.prices), ""))</f>
        <v>12</v>
      </c>
      <c r="P923">
        <f>IF(Greenleaf[[#This Row],[Shipment Status]]="Returned",1,0)</f>
        <v>0</v>
      </c>
      <c r="Q923">
        <f>IF(Greenleaf[[#This Row],[Shipment Status]]="Delivered",1,0)</f>
        <v>0</v>
      </c>
    </row>
    <row r="924" spans="1:17" x14ac:dyDescent="0.45">
      <c r="A924" t="s">
        <v>1284</v>
      </c>
      <c r="B924">
        <v>45627</v>
      </c>
      <c r="C924" t="s">
        <v>30</v>
      </c>
      <c r="D924" t="s">
        <v>31</v>
      </c>
      <c r="E924">
        <v>3</v>
      </c>
      <c r="F924">
        <v>40</v>
      </c>
      <c r="G924">
        <v>15.33</v>
      </c>
      <c r="H924" t="s">
        <v>598</v>
      </c>
      <c r="I924" t="s">
        <v>474</v>
      </c>
      <c r="J924" t="s">
        <v>27</v>
      </c>
      <c r="K924" t="s">
        <v>21</v>
      </c>
      <c r="L924">
        <f t="shared" si="42"/>
        <v>120</v>
      </c>
      <c r="M924">
        <f t="shared" si="43"/>
        <v>45.99</v>
      </c>
      <c r="N924">
        <f t="shared" si="44"/>
        <v>74.009999999999991</v>
      </c>
      <c r="O924" cm="1">
        <f t="array" ref="O924">_xlfn.LET(_xlpm.cat, Greenleaf[[#This Row],[Product Category]], _xlpm.prices, _xlfn._xlws.FILTER(Greenleaf[Unit Price], (Greenleaf[Product Category]=_xlpm.cat)*(Greenleaf[Unit Price]&lt;&gt;"")), IFERROR(MEDIAN(_xlpm.prices), ""))</f>
        <v>40</v>
      </c>
      <c r="P924">
        <f>IF(Greenleaf[[#This Row],[Shipment Status]]="Returned",1,0)</f>
        <v>0</v>
      </c>
      <c r="Q924">
        <f>IF(Greenleaf[[#This Row],[Shipment Status]]="Delivered",1,0)</f>
        <v>1</v>
      </c>
    </row>
    <row r="925" spans="1:17" x14ac:dyDescent="0.45">
      <c r="A925" t="s">
        <v>1285</v>
      </c>
      <c r="B925">
        <v>45628</v>
      </c>
      <c r="C925" t="s">
        <v>66</v>
      </c>
      <c r="D925" t="s">
        <v>67</v>
      </c>
      <c r="E925">
        <v>1</v>
      </c>
      <c r="F925">
        <v>12</v>
      </c>
      <c r="G925">
        <v>4.46</v>
      </c>
      <c r="H925" t="s">
        <v>45</v>
      </c>
      <c r="I925" t="s">
        <v>46</v>
      </c>
      <c r="J925" t="s">
        <v>20</v>
      </c>
      <c r="K925" t="s">
        <v>43</v>
      </c>
      <c r="L925">
        <f t="shared" si="42"/>
        <v>12</v>
      </c>
      <c r="M925">
        <f t="shared" si="43"/>
        <v>4.46</v>
      </c>
      <c r="N925">
        <f t="shared" si="44"/>
        <v>7.54</v>
      </c>
      <c r="O925" cm="1">
        <f t="array" ref="O925">_xlfn.LET(_xlpm.cat, Greenleaf[[#This Row],[Product Category]], _xlpm.prices, _xlfn._xlws.FILTER(Greenleaf[Unit Price], (Greenleaf[Product Category]=_xlpm.cat)*(Greenleaf[Unit Price]&lt;&gt;"")), IFERROR(MEDIAN(_xlpm.prices), ""))</f>
        <v>12</v>
      </c>
      <c r="P925">
        <f>IF(Greenleaf[[#This Row],[Shipment Status]]="Returned",1,0)</f>
        <v>0</v>
      </c>
      <c r="Q925">
        <f>IF(Greenleaf[[#This Row],[Shipment Status]]="Delivered",1,0)</f>
        <v>0</v>
      </c>
    </row>
    <row r="926" spans="1:17" x14ac:dyDescent="0.45">
      <c r="A926" t="s">
        <v>1286</v>
      </c>
      <c r="B926">
        <v>45629</v>
      </c>
      <c r="C926" t="s">
        <v>49</v>
      </c>
      <c r="D926" t="s">
        <v>50</v>
      </c>
      <c r="E926">
        <v>10</v>
      </c>
      <c r="F926">
        <v>15</v>
      </c>
      <c r="G926">
        <v>3.12</v>
      </c>
      <c r="H926" t="s">
        <v>904</v>
      </c>
      <c r="I926" t="s">
        <v>905</v>
      </c>
      <c r="J926" t="s">
        <v>27</v>
      </c>
      <c r="K926" t="s">
        <v>34</v>
      </c>
      <c r="L926">
        <f t="shared" si="42"/>
        <v>150</v>
      </c>
      <c r="M926">
        <f t="shared" si="43"/>
        <v>31.200000000000003</v>
      </c>
      <c r="N926">
        <f t="shared" si="44"/>
        <v>118.8</v>
      </c>
      <c r="O926" cm="1">
        <f t="array" ref="O926">_xlfn.LET(_xlpm.cat, Greenleaf[[#This Row],[Product Category]], _xlpm.prices, _xlfn._xlws.FILTER(Greenleaf[Unit Price], (Greenleaf[Product Category]=_xlpm.cat)*(Greenleaf[Unit Price]&lt;&gt;"")), IFERROR(MEDIAN(_xlpm.prices), ""))</f>
        <v>15</v>
      </c>
      <c r="P926">
        <f>IF(Greenleaf[[#This Row],[Shipment Status]]="Returned",1,0)</f>
        <v>0</v>
      </c>
      <c r="Q926">
        <f>IF(Greenleaf[[#This Row],[Shipment Status]]="Delivered",1,0)</f>
        <v>1</v>
      </c>
    </row>
    <row r="927" spans="1:17" x14ac:dyDescent="0.45">
      <c r="A927" t="s">
        <v>1287</v>
      </c>
      <c r="B927">
        <v>45629</v>
      </c>
      <c r="C927" t="s">
        <v>23</v>
      </c>
      <c r="D927" t="s">
        <v>24</v>
      </c>
      <c r="E927">
        <v>5</v>
      </c>
      <c r="F927">
        <v>25</v>
      </c>
      <c r="G927">
        <v>5.22</v>
      </c>
      <c r="H927" t="s">
        <v>289</v>
      </c>
      <c r="I927" t="s">
        <v>290</v>
      </c>
      <c r="J927" t="s">
        <v>47</v>
      </c>
      <c r="K927" t="s">
        <v>74</v>
      </c>
      <c r="L927">
        <f t="shared" si="42"/>
        <v>125</v>
      </c>
      <c r="M927">
        <f t="shared" si="43"/>
        <v>26.099999999999998</v>
      </c>
      <c r="N927">
        <f t="shared" si="44"/>
        <v>98.9</v>
      </c>
      <c r="O927" cm="1">
        <f t="array" ref="O927">_xlfn.LET(_xlpm.cat, Greenleaf[[#This Row],[Product Category]], _xlpm.prices, _xlfn._xlws.FILTER(Greenleaf[Unit Price], (Greenleaf[Product Category]=_xlpm.cat)*(Greenleaf[Unit Price]&lt;&gt;"")), IFERROR(MEDIAN(_xlpm.prices), ""))</f>
        <v>25</v>
      </c>
      <c r="P927">
        <f>IF(Greenleaf[[#This Row],[Shipment Status]]="Returned",1,0)</f>
        <v>0</v>
      </c>
      <c r="Q927">
        <f>IF(Greenleaf[[#This Row],[Shipment Status]]="Delivered",1,0)</f>
        <v>0</v>
      </c>
    </row>
    <row r="928" spans="1:17" x14ac:dyDescent="0.45">
      <c r="A928" t="s">
        <v>1288</v>
      </c>
      <c r="B928">
        <v>45630</v>
      </c>
      <c r="C928" t="s">
        <v>23</v>
      </c>
      <c r="D928" t="s">
        <v>24</v>
      </c>
      <c r="E928">
        <v>2</v>
      </c>
      <c r="F928">
        <v>25</v>
      </c>
      <c r="G928">
        <v>7.12</v>
      </c>
      <c r="H928" t="s">
        <v>773</v>
      </c>
      <c r="I928" t="s">
        <v>249</v>
      </c>
      <c r="J928" t="s">
        <v>47</v>
      </c>
      <c r="K928" t="s">
        <v>28</v>
      </c>
      <c r="L928">
        <f t="shared" si="42"/>
        <v>50</v>
      </c>
      <c r="M928">
        <f t="shared" si="43"/>
        <v>14.24</v>
      </c>
      <c r="N928">
        <f t="shared" si="44"/>
        <v>35.76</v>
      </c>
      <c r="O928" cm="1">
        <f t="array" ref="O928">_xlfn.LET(_xlpm.cat, Greenleaf[[#This Row],[Product Category]], _xlpm.prices, _xlfn._xlws.FILTER(Greenleaf[Unit Price], (Greenleaf[Product Category]=_xlpm.cat)*(Greenleaf[Unit Price]&lt;&gt;"")), IFERROR(MEDIAN(_xlpm.prices), ""))</f>
        <v>25</v>
      </c>
      <c r="P928">
        <f>IF(Greenleaf[[#This Row],[Shipment Status]]="Returned",1,0)</f>
        <v>0</v>
      </c>
      <c r="Q928">
        <f>IF(Greenleaf[[#This Row],[Shipment Status]]="Delivered",1,0)</f>
        <v>0</v>
      </c>
    </row>
    <row r="929" spans="1:17" x14ac:dyDescent="0.45">
      <c r="A929" t="s">
        <v>1289</v>
      </c>
      <c r="B929">
        <v>45631</v>
      </c>
      <c r="C929" t="s">
        <v>66</v>
      </c>
      <c r="D929" t="s">
        <v>67</v>
      </c>
      <c r="E929">
        <v>4</v>
      </c>
      <c r="F929">
        <v>12</v>
      </c>
      <c r="G929">
        <v>4.01</v>
      </c>
      <c r="H929" t="s">
        <v>1232</v>
      </c>
      <c r="I929" t="s">
        <v>1233</v>
      </c>
      <c r="J929" t="s">
        <v>27</v>
      </c>
      <c r="K929" t="s">
        <v>74</v>
      </c>
      <c r="L929">
        <f t="shared" si="42"/>
        <v>48</v>
      </c>
      <c r="M929">
        <f t="shared" si="43"/>
        <v>16.04</v>
      </c>
      <c r="N929">
        <f t="shared" si="44"/>
        <v>31.96</v>
      </c>
      <c r="O929" cm="1">
        <f t="array" ref="O929">_xlfn.LET(_xlpm.cat, Greenleaf[[#This Row],[Product Category]], _xlpm.prices, _xlfn._xlws.FILTER(Greenleaf[Unit Price], (Greenleaf[Product Category]=_xlpm.cat)*(Greenleaf[Unit Price]&lt;&gt;"")), IFERROR(MEDIAN(_xlpm.prices), ""))</f>
        <v>12</v>
      </c>
      <c r="P929">
        <f>IF(Greenleaf[[#This Row],[Shipment Status]]="Returned",1,0)</f>
        <v>0</v>
      </c>
      <c r="Q929">
        <f>IF(Greenleaf[[#This Row],[Shipment Status]]="Delivered",1,0)</f>
        <v>1</v>
      </c>
    </row>
    <row r="930" spans="1:17" x14ac:dyDescent="0.45">
      <c r="A930" t="s">
        <v>1290</v>
      </c>
      <c r="B930">
        <v>45631</v>
      </c>
      <c r="C930" t="s">
        <v>30</v>
      </c>
      <c r="D930" t="s">
        <v>31</v>
      </c>
      <c r="E930">
        <v>8</v>
      </c>
      <c r="F930">
        <v>40</v>
      </c>
      <c r="G930">
        <v>8.52</v>
      </c>
      <c r="H930" t="s">
        <v>251</v>
      </c>
      <c r="I930" t="s">
        <v>252</v>
      </c>
      <c r="J930" t="s">
        <v>27</v>
      </c>
      <c r="K930" t="s">
        <v>21</v>
      </c>
      <c r="L930">
        <f t="shared" si="42"/>
        <v>320</v>
      </c>
      <c r="M930">
        <f t="shared" si="43"/>
        <v>68.16</v>
      </c>
      <c r="N930">
        <f t="shared" si="44"/>
        <v>251.84</v>
      </c>
      <c r="O930" cm="1">
        <f t="array" ref="O930">_xlfn.LET(_xlpm.cat, Greenleaf[[#This Row],[Product Category]], _xlpm.prices, _xlfn._xlws.FILTER(Greenleaf[Unit Price], (Greenleaf[Product Category]=_xlpm.cat)*(Greenleaf[Unit Price]&lt;&gt;"")), IFERROR(MEDIAN(_xlpm.prices), ""))</f>
        <v>40</v>
      </c>
      <c r="P930">
        <f>IF(Greenleaf[[#This Row],[Shipment Status]]="Returned",1,0)</f>
        <v>0</v>
      </c>
      <c r="Q930">
        <f>IF(Greenleaf[[#This Row],[Shipment Status]]="Delivered",1,0)</f>
        <v>1</v>
      </c>
    </row>
    <row r="931" spans="1:17" x14ac:dyDescent="0.45">
      <c r="A931" t="s">
        <v>1291</v>
      </c>
      <c r="B931">
        <v>45631</v>
      </c>
      <c r="C931" t="s">
        <v>23</v>
      </c>
      <c r="D931" t="s">
        <v>24</v>
      </c>
      <c r="E931">
        <v>10</v>
      </c>
      <c r="F931">
        <v>25</v>
      </c>
      <c r="G931">
        <v>6.39</v>
      </c>
      <c r="H931" t="s">
        <v>573</v>
      </c>
      <c r="I931" t="s">
        <v>574</v>
      </c>
      <c r="J931" t="s">
        <v>20</v>
      </c>
      <c r="K931" t="s">
        <v>59</v>
      </c>
      <c r="L931">
        <f t="shared" si="42"/>
        <v>250</v>
      </c>
      <c r="M931">
        <f t="shared" si="43"/>
        <v>63.9</v>
      </c>
      <c r="N931">
        <f t="shared" si="44"/>
        <v>186.1</v>
      </c>
      <c r="O931" cm="1">
        <f t="array" ref="O931">_xlfn.LET(_xlpm.cat, Greenleaf[[#This Row],[Product Category]], _xlpm.prices, _xlfn._xlws.FILTER(Greenleaf[Unit Price], (Greenleaf[Product Category]=_xlpm.cat)*(Greenleaf[Unit Price]&lt;&gt;"")), IFERROR(MEDIAN(_xlpm.prices), ""))</f>
        <v>25</v>
      </c>
      <c r="P931">
        <f>IF(Greenleaf[[#This Row],[Shipment Status]]="Returned",1,0)</f>
        <v>0</v>
      </c>
      <c r="Q931">
        <f>IF(Greenleaf[[#This Row],[Shipment Status]]="Delivered",1,0)</f>
        <v>0</v>
      </c>
    </row>
    <row r="932" spans="1:17" x14ac:dyDescent="0.45">
      <c r="A932" t="s">
        <v>1292</v>
      </c>
      <c r="B932">
        <v>45631</v>
      </c>
      <c r="C932" t="s">
        <v>23</v>
      </c>
      <c r="D932" t="s">
        <v>24</v>
      </c>
      <c r="E932">
        <v>6</v>
      </c>
      <c r="F932">
        <v>25</v>
      </c>
      <c r="G932">
        <v>7.8</v>
      </c>
      <c r="H932" t="s">
        <v>550</v>
      </c>
      <c r="I932" t="s">
        <v>319</v>
      </c>
      <c r="J932" t="s">
        <v>20</v>
      </c>
      <c r="K932" t="s">
        <v>28</v>
      </c>
      <c r="L932">
        <f t="shared" si="42"/>
        <v>150</v>
      </c>
      <c r="M932">
        <f t="shared" si="43"/>
        <v>46.8</v>
      </c>
      <c r="N932">
        <f t="shared" si="44"/>
        <v>103.2</v>
      </c>
      <c r="O932" cm="1">
        <f t="array" ref="O932">_xlfn.LET(_xlpm.cat, Greenleaf[[#This Row],[Product Category]], _xlpm.prices, _xlfn._xlws.FILTER(Greenleaf[Unit Price], (Greenleaf[Product Category]=_xlpm.cat)*(Greenleaf[Unit Price]&lt;&gt;"")), IFERROR(MEDIAN(_xlpm.prices), ""))</f>
        <v>25</v>
      </c>
      <c r="P932">
        <f>IF(Greenleaf[[#This Row],[Shipment Status]]="Returned",1,0)</f>
        <v>0</v>
      </c>
      <c r="Q932">
        <f>IF(Greenleaf[[#This Row],[Shipment Status]]="Delivered",1,0)</f>
        <v>0</v>
      </c>
    </row>
    <row r="933" spans="1:17" x14ac:dyDescent="0.45">
      <c r="A933" t="s">
        <v>1293</v>
      </c>
      <c r="B933">
        <v>45631</v>
      </c>
      <c r="C933" t="s">
        <v>30</v>
      </c>
      <c r="D933" t="s">
        <v>31</v>
      </c>
      <c r="E933">
        <v>4</v>
      </c>
      <c r="F933">
        <v>40</v>
      </c>
      <c r="G933">
        <v>8.2899999999999991</v>
      </c>
      <c r="H933" t="s">
        <v>156</v>
      </c>
      <c r="I933" t="s">
        <v>55</v>
      </c>
      <c r="J933" t="s">
        <v>20</v>
      </c>
      <c r="K933" t="s">
        <v>43</v>
      </c>
      <c r="L933">
        <f t="shared" si="42"/>
        <v>160</v>
      </c>
      <c r="M933">
        <f t="shared" si="43"/>
        <v>33.159999999999997</v>
      </c>
      <c r="N933">
        <f t="shared" si="44"/>
        <v>126.84</v>
      </c>
      <c r="O933" cm="1">
        <f t="array" ref="O933">_xlfn.LET(_xlpm.cat, Greenleaf[[#This Row],[Product Category]], _xlpm.prices, _xlfn._xlws.FILTER(Greenleaf[Unit Price], (Greenleaf[Product Category]=_xlpm.cat)*(Greenleaf[Unit Price]&lt;&gt;"")), IFERROR(MEDIAN(_xlpm.prices), ""))</f>
        <v>40</v>
      </c>
      <c r="P933">
        <f>IF(Greenleaf[[#This Row],[Shipment Status]]="Returned",1,0)</f>
        <v>0</v>
      </c>
      <c r="Q933">
        <f>IF(Greenleaf[[#This Row],[Shipment Status]]="Delivered",1,0)</f>
        <v>0</v>
      </c>
    </row>
    <row r="934" spans="1:17" x14ac:dyDescent="0.45">
      <c r="A934" t="s">
        <v>1294</v>
      </c>
      <c r="B934">
        <v>45632</v>
      </c>
      <c r="C934" t="s">
        <v>16</v>
      </c>
      <c r="D934" t="s">
        <v>17</v>
      </c>
      <c r="E934">
        <v>10</v>
      </c>
      <c r="F934">
        <v>10</v>
      </c>
      <c r="G934">
        <v>3.14</v>
      </c>
      <c r="H934" t="s">
        <v>703</v>
      </c>
      <c r="I934" t="s">
        <v>198</v>
      </c>
      <c r="J934" t="s">
        <v>27</v>
      </c>
      <c r="K934" t="s">
        <v>70</v>
      </c>
      <c r="L934">
        <f t="shared" si="42"/>
        <v>100</v>
      </c>
      <c r="M934">
        <f t="shared" si="43"/>
        <v>31.400000000000002</v>
      </c>
      <c r="N934">
        <f t="shared" si="44"/>
        <v>68.599999999999994</v>
      </c>
      <c r="O934" cm="1">
        <f t="array" ref="O934">_xlfn.LET(_xlpm.cat, Greenleaf[[#This Row],[Product Category]], _xlpm.prices, _xlfn._xlws.FILTER(Greenleaf[Unit Price], (Greenleaf[Product Category]=_xlpm.cat)*(Greenleaf[Unit Price]&lt;&gt;"")), IFERROR(MEDIAN(_xlpm.prices), ""))</f>
        <v>10</v>
      </c>
      <c r="P934">
        <f>IF(Greenleaf[[#This Row],[Shipment Status]]="Returned",1,0)</f>
        <v>0</v>
      </c>
      <c r="Q934">
        <f>IF(Greenleaf[[#This Row],[Shipment Status]]="Delivered",1,0)</f>
        <v>1</v>
      </c>
    </row>
    <row r="935" spans="1:17" x14ac:dyDescent="0.45">
      <c r="A935" t="s">
        <v>1295</v>
      </c>
      <c r="B935">
        <v>45632</v>
      </c>
      <c r="C935" t="s">
        <v>23</v>
      </c>
      <c r="D935" t="s">
        <v>24</v>
      </c>
      <c r="E935">
        <v>3</v>
      </c>
      <c r="F935">
        <v>25</v>
      </c>
      <c r="G935">
        <v>8.4700000000000006</v>
      </c>
      <c r="H935" t="s">
        <v>561</v>
      </c>
      <c r="I935" t="s">
        <v>562</v>
      </c>
      <c r="J935" t="s">
        <v>20</v>
      </c>
      <c r="K935" t="s">
        <v>43</v>
      </c>
      <c r="L935">
        <f t="shared" si="42"/>
        <v>75</v>
      </c>
      <c r="M935">
        <f t="shared" si="43"/>
        <v>25.410000000000004</v>
      </c>
      <c r="N935">
        <f t="shared" si="44"/>
        <v>49.589999999999996</v>
      </c>
      <c r="O935" cm="1">
        <f t="array" ref="O935">_xlfn.LET(_xlpm.cat, Greenleaf[[#This Row],[Product Category]], _xlpm.prices, _xlfn._xlws.FILTER(Greenleaf[Unit Price], (Greenleaf[Product Category]=_xlpm.cat)*(Greenleaf[Unit Price]&lt;&gt;"")), IFERROR(MEDIAN(_xlpm.prices), ""))</f>
        <v>25</v>
      </c>
      <c r="P935">
        <f>IF(Greenleaf[[#This Row],[Shipment Status]]="Returned",1,0)</f>
        <v>0</v>
      </c>
      <c r="Q935">
        <f>IF(Greenleaf[[#This Row],[Shipment Status]]="Delivered",1,0)</f>
        <v>0</v>
      </c>
    </row>
    <row r="936" spans="1:17" x14ac:dyDescent="0.45">
      <c r="A936" t="s">
        <v>1296</v>
      </c>
      <c r="B936">
        <v>45632</v>
      </c>
      <c r="C936" t="s">
        <v>30</v>
      </c>
      <c r="D936" t="s">
        <v>31</v>
      </c>
      <c r="E936">
        <v>9</v>
      </c>
      <c r="F936">
        <v>40</v>
      </c>
      <c r="G936">
        <v>14.84</v>
      </c>
      <c r="H936" t="s">
        <v>337</v>
      </c>
      <c r="I936" t="s">
        <v>183</v>
      </c>
      <c r="J936" t="s">
        <v>27</v>
      </c>
      <c r="K936" t="s">
        <v>21</v>
      </c>
      <c r="L936">
        <f t="shared" si="42"/>
        <v>360</v>
      </c>
      <c r="M936">
        <f t="shared" si="43"/>
        <v>133.56</v>
      </c>
      <c r="N936">
        <f t="shared" si="44"/>
        <v>226.44</v>
      </c>
      <c r="O936" cm="1">
        <f t="array" ref="O936">_xlfn.LET(_xlpm.cat, Greenleaf[[#This Row],[Product Category]], _xlpm.prices, _xlfn._xlws.FILTER(Greenleaf[Unit Price], (Greenleaf[Product Category]=_xlpm.cat)*(Greenleaf[Unit Price]&lt;&gt;"")), IFERROR(MEDIAN(_xlpm.prices), ""))</f>
        <v>40</v>
      </c>
      <c r="P936">
        <f>IF(Greenleaf[[#This Row],[Shipment Status]]="Returned",1,0)</f>
        <v>0</v>
      </c>
      <c r="Q936">
        <f>IF(Greenleaf[[#This Row],[Shipment Status]]="Delivered",1,0)</f>
        <v>1</v>
      </c>
    </row>
    <row r="937" spans="1:17" x14ac:dyDescent="0.45">
      <c r="A937" t="s">
        <v>1297</v>
      </c>
      <c r="B937">
        <v>45633</v>
      </c>
      <c r="C937" t="s">
        <v>16</v>
      </c>
      <c r="D937" t="s">
        <v>17</v>
      </c>
      <c r="E937">
        <v>6</v>
      </c>
      <c r="F937">
        <v>10</v>
      </c>
      <c r="G937">
        <v>3.49</v>
      </c>
      <c r="H937" t="s">
        <v>238</v>
      </c>
      <c r="I937" t="s">
        <v>239</v>
      </c>
      <c r="J937" t="s">
        <v>27</v>
      </c>
      <c r="K937" t="s">
        <v>70</v>
      </c>
      <c r="L937">
        <f t="shared" si="42"/>
        <v>60</v>
      </c>
      <c r="M937">
        <f t="shared" si="43"/>
        <v>20.94</v>
      </c>
      <c r="N937">
        <f t="shared" si="44"/>
        <v>39.06</v>
      </c>
      <c r="O937" cm="1">
        <f t="array" ref="O937">_xlfn.LET(_xlpm.cat, Greenleaf[[#This Row],[Product Category]], _xlpm.prices, _xlfn._xlws.FILTER(Greenleaf[Unit Price], (Greenleaf[Product Category]=_xlpm.cat)*(Greenleaf[Unit Price]&lt;&gt;"")), IFERROR(MEDIAN(_xlpm.prices), ""))</f>
        <v>10</v>
      </c>
      <c r="P937">
        <f>IF(Greenleaf[[#This Row],[Shipment Status]]="Returned",1,0)</f>
        <v>0</v>
      </c>
      <c r="Q937">
        <f>IF(Greenleaf[[#This Row],[Shipment Status]]="Delivered",1,0)</f>
        <v>1</v>
      </c>
    </row>
    <row r="938" spans="1:17" x14ac:dyDescent="0.45">
      <c r="A938" t="s">
        <v>1298</v>
      </c>
      <c r="B938">
        <v>45633</v>
      </c>
      <c r="C938" t="s">
        <v>49</v>
      </c>
      <c r="D938" t="s">
        <v>50</v>
      </c>
      <c r="E938">
        <v>2</v>
      </c>
      <c r="F938">
        <v>15</v>
      </c>
      <c r="G938">
        <v>5.61</v>
      </c>
      <c r="H938" t="s">
        <v>124</v>
      </c>
      <c r="I938" t="s">
        <v>125</v>
      </c>
      <c r="J938" t="s">
        <v>27</v>
      </c>
      <c r="K938" t="s">
        <v>21</v>
      </c>
      <c r="L938">
        <f t="shared" si="42"/>
        <v>30</v>
      </c>
      <c r="M938">
        <f t="shared" si="43"/>
        <v>11.22</v>
      </c>
      <c r="N938">
        <f t="shared" si="44"/>
        <v>18.78</v>
      </c>
      <c r="O938" cm="1">
        <f t="array" ref="O938">_xlfn.LET(_xlpm.cat, Greenleaf[[#This Row],[Product Category]], _xlpm.prices, _xlfn._xlws.FILTER(Greenleaf[Unit Price], (Greenleaf[Product Category]=_xlpm.cat)*(Greenleaf[Unit Price]&lt;&gt;"")), IFERROR(MEDIAN(_xlpm.prices), ""))</f>
        <v>15</v>
      </c>
      <c r="P938">
        <f>IF(Greenleaf[[#This Row],[Shipment Status]]="Returned",1,0)</f>
        <v>0</v>
      </c>
      <c r="Q938">
        <f>IF(Greenleaf[[#This Row],[Shipment Status]]="Delivered",1,0)</f>
        <v>1</v>
      </c>
    </row>
    <row r="939" spans="1:17" x14ac:dyDescent="0.45">
      <c r="A939" t="s">
        <v>1299</v>
      </c>
      <c r="B939">
        <v>45633</v>
      </c>
      <c r="C939" t="s">
        <v>23</v>
      </c>
      <c r="D939" t="s">
        <v>24</v>
      </c>
      <c r="E939">
        <v>7</v>
      </c>
      <c r="F939">
        <v>25</v>
      </c>
      <c r="G939">
        <v>7.45</v>
      </c>
      <c r="H939" t="s">
        <v>51</v>
      </c>
      <c r="I939" t="s">
        <v>52</v>
      </c>
      <c r="J939" t="s">
        <v>27</v>
      </c>
      <c r="K939" t="s">
        <v>28</v>
      </c>
      <c r="L939">
        <f t="shared" si="42"/>
        <v>175</v>
      </c>
      <c r="M939">
        <f t="shared" si="43"/>
        <v>52.15</v>
      </c>
      <c r="N939">
        <f t="shared" si="44"/>
        <v>122.85</v>
      </c>
      <c r="O939" cm="1">
        <f t="array" ref="O939">_xlfn.LET(_xlpm.cat, Greenleaf[[#This Row],[Product Category]], _xlpm.prices, _xlfn._xlws.FILTER(Greenleaf[Unit Price], (Greenleaf[Product Category]=_xlpm.cat)*(Greenleaf[Unit Price]&lt;&gt;"")), IFERROR(MEDIAN(_xlpm.prices), ""))</f>
        <v>25</v>
      </c>
      <c r="P939">
        <f>IF(Greenleaf[[#This Row],[Shipment Status]]="Returned",1,0)</f>
        <v>0</v>
      </c>
      <c r="Q939">
        <f>IF(Greenleaf[[#This Row],[Shipment Status]]="Delivered",1,0)</f>
        <v>1</v>
      </c>
    </row>
    <row r="940" spans="1:17" x14ac:dyDescent="0.45">
      <c r="A940" t="s">
        <v>1300</v>
      </c>
      <c r="B940">
        <v>45635</v>
      </c>
      <c r="C940" t="s">
        <v>30</v>
      </c>
      <c r="D940" t="s">
        <v>31</v>
      </c>
      <c r="E940">
        <v>3</v>
      </c>
      <c r="F940">
        <v>40</v>
      </c>
      <c r="G940">
        <v>13.88</v>
      </c>
      <c r="H940" t="s">
        <v>473</v>
      </c>
      <c r="I940" t="s">
        <v>474</v>
      </c>
      <c r="J940" t="s">
        <v>27</v>
      </c>
      <c r="K940" t="s">
        <v>74</v>
      </c>
      <c r="L940">
        <f t="shared" si="42"/>
        <v>120</v>
      </c>
      <c r="M940">
        <f t="shared" si="43"/>
        <v>41.64</v>
      </c>
      <c r="N940">
        <f t="shared" si="44"/>
        <v>78.36</v>
      </c>
      <c r="O940" cm="1">
        <f t="array" ref="O940">_xlfn.LET(_xlpm.cat, Greenleaf[[#This Row],[Product Category]], _xlpm.prices, _xlfn._xlws.FILTER(Greenleaf[Unit Price], (Greenleaf[Product Category]=_xlpm.cat)*(Greenleaf[Unit Price]&lt;&gt;"")), IFERROR(MEDIAN(_xlpm.prices), ""))</f>
        <v>40</v>
      </c>
      <c r="P940">
        <f>IF(Greenleaf[[#This Row],[Shipment Status]]="Returned",1,0)</f>
        <v>0</v>
      </c>
      <c r="Q940">
        <f>IF(Greenleaf[[#This Row],[Shipment Status]]="Delivered",1,0)</f>
        <v>1</v>
      </c>
    </row>
    <row r="941" spans="1:17" x14ac:dyDescent="0.45">
      <c r="A941" t="s">
        <v>1301</v>
      </c>
      <c r="B941">
        <v>45635</v>
      </c>
      <c r="C941" t="s">
        <v>30</v>
      </c>
      <c r="D941" t="s">
        <v>31</v>
      </c>
      <c r="E941">
        <v>10</v>
      </c>
      <c r="F941">
        <v>40</v>
      </c>
      <c r="G941">
        <v>10.5</v>
      </c>
      <c r="H941" t="s">
        <v>565</v>
      </c>
      <c r="I941" t="s">
        <v>566</v>
      </c>
      <c r="J941" t="s">
        <v>27</v>
      </c>
      <c r="K941" t="s">
        <v>59</v>
      </c>
      <c r="L941">
        <f t="shared" si="42"/>
        <v>400</v>
      </c>
      <c r="M941">
        <f t="shared" si="43"/>
        <v>105</v>
      </c>
      <c r="N941">
        <f t="shared" si="44"/>
        <v>295</v>
      </c>
      <c r="O941" cm="1">
        <f t="array" ref="O941">_xlfn.LET(_xlpm.cat, Greenleaf[[#This Row],[Product Category]], _xlpm.prices, _xlfn._xlws.FILTER(Greenleaf[Unit Price], (Greenleaf[Product Category]=_xlpm.cat)*(Greenleaf[Unit Price]&lt;&gt;"")), IFERROR(MEDIAN(_xlpm.prices), ""))</f>
        <v>40</v>
      </c>
      <c r="P941">
        <f>IF(Greenleaf[[#This Row],[Shipment Status]]="Returned",1,0)</f>
        <v>0</v>
      </c>
      <c r="Q941">
        <f>IF(Greenleaf[[#This Row],[Shipment Status]]="Delivered",1,0)</f>
        <v>1</v>
      </c>
    </row>
    <row r="942" spans="1:17" x14ac:dyDescent="0.45">
      <c r="A942" t="s">
        <v>1302</v>
      </c>
      <c r="B942">
        <v>45636</v>
      </c>
      <c r="C942" t="s">
        <v>49</v>
      </c>
      <c r="D942" t="s">
        <v>50</v>
      </c>
      <c r="E942">
        <v>3</v>
      </c>
      <c r="F942">
        <v>15</v>
      </c>
      <c r="G942">
        <v>3.32</v>
      </c>
      <c r="H942" t="s">
        <v>209</v>
      </c>
      <c r="I942" t="s">
        <v>210</v>
      </c>
      <c r="J942" t="s">
        <v>27</v>
      </c>
      <c r="K942" t="s">
        <v>38</v>
      </c>
      <c r="L942">
        <f t="shared" si="42"/>
        <v>45</v>
      </c>
      <c r="M942">
        <f t="shared" si="43"/>
        <v>9.9599999999999991</v>
      </c>
      <c r="N942">
        <f t="shared" si="44"/>
        <v>35.04</v>
      </c>
      <c r="O942" cm="1">
        <f t="array" ref="O942">_xlfn.LET(_xlpm.cat, Greenleaf[[#This Row],[Product Category]], _xlpm.prices, _xlfn._xlws.FILTER(Greenleaf[Unit Price], (Greenleaf[Product Category]=_xlpm.cat)*(Greenleaf[Unit Price]&lt;&gt;"")), IFERROR(MEDIAN(_xlpm.prices), ""))</f>
        <v>15</v>
      </c>
      <c r="P942">
        <f>IF(Greenleaf[[#This Row],[Shipment Status]]="Returned",1,0)</f>
        <v>0</v>
      </c>
      <c r="Q942">
        <f>IF(Greenleaf[[#This Row],[Shipment Status]]="Delivered",1,0)</f>
        <v>1</v>
      </c>
    </row>
    <row r="943" spans="1:17" x14ac:dyDescent="0.45">
      <c r="A943" t="s">
        <v>1303</v>
      </c>
      <c r="B943">
        <v>45636</v>
      </c>
      <c r="C943" t="s">
        <v>30</v>
      </c>
      <c r="D943" t="s">
        <v>31</v>
      </c>
      <c r="E943">
        <v>10</v>
      </c>
      <c r="F943">
        <v>40</v>
      </c>
      <c r="G943">
        <v>11.45</v>
      </c>
      <c r="H943" t="s">
        <v>191</v>
      </c>
      <c r="I943" t="s">
        <v>192</v>
      </c>
      <c r="J943" t="s">
        <v>47</v>
      </c>
      <c r="K943" t="s">
        <v>59</v>
      </c>
      <c r="L943">
        <f t="shared" si="42"/>
        <v>400</v>
      </c>
      <c r="M943">
        <f t="shared" si="43"/>
        <v>114.5</v>
      </c>
      <c r="N943">
        <f t="shared" si="44"/>
        <v>285.5</v>
      </c>
      <c r="O943" cm="1">
        <f t="array" ref="O943">_xlfn.LET(_xlpm.cat, Greenleaf[[#This Row],[Product Category]], _xlpm.prices, _xlfn._xlws.FILTER(Greenleaf[Unit Price], (Greenleaf[Product Category]=_xlpm.cat)*(Greenleaf[Unit Price]&lt;&gt;"")), IFERROR(MEDIAN(_xlpm.prices), ""))</f>
        <v>40</v>
      </c>
      <c r="P943">
        <f>IF(Greenleaf[[#This Row],[Shipment Status]]="Returned",1,0)</f>
        <v>0</v>
      </c>
      <c r="Q943">
        <f>IF(Greenleaf[[#This Row],[Shipment Status]]="Delivered",1,0)</f>
        <v>0</v>
      </c>
    </row>
    <row r="944" spans="1:17" x14ac:dyDescent="0.45">
      <c r="A944" t="s">
        <v>1304</v>
      </c>
      <c r="B944">
        <v>45637</v>
      </c>
      <c r="C944" t="s">
        <v>23</v>
      </c>
      <c r="D944" t="s">
        <v>24</v>
      </c>
      <c r="E944">
        <v>10</v>
      </c>
      <c r="F944">
        <v>25</v>
      </c>
      <c r="G944">
        <v>9.69</v>
      </c>
      <c r="H944" t="s">
        <v>835</v>
      </c>
      <c r="I944" t="s">
        <v>249</v>
      </c>
      <c r="J944" t="s">
        <v>27</v>
      </c>
      <c r="K944" t="s">
        <v>38</v>
      </c>
      <c r="L944">
        <f t="shared" si="42"/>
        <v>250</v>
      </c>
      <c r="M944">
        <f t="shared" si="43"/>
        <v>96.899999999999991</v>
      </c>
      <c r="N944">
        <f t="shared" si="44"/>
        <v>153.10000000000002</v>
      </c>
      <c r="O944" cm="1">
        <f t="array" ref="O944">_xlfn.LET(_xlpm.cat, Greenleaf[[#This Row],[Product Category]], _xlpm.prices, _xlfn._xlws.FILTER(Greenleaf[Unit Price], (Greenleaf[Product Category]=_xlpm.cat)*(Greenleaf[Unit Price]&lt;&gt;"")), IFERROR(MEDIAN(_xlpm.prices), ""))</f>
        <v>25</v>
      </c>
      <c r="P944">
        <f>IF(Greenleaf[[#This Row],[Shipment Status]]="Returned",1,0)</f>
        <v>0</v>
      </c>
      <c r="Q944">
        <f>IF(Greenleaf[[#This Row],[Shipment Status]]="Delivered",1,0)</f>
        <v>1</v>
      </c>
    </row>
    <row r="945" spans="1:17" x14ac:dyDescent="0.45">
      <c r="A945" t="s">
        <v>1305</v>
      </c>
      <c r="B945">
        <v>45637</v>
      </c>
      <c r="C945" t="s">
        <v>66</v>
      </c>
      <c r="D945" t="s">
        <v>67</v>
      </c>
      <c r="E945">
        <v>9</v>
      </c>
      <c r="F945">
        <v>12</v>
      </c>
      <c r="G945">
        <v>3.65</v>
      </c>
      <c r="H945" t="s">
        <v>363</v>
      </c>
      <c r="I945" t="s">
        <v>210</v>
      </c>
      <c r="J945" t="s">
        <v>47</v>
      </c>
      <c r="K945" t="s">
        <v>21</v>
      </c>
      <c r="L945">
        <f t="shared" si="42"/>
        <v>108</v>
      </c>
      <c r="M945">
        <f t="shared" si="43"/>
        <v>32.85</v>
      </c>
      <c r="N945">
        <f t="shared" si="44"/>
        <v>75.150000000000006</v>
      </c>
      <c r="O945" cm="1">
        <f t="array" ref="O945">_xlfn.LET(_xlpm.cat, Greenleaf[[#This Row],[Product Category]], _xlpm.prices, _xlfn._xlws.FILTER(Greenleaf[Unit Price], (Greenleaf[Product Category]=_xlpm.cat)*(Greenleaf[Unit Price]&lt;&gt;"")), IFERROR(MEDIAN(_xlpm.prices), ""))</f>
        <v>12</v>
      </c>
      <c r="P945">
        <f>IF(Greenleaf[[#This Row],[Shipment Status]]="Returned",1,0)</f>
        <v>0</v>
      </c>
      <c r="Q945">
        <f>IF(Greenleaf[[#This Row],[Shipment Status]]="Delivered",1,0)</f>
        <v>0</v>
      </c>
    </row>
    <row r="946" spans="1:17" x14ac:dyDescent="0.45">
      <c r="A946" t="s">
        <v>1306</v>
      </c>
      <c r="B946">
        <v>45637</v>
      </c>
      <c r="C946" t="s">
        <v>23</v>
      </c>
      <c r="D946" t="s">
        <v>24</v>
      </c>
      <c r="E946">
        <v>5</v>
      </c>
      <c r="F946">
        <v>25</v>
      </c>
      <c r="G946">
        <v>8.9600000000000009</v>
      </c>
      <c r="H946" t="s">
        <v>561</v>
      </c>
      <c r="I946" t="s">
        <v>562</v>
      </c>
      <c r="J946" t="s">
        <v>27</v>
      </c>
      <c r="K946" t="s">
        <v>43</v>
      </c>
      <c r="L946">
        <f t="shared" si="42"/>
        <v>125</v>
      </c>
      <c r="M946">
        <f t="shared" si="43"/>
        <v>44.800000000000004</v>
      </c>
      <c r="N946">
        <f t="shared" si="44"/>
        <v>80.199999999999989</v>
      </c>
      <c r="O946" cm="1">
        <f t="array" ref="O946">_xlfn.LET(_xlpm.cat, Greenleaf[[#This Row],[Product Category]], _xlpm.prices, _xlfn._xlws.FILTER(Greenleaf[Unit Price], (Greenleaf[Product Category]=_xlpm.cat)*(Greenleaf[Unit Price]&lt;&gt;"")), IFERROR(MEDIAN(_xlpm.prices), ""))</f>
        <v>25</v>
      </c>
      <c r="P946">
        <f>IF(Greenleaf[[#This Row],[Shipment Status]]="Returned",1,0)</f>
        <v>0</v>
      </c>
      <c r="Q946">
        <f>IF(Greenleaf[[#This Row],[Shipment Status]]="Delivered",1,0)</f>
        <v>1</v>
      </c>
    </row>
    <row r="947" spans="1:17" x14ac:dyDescent="0.45">
      <c r="A947" t="s">
        <v>1307</v>
      </c>
      <c r="B947">
        <v>45637</v>
      </c>
      <c r="C947" t="s">
        <v>23</v>
      </c>
      <c r="D947" t="s">
        <v>24</v>
      </c>
      <c r="E947">
        <v>4</v>
      </c>
      <c r="F947">
        <v>25</v>
      </c>
      <c r="G947">
        <v>9.9499999999999993</v>
      </c>
      <c r="H947" t="s">
        <v>387</v>
      </c>
      <c r="I947" t="s">
        <v>161</v>
      </c>
      <c r="J947" t="s">
        <v>27</v>
      </c>
      <c r="K947" t="s">
        <v>43</v>
      </c>
      <c r="L947">
        <f t="shared" si="42"/>
        <v>100</v>
      </c>
      <c r="M947">
        <f t="shared" si="43"/>
        <v>39.799999999999997</v>
      </c>
      <c r="N947">
        <f t="shared" si="44"/>
        <v>60.2</v>
      </c>
      <c r="O947" cm="1">
        <f t="array" ref="O947">_xlfn.LET(_xlpm.cat, Greenleaf[[#This Row],[Product Category]], _xlpm.prices, _xlfn._xlws.FILTER(Greenleaf[Unit Price], (Greenleaf[Product Category]=_xlpm.cat)*(Greenleaf[Unit Price]&lt;&gt;"")), IFERROR(MEDIAN(_xlpm.prices), ""))</f>
        <v>25</v>
      </c>
      <c r="P947">
        <f>IF(Greenleaf[[#This Row],[Shipment Status]]="Returned",1,0)</f>
        <v>0</v>
      </c>
      <c r="Q947">
        <f>IF(Greenleaf[[#This Row],[Shipment Status]]="Delivered",1,0)</f>
        <v>1</v>
      </c>
    </row>
    <row r="948" spans="1:17" x14ac:dyDescent="0.45">
      <c r="A948" t="s">
        <v>1308</v>
      </c>
      <c r="B948">
        <v>45637</v>
      </c>
      <c r="C948" t="s">
        <v>66</v>
      </c>
      <c r="D948" t="s">
        <v>67</v>
      </c>
      <c r="E948">
        <v>3</v>
      </c>
      <c r="F948">
        <v>12</v>
      </c>
      <c r="G948">
        <v>4.3899999999999997</v>
      </c>
      <c r="H948" t="s">
        <v>289</v>
      </c>
      <c r="I948" t="s">
        <v>290</v>
      </c>
      <c r="J948" t="s">
        <v>20</v>
      </c>
      <c r="K948" t="s">
        <v>43</v>
      </c>
      <c r="L948">
        <f t="shared" si="42"/>
        <v>36</v>
      </c>
      <c r="M948">
        <f t="shared" si="43"/>
        <v>13.169999999999998</v>
      </c>
      <c r="N948">
        <f t="shared" si="44"/>
        <v>22.830000000000002</v>
      </c>
      <c r="O948" cm="1">
        <f t="array" ref="O948">_xlfn.LET(_xlpm.cat, Greenleaf[[#This Row],[Product Category]], _xlpm.prices, _xlfn._xlws.FILTER(Greenleaf[Unit Price], (Greenleaf[Product Category]=_xlpm.cat)*(Greenleaf[Unit Price]&lt;&gt;"")), IFERROR(MEDIAN(_xlpm.prices), ""))</f>
        <v>12</v>
      </c>
      <c r="P948">
        <f>IF(Greenleaf[[#This Row],[Shipment Status]]="Returned",1,0)</f>
        <v>0</v>
      </c>
      <c r="Q948">
        <f>IF(Greenleaf[[#This Row],[Shipment Status]]="Delivered",1,0)</f>
        <v>0</v>
      </c>
    </row>
    <row r="949" spans="1:17" x14ac:dyDescent="0.45">
      <c r="A949" t="s">
        <v>1309</v>
      </c>
      <c r="B949">
        <v>45638</v>
      </c>
      <c r="C949" t="s">
        <v>23</v>
      </c>
      <c r="D949" t="s">
        <v>24</v>
      </c>
      <c r="E949">
        <v>5</v>
      </c>
      <c r="F949">
        <v>25</v>
      </c>
      <c r="G949">
        <v>9.1199999999999992</v>
      </c>
      <c r="H949" t="s">
        <v>449</v>
      </c>
      <c r="I949" t="s">
        <v>450</v>
      </c>
      <c r="J949" t="s">
        <v>27</v>
      </c>
      <c r="K949" t="s">
        <v>134</v>
      </c>
      <c r="L949">
        <f t="shared" si="42"/>
        <v>125</v>
      </c>
      <c r="M949">
        <f t="shared" si="43"/>
        <v>45.599999999999994</v>
      </c>
      <c r="N949">
        <f t="shared" si="44"/>
        <v>79.400000000000006</v>
      </c>
      <c r="O949" cm="1">
        <f t="array" ref="O949">_xlfn.LET(_xlpm.cat, Greenleaf[[#This Row],[Product Category]], _xlpm.prices, _xlfn._xlws.FILTER(Greenleaf[Unit Price], (Greenleaf[Product Category]=_xlpm.cat)*(Greenleaf[Unit Price]&lt;&gt;"")), IFERROR(MEDIAN(_xlpm.prices), ""))</f>
        <v>25</v>
      </c>
      <c r="P949">
        <f>IF(Greenleaf[[#This Row],[Shipment Status]]="Returned",1,0)</f>
        <v>0</v>
      </c>
      <c r="Q949">
        <f>IF(Greenleaf[[#This Row],[Shipment Status]]="Delivered",1,0)</f>
        <v>1</v>
      </c>
    </row>
    <row r="950" spans="1:17" x14ac:dyDescent="0.45">
      <c r="A950" t="s">
        <v>1310</v>
      </c>
      <c r="B950">
        <v>45638</v>
      </c>
      <c r="C950" t="s">
        <v>16</v>
      </c>
      <c r="D950" t="s">
        <v>17</v>
      </c>
      <c r="E950">
        <v>5</v>
      </c>
      <c r="F950">
        <v>10</v>
      </c>
      <c r="G950">
        <v>2.04</v>
      </c>
      <c r="H950" t="s">
        <v>356</v>
      </c>
      <c r="I950" t="s">
        <v>357</v>
      </c>
      <c r="J950" t="s">
        <v>27</v>
      </c>
      <c r="K950" t="s">
        <v>21</v>
      </c>
      <c r="L950">
        <f t="shared" si="42"/>
        <v>50</v>
      </c>
      <c r="M950">
        <f t="shared" si="43"/>
        <v>10.199999999999999</v>
      </c>
      <c r="N950">
        <f t="shared" si="44"/>
        <v>39.799999999999997</v>
      </c>
      <c r="O950" cm="1">
        <f t="array" ref="O950">_xlfn.LET(_xlpm.cat, Greenleaf[[#This Row],[Product Category]], _xlpm.prices, _xlfn._xlws.FILTER(Greenleaf[Unit Price], (Greenleaf[Product Category]=_xlpm.cat)*(Greenleaf[Unit Price]&lt;&gt;"")), IFERROR(MEDIAN(_xlpm.prices), ""))</f>
        <v>10</v>
      </c>
      <c r="P950">
        <f>IF(Greenleaf[[#This Row],[Shipment Status]]="Returned",1,0)</f>
        <v>0</v>
      </c>
      <c r="Q950">
        <f>IF(Greenleaf[[#This Row],[Shipment Status]]="Delivered",1,0)</f>
        <v>1</v>
      </c>
    </row>
    <row r="951" spans="1:17" x14ac:dyDescent="0.45">
      <c r="A951" t="s">
        <v>1311</v>
      </c>
      <c r="B951">
        <v>45639</v>
      </c>
      <c r="C951" t="s">
        <v>49</v>
      </c>
      <c r="D951" t="s">
        <v>50</v>
      </c>
      <c r="E951">
        <v>5</v>
      </c>
      <c r="F951">
        <v>15</v>
      </c>
      <c r="G951">
        <v>5.67</v>
      </c>
      <c r="H951" t="s">
        <v>108</v>
      </c>
      <c r="I951" t="s">
        <v>109</v>
      </c>
      <c r="J951" t="s">
        <v>27</v>
      </c>
      <c r="K951" t="s">
        <v>28</v>
      </c>
      <c r="L951">
        <f t="shared" si="42"/>
        <v>75</v>
      </c>
      <c r="M951">
        <f t="shared" si="43"/>
        <v>28.35</v>
      </c>
      <c r="N951">
        <f t="shared" si="44"/>
        <v>46.65</v>
      </c>
      <c r="O951" cm="1">
        <f t="array" ref="O951">_xlfn.LET(_xlpm.cat, Greenleaf[[#This Row],[Product Category]], _xlpm.prices, _xlfn._xlws.FILTER(Greenleaf[Unit Price], (Greenleaf[Product Category]=_xlpm.cat)*(Greenleaf[Unit Price]&lt;&gt;"")), IFERROR(MEDIAN(_xlpm.prices), ""))</f>
        <v>15</v>
      </c>
      <c r="P951">
        <f>IF(Greenleaf[[#This Row],[Shipment Status]]="Returned",1,0)</f>
        <v>0</v>
      </c>
      <c r="Q951">
        <f>IF(Greenleaf[[#This Row],[Shipment Status]]="Delivered",1,0)</f>
        <v>1</v>
      </c>
    </row>
    <row r="952" spans="1:17" x14ac:dyDescent="0.45">
      <c r="A952" t="s">
        <v>1312</v>
      </c>
      <c r="B952">
        <v>45639</v>
      </c>
      <c r="C952" t="s">
        <v>49</v>
      </c>
      <c r="D952" t="s">
        <v>50</v>
      </c>
      <c r="E952">
        <v>1</v>
      </c>
      <c r="F952">
        <v>15</v>
      </c>
      <c r="G952">
        <v>5.36</v>
      </c>
      <c r="H952" t="s">
        <v>576</v>
      </c>
      <c r="I952" t="s">
        <v>553</v>
      </c>
      <c r="J952" t="s">
        <v>42</v>
      </c>
      <c r="K952" t="s">
        <v>56</v>
      </c>
      <c r="L952">
        <f t="shared" si="42"/>
        <v>15</v>
      </c>
      <c r="M952">
        <f t="shared" si="43"/>
        <v>5.36</v>
      </c>
      <c r="N952">
        <f t="shared" si="44"/>
        <v>9.64</v>
      </c>
      <c r="O952" cm="1">
        <f t="array" ref="O952">_xlfn.LET(_xlpm.cat, Greenleaf[[#This Row],[Product Category]], _xlpm.prices, _xlfn._xlws.FILTER(Greenleaf[Unit Price], (Greenleaf[Product Category]=_xlpm.cat)*(Greenleaf[Unit Price]&lt;&gt;"")), IFERROR(MEDIAN(_xlpm.prices), ""))</f>
        <v>15</v>
      </c>
      <c r="P952">
        <f>IF(Greenleaf[[#This Row],[Shipment Status]]="Returned",1,0)</f>
        <v>1</v>
      </c>
      <c r="Q952">
        <f>IF(Greenleaf[[#This Row],[Shipment Status]]="Delivered",1,0)</f>
        <v>0</v>
      </c>
    </row>
    <row r="953" spans="1:17" x14ac:dyDescent="0.45">
      <c r="A953" t="s">
        <v>1313</v>
      </c>
      <c r="B953">
        <v>45640</v>
      </c>
      <c r="C953" t="s">
        <v>49</v>
      </c>
      <c r="D953" t="s">
        <v>50</v>
      </c>
      <c r="E953">
        <v>5</v>
      </c>
      <c r="F953">
        <v>15</v>
      </c>
      <c r="G953">
        <v>3.45</v>
      </c>
      <c r="H953" t="s">
        <v>904</v>
      </c>
      <c r="I953" t="s">
        <v>905</v>
      </c>
      <c r="J953" t="s">
        <v>27</v>
      </c>
      <c r="K953" t="s">
        <v>56</v>
      </c>
      <c r="L953">
        <f t="shared" si="42"/>
        <v>75</v>
      </c>
      <c r="M953">
        <f t="shared" si="43"/>
        <v>17.25</v>
      </c>
      <c r="N953">
        <f t="shared" si="44"/>
        <v>57.75</v>
      </c>
      <c r="O953" cm="1">
        <f t="array" ref="O953">_xlfn.LET(_xlpm.cat, Greenleaf[[#This Row],[Product Category]], _xlpm.prices, _xlfn._xlws.FILTER(Greenleaf[Unit Price], (Greenleaf[Product Category]=_xlpm.cat)*(Greenleaf[Unit Price]&lt;&gt;"")), IFERROR(MEDIAN(_xlpm.prices), ""))</f>
        <v>15</v>
      </c>
      <c r="P953">
        <f>IF(Greenleaf[[#This Row],[Shipment Status]]="Returned",1,0)</f>
        <v>0</v>
      </c>
      <c r="Q953">
        <f>IF(Greenleaf[[#This Row],[Shipment Status]]="Delivered",1,0)</f>
        <v>1</v>
      </c>
    </row>
    <row r="954" spans="1:17" x14ac:dyDescent="0.45">
      <c r="A954" t="s">
        <v>1314</v>
      </c>
      <c r="B954">
        <v>45641</v>
      </c>
      <c r="C954" t="s">
        <v>66</v>
      </c>
      <c r="D954" t="s">
        <v>67</v>
      </c>
      <c r="E954">
        <v>9</v>
      </c>
      <c r="F954">
        <v>12</v>
      </c>
      <c r="G954">
        <v>3.54</v>
      </c>
      <c r="H954" t="s">
        <v>166</v>
      </c>
      <c r="I954" t="s">
        <v>167</v>
      </c>
      <c r="J954" t="s">
        <v>27</v>
      </c>
      <c r="K954" t="s">
        <v>70</v>
      </c>
      <c r="L954">
        <f t="shared" si="42"/>
        <v>108</v>
      </c>
      <c r="M954">
        <f t="shared" si="43"/>
        <v>31.86</v>
      </c>
      <c r="N954">
        <f t="shared" si="44"/>
        <v>76.14</v>
      </c>
      <c r="O954" cm="1">
        <f t="array" ref="O954">_xlfn.LET(_xlpm.cat, Greenleaf[[#This Row],[Product Category]], _xlpm.prices, _xlfn._xlws.FILTER(Greenleaf[Unit Price], (Greenleaf[Product Category]=_xlpm.cat)*(Greenleaf[Unit Price]&lt;&gt;"")), IFERROR(MEDIAN(_xlpm.prices), ""))</f>
        <v>12</v>
      </c>
      <c r="P954">
        <f>IF(Greenleaf[[#This Row],[Shipment Status]]="Returned",1,0)</f>
        <v>0</v>
      </c>
      <c r="Q954">
        <f>IF(Greenleaf[[#This Row],[Shipment Status]]="Delivered",1,0)</f>
        <v>1</v>
      </c>
    </row>
    <row r="955" spans="1:17" x14ac:dyDescent="0.45">
      <c r="A955" t="s">
        <v>1315</v>
      </c>
      <c r="B955">
        <v>45641</v>
      </c>
      <c r="C955" t="s">
        <v>66</v>
      </c>
      <c r="D955" t="s">
        <v>67</v>
      </c>
      <c r="E955">
        <v>5</v>
      </c>
      <c r="F955">
        <v>12</v>
      </c>
      <c r="G955">
        <v>4.01</v>
      </c>
      <c r="H955" t="s">
        <v>684</v>
      </c>
      <c r="I955" t="s">
        <v>357</v>
      </c>
      <c r="J955" t="s">
        <v>27</v>
      </c>
      <c r="K955" t="s">
        <v>56</v>
      </c>
      <c r="L955">
        <f t="shared" si="42"/>
        <v>60</v>
      </c>
      <c r="M955">
        <f t="shared" si="43"/>
        <v>20.049999999999997</v>
      </c>
      <c r="N955">
        <f t="shared" si="44"/>
        <v>39.950000000000003</v>
      </c>
      <c r="O955" cm="1">
        <f t="array" ref="O955">_xlfn.LET(_xlpm.cat, Greenleaf[[#This Row],[Product Category]], _xlpm.prices, _xlfn._xlws.FILTER(Greenleaf[Unit Price], (Greenleaf[Product Category]=_xlpm.cat)*(Greenleaf[Unit Price]&lt;&gt;"")), IFERROR(MEDIAN(_xlpm.prices), ""))</f>
        <v>12</v>
      </c>
      <c r="P955">
        <f>IF(Greenleaf[[#This Row],[Shipment Status]]="Returned",1,0)</f>
        <v>0</v>
      </c>
      <c r="Q955">
        <f>IF(Greenleaf[[#This Row],[Shipment Status]]="Delivered",1,0)</f>
        <v>1</v>
      </c>
    </row>
    <row r="956" spans="1:17" x14ac:dyDescent="0.45">
      <c r="A956" t="s">
        <v>1316</v>
      </c>
      <c r="B956">
        <v>45641</v>
      </c>
      <c r="C956" t="s">
        <v>30</v>
      </c>
      <c r="D956" t="s">
        <v>31</v>
      </c>
      <c r="E956">
        <v>10</v>
      </c>
      <c r="F956">
        <v>40</v>
      </c>
      <c r="G956">
        <v>15.7</v>
      </c>
      <c r="H956" t="s">
        <v>453</v>
      </c>
      <c r="I956" t="s">
        <v>454</v>
      </c>
      <c r="J956" t="s">
        <v>20</v>
      </c>
      <c r="K956" t="s">
        <v>43</v>
      </c>
      <c r="L956">
        <f t="shared" si="42"/>
        <v>400</v>
      </c>
      <c r="M956">
        <f t="shared" si="43"/>
        <v>157</v>
      </c>
      <c r="N956">
        <f t="shared" si="44"/>
        <v>243</v>
      </c>
      <c r="O956" cm="1">
        <f t="array" ref="O956">_xlfn.LET(_xlpm.cat, Greenleaf[[#This Row],[Product Category]], _xlpm.prices, _xlfn._xlws.FILTER(Greenleaf[Unit Price], (Greenleaf[Product Category]=_xlpm.cat)*(Greenleaf[Unit Price]&lt;&gt;"")), IFERROR(MEDIAN(_xlpm.prices), ""))</f>
        <v>40</v>
      </c>
      <c r="P956">
        <f>IF(Greenleaf[[#This Row],[Shipment Status]]="Returned",1,0)</f>
        <v>0</v>
      </c>
      <c r="Q956">
        <f>IF(Greenleaf[[#This Row],[Shipment Status]]="Delivered",1,0)</f>
        <v>0</v>
      </c>
    </row>
    <row r="957" spans="1:17" x14ac:dyDescent="0.45">
      <c r="A957" t="s">
        <v>1317</v>
      </c>
      <c r="B957">
        <v>45641</v>
      </c>
      <c r="C957" t="s">
        <v>30</v>
      </c>
      <c r="D957" t="s">
        <v>31</v>
      </c>
      <c r="E957">
        <v>3</v>
      </c>
      <c r="F957">
        <v>40</v>
      </c>
      <c r="G957">
        <v>12.54</v>
      </c>
      <c r="H957" t="s">
        <v>558</v>
      </c>
      <c r="I957" t="s">
        <v>559</v>
      </c>
      <c r="J957" t="s">
        <v>27</v>
      </c>
      <c r="K957" t="s">
        <v>43</v>
      </c>
      <c r="L957">
        <f t="shared" si="42"/>
        <v>120</v>
      </c>
      <c r="M957">
        <f t="shared" si="43"/>
        <v>37.619999999999997</v>
      </c>
      <c r="N957">
        <f t="shared" si="44"/>
        <v>82.38</v>
      </c>
      <c r="O957" cm="1">
        <f t="array" ref="O957">_xlfn.LET(_xlpm.cat, Greenleaf[[#This Row],[Product Category]], _xlpm.prices, _xlfn._xlws.FILTER(Greenleaf[Unit Price], (Greenleaf[Product Category]=_xlpm.cat)*(Greenleaf[Unit Price]&lt;&gt;"")), IFERROR(MEDIAN(_xlpm.prices), ""))</f>
        <v>40</v>
      </c>
      <c r="P957">
        <f>IF(Greenleaf[[#This Row],[Shipment Status]]="Returned",1,0)</f>
        <v>0</v>
      </c>
      <c r="Q957">
        <f>IF(Greenleaf[[#This Row],[Shipment Status]]="Delivered",1,0)</f>
        <v>1</v>
      </c>
    </row>
    <row r="958" spans="1:17" x14ac:dyDescent="0.45">
      <c r="A958" t="s">
        <v>1318</v>
      </c>
      <c r="B958">
        <v>45641</v>
      </c>
      <c r="C958" t="s">
        <v>23</v>
      </c>
      <c r="D958" t="s">
        <v>24</v>
      </c>
      <c r="E958">
        <v>5</v>
      </c>
      <c r="F958">
        <v>25</v>
      </c>
      <c r="G958">
        <v>8.98</v>
      </c>
      <c r="H958" t="s">
        <v>326</v>
      </c>
      <c r="I958" t="s">
        <v>327</v>
      </c>
      <c r="J958" t="s">
        <v>47</v>
      </c>
      <c r="K958" t="s">
        <v>21</v>
      </c>
      <c r="L958">
        <f t="shared" si="42"/>
        <v>125</v>
      </c>
      <c r="M958">
        <f t="shared" si="43"/>
        <v>44.900000000000006</v>
      </c>
      <c r="N958">
        <f t="shared" si="44"/>
        <v>80.099999999999994</v>
      </c>
      <c r="O958" cm="1">
        <f t="array" ref="O958">_xlfn.LET(_xlpm.cat, Greenleaf[[#This Row],[Product Category]], _xlpm.prices, _xlfn._xlws.FILTER(Greenleaf[Unit Price], (Greenleaf[Product Category]=_xlpm.cat)*(Greenleaf[Unit Price]&lt;&gt;"")), IFERROR(MEDIAN(_xlpm.prices), ""))</f>
        <v>25</v>
      </c>
      <c r="P958">
        <f>IF(Greenleaf[[#This Row],[Shipment Status]]="Returned",1,0)</f>
        <v>0</v>
      </c>
      <c r="Q958">
        <f>IF(Greenleaf[[#This Row],[Shipment Status]]="Delivered",1,0)</f>
        <v>0</v>
      </c>
    </row>
    <row r="959" spans="1:17" x14ac:dyDescent="0.45">
      <c r="A959" t="s">
        <v>1319</v>
      </c>
      <c r="B959">
        <v>45642</v>
      </c>
      <c r="C959" t="s">
        <v>30</v>
      </c>
      <c r="D959" t="s">
        <v>31</v>
      </c>
      <c r="E959">
        <v>7</v>
      </c>
      <c r="F959">
        <v>40</v>
      </c>
      <c r="G959">
        <v>14.44</v>
      </c>
      <c r="H959" t="s">
        <v>248</v>
      </c>
      <c r="I959" t="s">
        <v>249</v>
      </c>
      <c r="J959" t="s">
        <v>27</v>
      </c>
      <c r="K959" t="s">
        <v>28</v>
      </c>
      <c r="L959">
        <f t="shared" si="42"/>
        <v>280</v>
      </c>
      <c r="M959">
        <f t="shared" si="43"/>
        <v>101.08</v>
      </c>
      <c r="N959">
        <f t="shared" si="44"/>
        <v>178.92000000000002</v>
      </c>
      <c r="O959" cm="1">
        <f t="array" ref="O959">_xlfn.LET(_xlpm.cat, Greenleaf[[#This Row],[Product Category]], _xlpm.prices, _xlfn._xlws.FILTER(Greenleaf[Unit Price], (Greenleaf[Product Category]=_xlpm.cat)*(Greenleaf[Unit Price]&lt;&gt;"")), IFERROR(MEDIAN(_xlpm.prices), ""))</f>
        <v>40</v>
      </c>
      <c r="P959">
        <f>IF(Greenleaf[[#This Row],[Shipment Status]]="Returned",1,0)</f>
        <v>0</v>
      </c>
      <c r="Q959">
        <f>IF(Greenleaf[[#This Row],[Shipment Status]]="Delivered",1,0)</f>
        <v>1</v>
      </c>
    </row>
    <row r="960" spans="1:17" x14ac:dyDescent="0.45">
      <c r="A960" t="s">
        <v>1320</v>
      </c>
      <c r="B960">
        <v>45642</v>
      </c>
      <c r="C960" t="s">
        <v>30</v>
      </c>
      <c r="D960" t="s">
        <v>31</v>
      </c>
      <c r="E960">
        <v>8</v>
      </c>
      <c r="F960">
        <v>40</v>
      </c>
      <c r="G960">
        <v>9.3699999999999992</v>
      </c>
      <c r="H960" t="s">
        <v>550</v>
      </c>
      <c r="I960" t="s">
        <v>319</v>
      </c>
      <c r="J960" t="s">
        <v>27</v>
      </c>
      <c r="K960" t="s">
        <v>28</v>
      </c>
      <c r="L960">
        <f t="shared" si="42"/>
        <v>320</v>
      </c>
      <c r="M960">
        <f t="shared" si="43"/>
        <v>74.959999999999994</v>
      </c>
      <c r="N960">
        <f t="shared" si="44"/>
        <v>245.04000000000002</v>
      </c>
      <c r="O960" cm="1">
        <f t="array" ref="O960">_xlfn.LET(_xlpm.cat, Greenleaf[[#This Row],[Product Category]], _xlpm.prices, _xlfn._xlws.FILTER(Greenleaf[Unit Price], (Greenleaf[Product Category]=_xlpm.cat)*(Greenleaf[Unit Price]&lt;&gt;"")), IFERROR(MEDIAN(_xlpm.prices), ""))</f>
        <v>40</v>
      </c>
      <c r="P960">
        <f>IF(Greenleaf[[#This Row],[Shipment Status]]="Returned",1,0)</f>
        <v>0</v>
      </c>
      <c r="Q960">
        <f>IF(Greenleaf[[#This Row],[Shipment Status]]="Delivered",1,0)</f>
        <v>1</v>
      </c>
    </row>
    <row r="961" spans="1:17" x14ac:dyDescent="0.45">
      <c r="A961" t="s">
        <v>1321</v>
      </c>
      <c r="B961">
        <v>45642</v>
      </c>
      <c r="C961" t="s">
        <v>66</v>
      </c>
      <c r="D961" t="s">
        <v>67</v>
      </c>
      <c r="E961">
        <v>8</v>
      </c>
      <c r="F961">
        <v>12</v>
      </c>
      <c r="G961">
        <v>2.73</v>
      </c>
      <c r="H961" t="s">
        <v>598</v>
      </c>
      <c r="I961" t="s">
        <v>474</v>
      </c>
      <c r="J961" t="s">
        <v>20</v>
      </c>
      <c r="K961" t="s">
        <v>21</v>
      </c>
      <c r="L961">
        <f t="shared" si="42"/>
        <v>96</v>
      </c>
      <c r="M961">
        <f t="shared" si="43"/>
        <v>21.84</v>
      </c>
      <c r="N961">
        <f t="shared" si="44"/>
        <v>74.16</v>
      </c>
      <c r="O961" cm="1">
        <f t="array" ref="O961">_xlfn.LET(_xlpm.cat, Greenleaf[[#This Row],[Product Category]], _xlpm.prices, _xlfn._xlws.FILTER(Greenleaf[Unit Price], (Greenleaf[Product Category]=_xlpm.cat)*(Greenleaf[Unit Price]&lt;&gt;"")), IFERROR(MEDIAN(_xlpm.prices), ""))</f>
        <v>12</v>
      </c>
      <c r="P961">
        <f>IF(Greenleaf[[#This Row],[Shipment Status]]="Returned",1,0)</f>
        <v>0</v>
      </c>
      <c r="Q961">
        <f>IF(Greenleaf[[#This Row],[Shipment Status]]="Delivered",1,0)</f>
        <v>0</v>
      </c>
    </row>
    <row r="962" spans="1:17" x14ac:dyDescent="0.45">
      <c r="A962" t="s">
        <v>1322</v>
      </c>
      <c r="B962">
        <v>45643</v>
      </c>
      <c r="C962" t="s">
        <v>49</v>
      </c>
      <c r="D962" t="s">
        <v>50</v>
      </c>
      <c r="E962">
        <v>5</v>
      </c>
      <c r="F962">
        <v>15</v>
      </c>
      <c r="G962">
        <v>5.13</v>
      </c>
      <c r="H962" t="s">
        <v>748</v>
      </c>
      <c r="I962" t="s">
        <v>749</v>
      </c>
      <c r="J962" t="s">
        <v>27</v>
      </c>
      <c r="K962" t="s">
        <v>56</v>
      </c>
      <c r="L962">
        <f t="shared" ref="L962:L1001" si="45">E962*F962</f>
        <v>75</v>
      </c>
      <c r="M962">
        <f t="shared" ref="M962:M1001" si="46">E962*G962</f>
        <v>25.65</v>
      </c>
      <c r="N962">
        <f t="shared" ref="N962:N1001" si="47">L962-M962</f>
        <v>49.35</v>
      </c>
      <c r="O962" cm="1">
        <f t="array" ref="O962">_xlfn.LET(_xlpm.cat, Greenleaf[[#This Row],[Product Category]], _xlpm.prices, _xlfn._xlws.FILTER(Greenleaf[Unit Price], (Greenleaf[Product Category]=_xlpm.cat)*(Greenleaf[Unit Price]&lt;&gt;"")), IFERROR(MEDIAN(_xlpm.prices), ""))</f>
        <v>15</v>
      </c>
      <c r="P962">
        <f>IF(Greenleaf[[#This Row],[Shipment Status]]="Returned",1,0)</f>
        <v>0</v>
      </c>
      <c r="Q962">
        <f>IF(Greenleaf[[#This Row],[Shipment Status]]="Delivered",1,0)</f>
        <v>1</v>
      </c>
    </row>
    <row r="963" spans="1:17" x14ac:dyDescent="0.45">
      <c r="A963" t="s">
        <v>1323</v>
      </c>
      <c r="B963">
        <v>45643</v>
      </c>
      <c r="C963" t="s">
        <v>16</v>
      </c>
      <c r="D963" t="s">
        <v>17</v>
      </c>
      <c r="E963">
        <v>3</v>
      </c>
      <c r="F963">
        <v>10</v>
      </c>
      <c r="G963">
        <v>2.86</v>
      </c>
      <c r="H963" t="s">
        <v>457</v>
      </c>
      <c r="I963" t="s">
        <v>458</v>
      </c>
      <c r="J963" t="s">
        <v>27</v>
      </c>
      <c r="K963" t="s">
        <v>34</v>
      </c>
      <c r="L963">
        <f t="shared" si="45"/>
        <v>30</v>
      </c>
      <c r="M963">
        <f t="shared" si="46"/>
        <v>8.58</v>
      </c>
      <c r="N963">
        <f t="shared" si="47"/>
        <v>21.42</v>
      </c>
      <c r="O963" cm="1">
        <f t="array" ref="O963">_xlfn.LET(_xlpm.cat, Greenleaf[[#This Row],[Product Category]], _xlpm.prices, _xlfn._xlws.FILTER(Greenleaf[Unit Price], (Greenleaf[Product Category]=_xlpm.cat)*(Greenleaf[Unit Price]&lt;&gt;"")), IFERROR(MEDIAN(_xlpm.prices), ""))</f>
        <v>10</v>
      </c>
      <c r="P963">
        <f>IF(Greenleaf[[#This Row],[Shipment Status]]="Returned",1,0)</f>
        <v>0</v>
      </c>
      <c r="Q963">
        <f>IF(Greenleaf[[#This Row],[Shipment Status]]="Delivered",1,0)</f>
        <v>1</v>
      </c>
    </row>
    <row r="964" spans="1:17" x14ac:dyDescent="0.45">
      <c r="A964" t="s">
        <v>1324</v>
      </c>
      <c r="B964">
        <v>45643</v>
      </c>
      <c r="C964" t="s">
        <v>49</v>
      </c>
      <c r="D964" t="s">
        <v>50</v>
      </c>
      <c r="E964">
        <v>10</v>
      </c>
      <c r="F964">
        <v>15</v>
      </c>
      <c r="G964">
        <v>5.18</v>
      </c>
      <c r="H964" t="s">
        <v>185</v>
      </c>
      <c r="I964" t="s">
        <v>186</v>
      </c>
      <c r="J964" t="s">
        <v>27</v>
      </c>
      <c r="K964" t="s">
        <v>21</v>
      </c>
      <c r="L964">
        <f t="shared" si="45"/>
        <v>150</v>
      </c>
      <c r="M964">
        <f t="shared" si="46"/>
        <v>51.8</v>
      </c>
      <c r="N964">
        <f t="shared" si="47"/>
        <v>98.2</v>
      </c>
      <c r="O964" cm="1">
        <f t="array" ref="O964">_xlfn.LET(_xlpm.cat, Greenleaf[[#This Row],[Product Category]], _xlpm.prices, _xlfn._xlws.FILTER(Greenleaf[Unit Price], (Greenleaf[Product Category]=_xlpm.cat)*(Greenleaf[Unit Price]&lt;&gt;"")), IFERROR(MEDIAN(_xlpm.prices), ""))</f>
        <v>15</v>
      </c>
      <c r="P964">
        <f>IF(Greenleaf[[#This Row],[Shipment Status]]="Returned",1,0)</f>
        <v>0</v>
      </c>
      <c r="Q964">
        <f>IF(Greenleaf[[#This Row],[Shipment Status]]="Delivered",1,0)</f>
        <v>1</v>
      </c>
    </row>
    <row r="965" spans="1:17" x14ac:dyDescent="0.45">
      <c r="A965" t="s">
        <v>1325</v>
      </c>
      <c r="B965">
        <v>45643</v>
      </c>
      <c r="C965" t="s">
        <v>23</v>
      </c>
      <c r="D965" t="s">
        <v>24</v>
      </c>
      <c r="E965">
        <v>7</v>
      </c>
      <c r="F965">
        <v>25</v>
      </c>
      <c r="G965">
        <v>9.41</v>
      </c>
      <c r="H965" t="s">
        <v>296</v>
      </c>
      <c r="I965" t="s">
        <v>93</v>
      </c>
      <c r="J965" t="s">
        <v>27</v>
      </c>
      <c r="K965" t="s">
        <v>21</v>
      </c>
      <c r="L965">
        <f t="shared" si="45"/>
        <v>175</v>
      </c>
      <c r="M965">
        <f t="shared" si="46"/>
        <v>65.87</v>
      </c>
      <c r="N965">
        <f t="shared" si="47"/>
        <v>109.13</v>
      </c>
      <c r="O965" cm="1">
        <f t="array" ref="O965">_xlfn.LET(_xlpm.cat, Greenleaf[[#This Row],[Product Category]], _xlpm.prices, _xlfn._xlws.FILTER(Greenleaf[Unit Price], (Greenleaf[Product Category]=_xlpm.cat)*(Greenleaf[Unit Price]&lt;&gt;"")), IFERROR(MEDIAN(_xlpm.prices), ""))</f>
        <v>25</v>
      </c>
      <c r="P965">
        <f>IF(Greenleaf[[#This Row],[Shipment Status]]="Returned",1,0)</f>
        <v>0</v>
      </c>
      <c r="Q965">
        <f>IF(Greenleaf[[#This Row],[Shipment Status]]="Delivered",1,0)</f>
        <v>1</v>
      </c>
    </row>
    <row r="966" spans="1:17" x14ac:dyDescent="0.45">
      <c r="A966" t="s">
        <v>1326</v>
      </c>
      <c r="B966">
        <v>45644</v>
      </c>
      <c r="C966" t="s">
        <v>30</v>
      </c>
      <c r="D966" t="s">
        <v>31</v>
      </c>
      <c r="E966">
        <v>3</v>
      </c>
      <c r="F966">
        <v>40</v>
      </c>
      <c r="G966">
        <v>12.72</v>
      </c>
      <c r="H966" t="s">
        <v>482</v>
      </c>
      <c r="I966" t="s">
        <v>143</v>
      </c>
      <c r="J966" t="s">
        <v>20</v>
      </c>
      <c r="K966" t="s">
        <v>34</v>
      </c>
      <c r="L966">
        <f t="shared" si="45"/>
        <v>120</v>
      </c>
      <c r="M966">
        <f t="shared" si="46"/>
        <v>38.160000000000004</v>
      </c>
      <c r="N966">
        <f t="shared" si="47"/>
        <v>81.84</v>
      </c>
      <c r="O966" cm="1">
        <f t="array" ref="O966">_xlfn.LET(_xlpm.cat, Greenleaf[[#This Row],[Product Category]], _xlpm.prices, _xlfn._xlws.FILTER(Greenleaf[Unit Price], (Greenleaf[Product Category]=_xlpm.cat)*(Greenleaf[Unit Price]&lt;&gt;"")), IFERROR(MEDIAN(_xlpm.prices), ""))</f>
        <v>40</v>
      </c>
      <c r="P966">
        <f>IF(Greenleaf[[#This Row],[Shipment Status]]="Returned",1,0)</f>
        <v>0</v>
      </c>
      <c r="Q966">
        <f>IF(Greenleaf[[#This Row],[Shipment Status]]="Delivered",1,0)</f>
        <v>0</v>
      </c>
    </row>
    <row r="967" spans="1:17" x14ac:dyDescent="0.45">
      <c r="A967" t="s">
        <v>1327</v>
      </c>
      <c r="B967">
        <v>45644</v>
      </c>
      <c r="C967" t="s">
        <v>23</v>
      </c>
      <c r="D967" t="s">
        <v>24</v>
      </c>
      <c r="E967">
        <v>2</v>
      </c>
      <c r="F967">
        <v>25</v>
      </c>
      <c r="G967">
        <v>7.31</v>
      </c>
      <c r="H967" t="s">
        <v>305</v>
      </c>
      <c r="I967" t="s">
        <v>210</v>
      </c>
      <c r="J967" t="s">
        <v>20</v>
      </c>
      <c r="K967" t="s">
        <v>74</v>
      </c>
      <c r="L967">
        <f t="shared" si="45"/>
        <v>50</v>
      </c>
      <c r="M967">
        <f t="shared" si="46"/>
        <v>14.62</v>
      </c>
      <c r="N967">
        <f t="shared" si="47"/>
        <v>35.380000000000003</v>
      </c>
      <c r="O967" cm="1">
        <f t="array" ref="O967">_xlfn.LET(_xlpm.cat, Greenleaf[[#This Row],[Product Category]], _xlpm.prices, _xlfn._xlws.FILTER(Greenleaf[Unit Price], (Greenleaf[Product Category]=_xlpm.cat)*(Greenleaf[Unit Price]&lt;&gt;"")), IFERROR(MEDIAN(_xlpm.prices), ""))</f>
        <v>25</v>
      </c>
      <c r="P967">
        <f>IF(Greenleaf[[#This Row],[Shipment Status]]="Returned",1,0)</f>
        <v>0</v>
      </c>
      <c r="Q967">
        <f>IF(Greenleaf[[#This Row],[Shipment Status]]="Delivered",1,0)</f>
        <v>0</v>
      </c>
    </row>
    <row r="968" spans="1:17" x14ac:dyDescent="0.45">
      <c r="A968" t="s">
        <v>1328</v>
      </c>
      <c r="B968">
        <v>45644</v>
      </c>
      <c r="C968" t="s">
        <v>16</v>
      </c>
      <c r="D968" t="s">
        <v>17</v>
      </c>
      <c r="E968">
        <v>2</v>
      </c>
      <c r="F968">
        <v>10</v>
      </c>
      <c r="G968">
        <v>3.87</v>
      </c>
      <c r="H968" t="s">
        <v>365</v>
      </c>
      <c r="I968" t="s">
        <v>115</v>
      </c>
      <c r="J968" t="s">
        <v>27</v>
      </c>
      <c r="K968" t="s">
        <v>21</v>
      </c>
      <c r="L968">
        <f t="shared" si="45"/>
        <v>20</v>
      </c>
      <c r="M968">
        <f t="shared" si="46"/>
        <v>7.74</v>
      </c>
      <c r="N968">
        <f t="shared" si="47"/>
        <v>12.26</v>
      </c>
      <c r="O968" cm="1">
        <f t="array" ref="O968">_xlfn.LET(_xlpm.cat, Greenleaf[[#This Row],[Product Category]], _xlpm.prices, _xlfn._xlws.FILTER(Greenleaf[Unit Price], (Greenleaf[Product Category]=_xlpm.cat)*(Greenleaf[Unit Price]&lt;&gt;"")), IFERROR(MEDIAN(_xlpm.prices), ""))</f>
        <v>10</v>
      </c>
      <c r="P968">
        <f>IF(Greenleaf[[#This Row],[Shipment Status]]="Returned",1,0)</f>
        <v>0</v>
      </c>
      <c r="Q968">
        <f>IF(Greenleaf[[#This Row],[Shipment Status]]="Delivered",1,0)</f>
        <v>1</v>
      </c>
    </row>
    <row r="969" spans="1:17" x14ac:dyDescent="0.45">
      <c r="A969" t="s">
        <v>1329</v>
      </c>
      <c r="B969">
        <v>45644</v>
      </c>
      <c r="C969" t="s">
        <v>23</v>
      </c>
      <c r="D969" t="s">
        <v>24</v>
      </c>
      <c r="E969">
        <v>3</v>
      </c>
      <c r="F969">
        <v>25</v>
      </c>
      <c r="G969">
        <v>8.4600000000000009</v>
      </c>
      <c r="H969" t="s">
        <v>200</v>
      </c>
      <c r="I969" t="s">
        <v>201</v>
      </c>
      <c r="J969" t="s">
        <v>27</v>
      </c>
      <c r="K969" t="s">
        <v>38</v>
      </c>
      <c r="L969">
        <f t="shared" si="45"/>
        <v>75</v>
      </c>
      <c r="M969">
        <f t="shared" si="46"/>
        <v>25.380000000000003</v>
      </c>
      <c r="N969">
        <f t="shared" si="47"/>
        <v>49.62</v>
      </c>
      <c r="O969" cm="1">
        <f t="array" ref="O969">_xlfn.LET(_xlpm.cat, Greenleaf[[#This Row],[Product Category]], _xlpm.prices, _xlfn._xlws.FILTER(Greenleaf[Unit Price], (Greenleaf[Product Category]=_xlpm.cat)*(Greenleaf[Unit Price]&lt;&gt;"")), IFERROR(MEDIAN(_xlpm.prices), ""))</f>
        <v>25</v>
      </c>
      <c r="P969">
        <f>IF(Greenleaf[[#This Row],[Shipment Status]]="Returned",1,0)</f>
        <v>0</v>
      </c>
      <c r="Q969">
        <f>IF(Greenleaf[[#This Row],[Shipment Status]]="Delivered",1,0)</f>
        <v>1</v>
      </c>
    </row>
    <row r="970" spans="1:17" x14ac:dyDescent="0.45">
      <c r="A970" t="s">
        <v>1330</v>
      </c>
      <c r="B970">
        <v>45645</v>
      </c>
      <c r="C970" t="s">
        <v>49</v>
      </c>
      <c r="D970" t="s">
        <v>50</v>
      </c>
      <c r="E970">
        <v>8</v>
      </c>
      <c r="F970">
        <v>15</v>
      </c>
      <c r="G970">
        <v>4.0199999999999996</v>
      </c>
      <c r="H970" t="s">
        <v>348</v>
      </c>
      <c r="I970" t="s">
        <v>349</v>
      </c>
      <c r="J970" t="s">
        <v>27</v>
      </c>
      <c r="K970" t="s">
        <v>21</v>
      </c>
      <c r="L970">
        <f t="shared" si="45"/>
        <v>120</v>
      </c>
      <c r="M970">
        <f t="shared" si="46"/>
        <v>32.159999999999997</v>
      </c>
      <c r="N970">
        <f t="shared" si="47"/>
        <v>87.84</v>
      </c>
      <c r="O970" cm="1">
        <f t="array" ref="O970">_xlfn.LET(_xlpm.cat, Greenleaf[[#This Row],[Product Category]], _xlpm.prices, _xlfn._xlws.FILTER(Greenleaf[Unit Price], (Greenleaf[Product Category]=_xlpm.cat)*(Greenleaf[Unit Price]&lt;&gt;"")), IFERROR(MEDIAN(_xlpm.prices), ""))</f>
        <v>15</v>
      </c>
      <c r="P970">
        <f>IF(Greenleaf[[#This Row],[Shipment Status]]="Returned",1,0)</f>
        <v>0</v>
      </c>
      <c r="Q970">
        <f>IF(Greenleaf[[#This Row],[Shipment Status]]="Delivered",1,0)</f>
        <v>1</v>
      </c>
    </row>
    <row r="971" spans="1:17" x14ac:dyDescent="0.45">
      <c r="A971" t="s">
        <v>1331</v>
      </c>
      <c r="B971">
        <v>45645</v>
      </c>
      <c r="C971" t="s">
        <v>30</v>
      </c>
      <c r="D971" t="s">
        <v>31</v>
      </c>
      <c r="E971">
        <v>6</v>
      </c>
      <c r="F971">
        <v>40</v>
      </c>
      <c r="G971">
        <v>8.58</v>
      </c>
      <c r="H971" t="s">
        <v>1166</v>
      </c>
      <c r="I971" t="s">
        <v>1167</v>
      </c>
      <c r="J971" t="s">
        <v>20</v>
      </c>
      <c r="K971" t="s">
        <v>34</v>
      </c>
      <c r="L971">
        <f t="shared" si="45"/>
        <v>240</v>
      </c>
      <c r="M971">
        <f t="shared" si="46"/>
        <v>51.480000000000004</v>
      </c>
      <c r="N971">
        <f t="shared" si="47"/>
        <v>188.51999999999998</v>
      </c>
      <c r="O971" cm="1">
        <f t="array" ref="O971">_xlfn.LET(_xlpm.cat, Greenleaf[[#This Row],[Product Category]], _xlpm.prices, _xlfn._xlws.FILTER(Greenleaf[Unit Price], (Greenleaf[Product Category]=_xlpm.cat)*(Greenleaf[Unit Price]&lt;&gt;"")), IFERROR(MEDIAN(_xlpm.prices), ""))</f>
        <v>40</v>
      </c>
      <c r="P971">
        <f>IF(Greenleaf[[#This Row],[Shipment Status]]="Returned",1,0)</f>
        <v>0</v>
      </c>
      <c r="Q971">
        <f>IF(Greenleaf[[#This Row],[Shipment Status]]="Delivered",1,0)</f>
        <v>0</v>
      </c>
    </row>
    <row r="972" spans="1:17" x14ac:dyDescent="0.45">
      <c r="A972" t="s">
        <v>1332</v>
      </c>
      <c r="B972">
        <v>45645</v>
      </c>
      <c r="C972" t="s">
        <v>66</v>
      </c>
      <c r="D972" t="s">
        <v>67</v>
      </c>
      <c r="E972">
        <v>10</v>
      </c>
      <c r="F972">
        <v>12</v>
      </c>
      <c r="G972">
        <v>2.78</v>
      </c>
      <c r="H972" t="s">
        <v>420</v>
      </c>
      <c r="I972" t="s">
        <v>242</v>
      </c>
      <c r="J972" t="s">
        <v>27</v>
      </c>
      <c r="K972" t="s">
        <v>70</v>
      </c>
      <c r="L972">
        <f t="shared" si="45"/>
        <v>120</v>
      </c>
      <c r="M972">
        <f t="shared" si="46"/>
        <v>27.799999999999997</v>
      </c>
      <c r="N972">
        <f t="shared" si="47"/>
        <v>92.2</v>
      </c>
      <c r="O972" cm="1">
        <f t="array" ref="O972">_xlfn.LET(_xlpm.cat, Greenleaf[[#This Row],[Product Category]], _xlpm.prices, _xlfn._xlws.FILTER(Greenleaf[Unit Price], (Greenleaf[Product Category]=_xlpm.cat)*(Greenleaf[Unit Price]&lt;&gt;"")), IFERROR(MEDIAN(_xlpm.prices), ""))</f>
        <v>12</v>
      </c>
      <c r="P972">
        <f>IF(Greenleaf[[#This Row],[Shipment Status]]="Returned",1,0)</f>
        <v>0</v>
      </c>
      <c r="Q972">
        <f>IF(Greenleaf[[#This Row],[Shipment Status]]="Delivered",1,0)</f>
        <v>1</v>
      </c>
    </row>
    <row r="973" spans="1:17" x14ac:dyDescent="0.45">
      <c r="A973" t="s">
        <v>1333</v>
      </c>
      <c r="B973">
        <v>45646</v>
      </c>
      <c r="C973" t="s">
        <v>30</v>
      </c>
      <c r="D973" t="s">
        <v>31</v>
      </c>
      <c r="E973">
        <v>5</v>
      </c>
      <c r="F973">
        <v>40</v>
      </c>
      <c r="G973">
        <v>14.51</v>
      </c>
      <c r="H973" t="s">
        <v>473</v>
      </c>
      <c r="I973" t="s">
        <v>474</v>
      </c>
      <c r="J973" t="s">
        <v>27</v>
      </c>
      <c r="K973" t="s">
        <v>21</v>
      </c>
      <c r="L973">
        <f t="shared" si="45"/>
        <v>200</v>
      </c>
      <c r="M973">
        <f t="shared" si="46"/>
        <v>72.55</v>
      </c>
      <c r="N973">
        <f t="shared" si="47"/>
        <v>127.45</v>
      </c>
      <c r="O973" cm="1">
        <f t="array" ref="O973">_xlfn.LET(_xlpm.cat, Greenleaf[[#This Row],[Product Category]], _xlpm.prices, _xlfn._xlws.FILTER(Greenleaf[Unit Price], (Greenleaf[Product Category]=_xlpm.cat)*(Greenleaf[Unit Price]&lt;&gt;"")), IFERROR(MEDIAN(_xlpm.prices), ""))</f>
        <v>40</v>
      </c>
      <c r="P973">
        <f>IF(Greenleaf[[#This Row],[Shipment Status]]="Returned",1,0)</f>
        <v>0</v>
      </c>
      <c r="Q973">
        <f>IF(Greenleaf[[#This Row],[Shipment Status]]="Delivered",1,0)</f>
        <v>1</v>
      </c>
    </row>
    <row r="974" spans="1:17" x14ac:dyDescent="0.45">
      <c r="A974" t="s">
        <v>1334</v>
      </c>
      <c r="B974">
        <v>45646</v>
      </c>
      <c r="C974" t="s">
        <v>16</v>
      </c>
      <c r="D974" t="s">
        <v>17</v>
      </c>
      <c r="E974">
        <v>9</v>
      </c>
      <c r="F974">
        <v>10</v>
      </c>
      <c r="G974">
        <v>3.78</v>
      </c>
      <c r="H974" t="s">
        <v>1049</v>
      </c>
      <c r="I974" t="s">
        <v>574</v>
      </c>
      <c r="J974" t="s">
        <v>42</v>
      </c>
      <c r="K974" t="s">
        <v>28</v>
      </c>
      <c r="L974">
        <f t="shared" si="45"/>
        <v>90</v>
      </c>
      <c r="M974">
        <f t="shared" si="46"/>
        <v>34.019999999999996</v>
      </c>
      <c r="N974">
        <f t="shared" si="47"/>
        <v>55.980000000000004</v>
      </c>
      <c r="O974" cm="1">
        <f t="array" ref="O974">_xlfn.LET(_xlpm.cat, Greenleaf[[#This Row],[Product Category]], _xlpm.prices, _xlfn._xlws.FILTER(Greenleaf[Unit Price], (Greenleaf[Product Category]=_xlpm.cat)*(Greenleaf[Unit Price]&lt;&gt;"")), IFERROR(MEDIAN(_xlpm.prices), ""))</f>
        <v>10</v>
      </c>
      <c r="P974">
        <f>IF(Greenleaf[[#This Row],[Shipment Status]]="Returned",1,0)</f>
        <v>1</v>
      </c>
      <c r="Q974">
        <f>IF(Greenleaf[[#This Row],[Shipment Status]]="Delivered",1,0)</f>
        <v>0</v>
      </c>
    </row>
    <row r="975" spans="1:17" x14ac:dyDescent="0.45">
      <c r="A975" t="s">
        <v>1335</v>
      </c>
      <c r="B975">
        <v>45646</v>
      </c>
      <c r="C975" t="s">
        <v>23</v>
      </c>
      <c r="D975" t="s">
        <v>24</v>
      </c>
      <c r="E975">
        <v>2</v>
      </c>
      <c r="F975">
        <v>25</v>
      </c>
      <c r="G975">
        <v>9.3000000000000007</v>
      </c>
      <c r="H975" t="s">
        <v>402</v>
      </c>
      <c r="I975" t="s">
        <v>403</v>
      </c>
      <c r="J975" t="s">
        <v>47</v>
      </c>
      <c r="K975" t="s">
        <v>28</v>
      </c>
      <c r="L975">
        <f t="shared" si="45"/>
        <v>50</v>
      </c>
      <c r="M975">
        <f t="shared" si="46"/>
        <v>18.600000000000001</v>
      </c>
      <c r="N975">
        <f t="shared" si="47"/>
        <v>31.4</v>
      </c>
      <c r="O975" cm="1">
        <f t="array" ref="O975">_xlfn.LET(_xlpm.cat, Greenleaf[[#This Row],[Product Category]], _xlpm.prices, _xlfn._xlws.FILTER(Greenleaf[Unit Price], (Greenleaf[Product Category]=_xlpm.cat)*(Greenleaf[Unit Price]&lt;&gt;"")), IFERROR(MEDIAN(_xlpm.prices), ""))</f>
        <v>25</v>
      </c>
      <c r="P975">
        <f>IF(Greenleaf[[#This Row],[Shipment Status]]="Returned",1,0)</f>
        <v>0</v>
      </c>
      <c r="Q975">
        <f>IF(Greenleaf[[#This Row],[Shipment Status]]="Delivered",1,0)</f>
        <v>0</v>
      </c>
    </row>
    <row r="976" spans="1:17" x14ac:dyDescent="0.45">
      <c r="A976" t="s">
        <v>1336</v>
      </c>
      <c r="B976">
        <v>45647</v>
      </c>
      <c r="C976" t="s">
        <v>49</v>
      </c>
      <c r="D976" t="s">
        <v>50</v>
      </c>
      <c r="E976">
        <v>9</v>
      </c>
      <c r="F976">
        <v>15</v>
      </c>
      <c r="G976">
        <v>4.68</v>
      </c>
      <c r="H976" t="s">
        <v>371</v>
      </c>
      <c r="I976" t="s">
        <v>26</v>
      </c>
      <c r="J976" t="s">
        <v>47</v>
      </c>
      <c r="K976" t="s">
        <v>38</v>
      </c>
      <c r="L976">
        <f t="shared" si="45"/>
        <v>135</v>
      </c>
      <c r="M976">
        <f t="shared" si="46"/>
        <v>42.12</v>
      </c>
      <c r="N976">
        <f t="shared" si="47"/>
        <v>92.88</v>
      </c>
      <c r="O976" cm="1">
        <f t="array" ref="O976">_xlfn.LET(_xlpm.cat, Greenleaf[[#This Row],[Product Category]], _xlpm.prices, _xlfn._xlws.FILTER(Greenleaf[Unit Price], (Greenleaf[Product Category]=_xlpm.cat)*(Greenleaf[Unit Price]&lt;&gt;"")), IFERROR(MEDIAN(_xlpm.prices), ""))</f>
        <v>15</v>
      </c>
      <c r="P976">
        <f>IF(Greenleaf[[#This Row],[Shipment Status]]="Returned",1,0)</f>
        <v>0</v>
      </c>
      <c r="Q976">
        <f>IF(Greenleaf[[#This Row],[Shipment Status]]="Delivered",1,0)</f>
        <v>0</v>
      </c>
    </row>
    <row r="977" spans="1:17" x14ac:dyDescent="0.45">
      <c r="A977" t="s">
        <v>1337</v>
      </c>
      <c r="B977">
        <v>45647</v>
      </c>
      <c r="C977" t="s">
        <v>30</v>
      </c>
      <c r="D977" t="s">
        <v>31</v>
      </c>
      <c r="E977">
        <v>8</v>
      </c>
      <c r="F977">
        <v>40</v>
      </c>
      <c r="G977">
        <v>15.62</v>
      </c>
      <c r="H977" t="s">
        <v>139</v>
      </c>
      <c r="I977" t="s">
        <v>140</v>
      </c>
      <c r="J977" t="s">
        <v>27</v>
      </c>
      <c r="K977" t="s">
        <v>43</v>
      </c>
      <c r="L977">
        <f t="shared" si="45"/>
        <v>320</v>
      </c>
      <c r="M977">
        <f t="shared" si="46"/>
        <v>124.96</v>
      </c>
      <c r="N977">
        <f t="shared" si="47"/>
        <v>195.04000000000002</v>
      </c>
      <c r="O977" cm="1">
        <f t="array" ref="O977">_xlfn.LET(_xlpm.cat, Greenleaf[[#This Row],[Product Category]], _xlpm.prices, _xlfn._xlws.FILTER(Greenleaf[Unit Price], (Greenleaf[Product Category]=_xlpm.cat)*(Greenleaf[Unit Price]&lt;&gt;"")), IFERROR(MEDIAN(_xlpm.prices), ""))</f>
        <v>40</v>
      </c>
      <c r="P977">
        <f>IF(Greenleaf[[#This Row],[Shipment Status]]="Returned",1,0)</f>
        <v>0</v>
      </c>
      <c r="Q977">
        <f>IF(Greenleaf[[#This Row],[Shipment Status]]="Delivered",1,0)</f>
        <v>1</v>
      </c>
    </row>
    <row r="978" spans="1:17" x14ac:dyDescent="0.45">
      <c r="A978" t="s">
        <v>1338</v>
      </c>
      <c r="B978">
        <v>45647</v>
      </c>
      <c r="C978" t="s">
        <v>16</v>
      </c>
      <c r="D978" t="s">
        <v>17</v>
      </c>
      <c r="E978">
        <v>5</v>
      </c>
      <c r="F978">
        <v>10</v>
      </c>
      <c r="G978">
        <v>3.28</v>
      </c>
      <c r="H978" t="s">
        <v>373</v>
      </c>
      <c r="I978" t="s">
        <v>374</v>
      </c>
      <c r="J978" t="s">
        <v>27</v>
      </c>
      <c r="K978" t="s">
        <v>38</v>
      </c>
      <c r="L978">
        <f t="shared" si="45"/>
        <v>50</v>
      </c>
      <c r="M978">
        <f t="shared" si="46"/>
        <v>16.399999999999999</v>
      </c>
      <c r="N978">
        <f t="shared" si="47"/>
        <v>33.6</v>
      </c>
      <c r="O978" cm="1">
        <f t="array" ref="O978">_xlfn.LET(_xlpm.cat, Greenleaf[[#This Row],[Product Category]], _xlpm.prices, _xlfn._xlws.FILTER(Greenleaf[Unit Price], (Greenleaf[Product Category]=_xlpm.cat)*(Greenleaf[Unit Price]&lt;&gt;"")), IFERROR(MEDIAN(_xlpm.prices), ""))</f>
        <v>10</v>
      </c>
      <c r="P978">
        <f>IF(Greenleaf[[#This Row],[Shipment Status]]="Returned",1,0)</f>
        <v>0</v>
      </c>
      <c r="Q978">
        <f>IF(Greenleaf[[#This Row],[Shipment Status]]="Delivered",1,0)</f>
        <v>1</v>
      </c>
    </row>
    <row r="979" spans="1:17" x14ac:dyDescent="0.45">
      <c r="A979" t="s">
        <v>1339</v>
      </c>
      <c r="B979">
        <v>45647</v>
      </c>
      <c r="C979" t="s">
        <v>16</v>
      </c>
      <c r="D979" t="s">
        <v>17</v>
      </c>
      <c r="E979">
        <v>3</v>
      </c>
      <c r="F979">
        <v>10</v>
      </c>
      <c r="G979">
        <v>3.25</v>
      </c>
      <c r="H979" t="s">
        <v>145</v>
      </c>
      <c r="I979" t="s">
        <v>146</v>
      </c>
      <c r="J979" t="s">
        <v>27</v>
      </c>
      <c r="K979" t="s">
        <v>56</v>
      </c>
      <c r="L979">
        <f t="shared" si="45"/>
        <v>30</v>
      </c>
      <c r="M979">
        <f t="shared" si="46"/>
        <v>9.75</v>
      </c>
      <c r="N979">
        <f t="shared" si="47"/>
        <v>20.25</v>
      </c>
      <c r="O979" cm="1">
        <f t="array" ref="O979">_xlfn.LET(_xlpm.cat, Greenleaf[[#This Row],[Product Category]], _xlpm.prices, _xlfn._xlws.FILTER(Greenleaf[Unit Price], (Greenleaf[Product Category]=_xlpm.cat)*(Greenleaf[Unit Price]&lt;&gt;"")), IFERROR(MEDIAN(_xlpm.prices), ""))</f>
        <v>10</v>
      </c>
      <c r="P979">
        <f>IF(Greenleaf[[#This Row],[Shipment Status]]="Returned",1,0)</f>
        <v>0</v>
      </c>
      <c r="Q979">
        <f>IF(Greenleaf[[#This Row],[Shipment Status]]="Delivered",1,0)</f>
        <v>1</v>
      </c>
    </row>
    <row r="980" spans="1:17" x14ac:dyDescent="0.45">
      <c r="A980" t="s">
        <v>1340</v>
      </c>
      <c r="B980">
        <v>45648</v>
      </c>
      <c r="C980" t="s">
        <v>49</v>
      </c>
      <c r="D980" t="s">
        <v>50</v>
      </c>
      <c r="E980">
        <v>3</v>
      </c>
      <c r="F980">
        <v>15</v>
      </c>
      <c r="G980">
        <v>3.77</v>
      </c>
      <c r="H980" t="s">
        <v>305</v>
      </c>
      <c r="I980" t="s">
        <v>210</v>
      </c>
      <c r="J980" t="s">
        <v>27</v>
      </c>
      <c r="K980" t="s">
        <v>34</v>
      </c>
      <c r="L980">
        <f t="shared" si="45"/>
        <v>45</v>
      </c>
      <c r="M980">
        <f t="shared" si="46"/>
        <v>11.31</v>
      </c>
      <c r="N980">
        <f t="shared" si="47"/>
        <v>33.69</v>
      </c>
      <c r="O980" cm="1">
        <f t="array" ref="O980">_xlfn.LET(_xlpm.cat, Greenleaf[[#This Row],[Product Category]], _xlpm.prices, _xlfn._xlws.FILTER(Greenleaf[Unit Price], (Greenleaf[Product Category]=_xlpm.cat)*(Greenleaf[Unit Price]&lt;&gt;"")), IFERROR(MEDIAN(_xlpm.prices), ""))</f>
        <v>15</v>
      </c>
      <c r="P980">
        <f>IF(Greenleaf[[#This Row],[Shipment Status]]="Returned",1,0)</f>
        <v>0</v>
      </c>
      <c r="Q980">
        <f>IF(Greenleaf[[#This Row],[Shipment Status]]="Delivered",1,0)</f>
        <v>1</v>
      </c>
    </row>
    <row r="981" spans="1:17" x14ac:dyDescent="0.45">
      <c r="A981" t="s">
        <v>1341</v>
      </c>
      <c r="B981">
        <v>45648</v>
      </c>
      <c r="C981" t="s">
        <v>30</v>
      </c>
      <c r="D981" t="s">
        <v>31</v>
      </c>
      <c r="E981">
        <v>1</v>
      </c>
      <c r="F981">
        <v>40</v>
      </c>
      <c r="G981">
        <v>14.45</v>
      </c>
      <c r="H981" t="s">
        <v>1342</v>
      </c>
      <c r="I981" t="s">
        <v>1343</v>
      </c>
      <c r="J981" t="s">
        <v>20</v>
      </c>
      <c r="K981" t="s">
        <v>56</v>
      </c>
      <c r="L981">
        <f t="shared" si="45"/>
        <v>40</v>
      </c>
      <c r="M981">
        <f t="shared" si="46"/>
        <v>14.45</v>
      </c>
      <c r="N981">
        <f t="shared" si="47"/>
        <v>25.55</v>
      </c>
      <c r="O981" cm="1">
        <f t="array" ref="O981">_xlfn.LET(_xlpm.cat, Greenleaf[[#This Row],[Product Category]], _xlpm.prices, _xlfn._xlws.FILTER(Greenleaf[Unit Price], (Greenleaf[Product Category]=_xlpm.cat)*(Greenleaf[Unit Price]&lt;&gt;"")), IFERROR(MEDIAN(_xlpm.prices), ""))</f>
        <v>40</v>
      </c>
      <c r="P981">
        <f>IF(Greenleaf[[#This Row],[Shipment Status]]="Returned",1,0)</f>
        <v>0</v>
      </c>
      <c r="Q981">
        <f>IF(Greenleaf[[#This Row],[Shipment Status]]="Delivered",1,0)</f>
        <v>0</v>
      </c>
    </row>
    <row r="982" spans="1:17" x14ac:dyDescent="0.45">
      <c r="A982" t="s">
        <v>1344</v>
      </c>
      <c r="B982">
        <v>45648</v>
      </c>
      <c r="C982" t="s">
        <v>66</v>
      </c>
      <c r="D982" t="s">
        <v>67</v>
      </c>
      <c r="E982">
        <v>8</v>
      </c>
      <c r="F982">
        <v>12</v>
      </c>
      <c r="G982">
        <v>2.61</v>
      </c>
      <c r="H982" t="s">
        <v>166</v>
      </c>
      <c r="I982" t="s">
        <v>167</v>
      </c>
      <c r="J982" t="s">
        <v>27</v>
      </c>
      <c r="K982" t="s">
        <v>43</v>
      </c>
      <c r="L982">
        <f t="shared" si="45"/>
        <v>96</v>
      </c>
      <c r="M982">
        <f t="shared" si="46"/>
        <v>20.88</v>
      </c>
      <c r="N982">
        <f t="shared" si="47"/>
        <v>75.12</v>
      </c>
      <c r="O982" cm="1">
        <f t="array" ref="O982">_xlfn.LET(_xlpm.cat, Greenleaf[[#This Row],[Product Category]], _xlpm.prices, _xlfn._xlws.FILTER(Greenleaf[Unit Price], (Greenleaf[Product Category]=_xlpm.cat)*(Greenleaf[Unit Price]&lt;&gt;"")), IFERROR(MEDIAN(_xlpm.prices), ""))</f>
        <v>12</v>
      </c>
      <c r="P982">
        <f>IF(Greenleaf[[#This Row],[Shipment Status]]="Returned",1,0)</f>
        <v>0</v>
      </c>
      <c r="Q982">
        <f>IF(Greenleaf[[#This Row],[Shipment Status]]="Delivered",1,0)</f>
        <v>1</v>
      </c>
    </row>
    <row r="983" spans="1:17" x14ac:dyDescent="0.45">
      <c r="A983" t="s">
        <v>1345</v>
      </c>
      <c r="B983">
        <v>45648</v>
      </c>
      <c r="C983" t="s">
        <v>49</v>
      </c>
      <c r="D983" t="s">
        <v>50</v>
      </c>
      <c r="E983">
        <v>4</v>
      </c>
      <c r="F983">
        <v>15</v>
      </c>
      <c r="G983">
        <v>4.01</v>
      </c>
      <c r="H983" t="s">
        <v>139</v>
      </c>
      <c r="I983" t="s">
        <v>140</v>
      </c>
      <c r="J983" t="s">
        <v>47</v>
      </c>
      <c r="K983" t="s">
        <v>28</v>
      </c>
      <c r="L983">
        <f t="shared" si="45"/>
        <v>60</v>
      </c>
      <c r="M983">
        <f t="shared" si="46"/>
        <v>16.04</v>
      </c>
      <c r="N983">
        <f t="shared" si="47"/>
        <v>43.96</v>
      </c>
      <c r="O983" cm="1">
        <f t="array" ref="O983">_xlfn.LET(_xlpm.cat, Greenleaf[[#This Row],[Product Category]], _xlpm.prices, _xlfn._xlws.FILTER(Greenleaf[Unit Price], (Greenleaf[Product Category]=_xlpm.cat)*(Greenleaf[Unit Price]&lt;&gt;"")), IFERROR(MEDIAN(_xlpm.prices), ""))</f>
        <v>15</v>
      </c>
      <c r="P983">
        <f>IF(Greenleaf[[#This Row],[Shipment Status]]="Returned",1,0)</f>
        <v>0</v>
      </c>
      <c r="Q983">
        <f>IF(Greenleaf[[#This Row],[Shipment Status]]="Delivered",1,0)</f>
        <v>0</v>
      </c>
    </row>
    <row r="984" spans="1:17" x14ac:dyDescent="0.45">
      <c r="A984" t="s">
        <v>1346</v>
      </c>
      <c r="B984">
        <v>45648</v>
      </c>
      <c r="C984" t="s">
        <v>16</v>
      </c>
      <c r="D984" t="s">
        <v>17</v>
      </c>
      <c r="E984">
        <v>10</v>
      </c>
      <c r="F984">
        <v>10</v>
      </c>
      <c r="G984">
        <v>2.96</v>
      </c>
      <c r="H984" t="s">
        <v>530</v>
      </c>
      <c r="I984" t="s">
        <v>531</v>
      </c>
      <c r="J984" t="s">
        <v>20</v>
      </c>
      <c r="K984" t="s">
        <v>43</v>
      </c>
      <c r="L984">
        <f t="shared" si="45"/>
        <v>100</v>
      </c>
      <c r="M984">
        <f t="shared" si="46"/>
        <v>29.6</v>
      </c>
      <c r="N984">
        <f t="shared" si="47"/>
        <v>70.400000000000006</v>
      </c>
      <c r="O984" cm="1">
        <f t="array" ref="O984">_xlfn.LET(_xlpm.cat, Greenleaf[[#This Row],[Product Category]], _xlpm.prices, _xlfn._xlws.FILTER(Greenleaf[Unit Price], (Greenleaf[Product Category]=_xlpm.cat)*(Greenleaf[Unit Price]&lt;&gt;"")), IFERROR(MEDIAN(_xlpm.prices), ""))</f>
        <v>10</v>
      </c>
      <c r="P984">
        <f>IF(Greenleaf[[#This Row],[Shipment Status]]="Returned",1,0)</f>
        <v>0</v>
      </c>
      <c r="Q984">
        <f>IF(Greenleaf[[#This Row],[Shipment Status]]="Delivered",1,0)</f>
        <v>0</v>
      </c>
    </row>
    <row r="985" spans="1:17" x14ac:dyDescent="0.45">
      <c r="A985" t="s">
        <v>1347</v>
      </c>
      <c r="B985">
        <v>45648</v>
      </c>
      <c r="C985" t="s">
        <v>23</v>
      </c>
      <c r="D985" t="s">
        <v>24</v>
      </c>
      <c r="E985">
        <v>2</v>
      </c>
      <c r="F985">
        <v>25</v>
      </c>
      <c r="G985">
        <v>9.57</v>
      </c>
      <c r="H985" t="s">
        <v>108</v>
      </c>
      <c r="I985" t="s">
        <v>109</v>
      </c>
      <c r="J985" t="s">
        <v>20</v>
      </c>
      <c r="K985" t="s">
        <v>70</v>
      </c>
      <c r="L985">
        <f t="shared" si="45"/>
        <v>50</v>
      </c>
      <c r="M985">
        <f t="shared" si="46"/>
        <v>19.14</v>
      </c>
      <c r="N985">
        <f t="shared" si="47"/>
        <v>30.86</v>
      </c>
      <c r="O985" cm="1">
        <f t="array" ref="O985">_xlfn.LET(_xlpm.cat, Greenleaf[[#This Row],[Product Category]], _xlpm.prices, _xlfn._xlws.FILTER(Greenleaf[Unit Price], (Greenleaf[Product Category]=_xlpm.cat)*(Greenleaf[Unit Price]&lt;&gt;"")), IFERROR(MEDIAN(_xlpm.prices), ""))</f>
        <v>25</v>
      </c>
      <c r="P985">
        <f>IF(Greenleaf[[#This Row],[Shipment Status]]="Returned",1,0)</f>
        <v>0</v>
      </c>
      <c r="Q985">
        <f>IF(Greenleaf[[#This Row],[Shipment Status]]="Delivered",1,0)</f>
        <v>0</v>
      </c>
    </row>
    <row r="986" spans="1:17" x14ac:dyDescent="0.45">
      <c r="A986" t="s">
        <v>1348</v>
      </c>
      <c r="B986">
        <v>45649</v>
      </c>
      <c r="C986" t="s">
        <v>49</v>
      </c>
      <c r="D986" t="s">
        <v>50</v>
      </c>
      <c r="E986">
        <v>10</v>
      </c>
      <c r="F986">
        <v>15</v>
      </c>
      <c r="G986">
        <v>3.45</v>
      </c>
      <c r="H986" t="s">
        <v>348</v>
      </c>
      <c r="I986" t="s">
        <v>349</v>
      </c>
      <c r="J986" t="s">
        <v>27</v>
      </c>
      <c r="K986" t="s">
        <v>34</v>
      </c>
      <c r="L986">
        <f t="shared" si="45"/>
        <v>150</v>
      </c>
      <c r="M986">
        <f t="shared" si="46"/>
        <v>34.5</v>
      </c>
      <c r="N986">
        <f t="shared" si="47"/>
        <v>115.5</v>
      </c>
      <c r="O986" cm="1">
        <f t="array" ref="O986">_xlfn.LET(_xlpm.cat, Greenleaf[[#This Row],[Product Category]], _xlpm.prices, _xlfn._xlws.FILTER(Greenleaf[Unit Price], (Greenleaf[Product Category]=_xlpm.cat)*(Greenleaf[Unit Price]&lt;&gt;"")), IFERROR(MEDIAN(_xlpm.prices), ""))</f>
        <v>15</v>
      </c>
      <c r="P986">
        <f>IF(Greenleaf[[#This Row],[Shipment Status]]="Returned",1,0)</f>
        <v>0</v>
      </c>
      <c r="Q986">
        <f>IF(Greenleaf[[#This Row],[Shipment Status]]="Delivered",1,0)</f>
        <v>1</v>
      </c>
    </row>
    <row r="987" spans="1:17" x14ac:dyDescent="0.45">
      <c r="A987" t="s">
        <v>1349</v>
      </c>
      <c r="B987">
        <v>45650</v>
      </c>
      <c r="C987" t="s">
        <v>49</v>
      </c>
      <c r="D987" t="s">
        <v>50</v>
      </c>
      <c r="E987">
        <v>1</v>
      </c>
      <c r="F987">
        <v>15</v>
      </c>
      <c r="G987">
        <v>3.86</v>
      </c>
      <c r="H987" t="s">
        <v>64</v>
      </c>
      <c r="I987" t="s">
        <v>19</v>
      </c>
      <c r="J987" t="s">
        <v>27</v>
      </c>
      <c r="K987" t="s">
        <v>59</v>
      </c>
      <c r="L987">
        <f t="shared" si="45"/>
        <v>15</v>
      </c>
      <c r="M987">
        <f t="shared" si="46"/>
        <v>3.86</v>
      </c>
      <c r="N987">
        <f t="shared" si="47"/>
        <v>11.14</v>
      </c>
      <c r="O987" cm="1">
        <f t="array" ref="O987">_xlfn.LET(_xlpm.cat, Greenleaf[[#This Row],[Product Category]], _xlpm.prices, _xlfn._xlws.FILTER(Greenleaf[Unit Price], (Greenleaf[Product Category]=_xlpm.cat)*(Greenleaf[Unit Price]&lt;&gt;"")), IFERROR(MEDIAN(_xlpm.prices), ""))</f>
        <v>15</v>
      </c>
      <c r="P987">
        <f>IF(Greenleaf[[#This Row],[Shipment Status]]="Returned",1,0)</f>
        <v>0</v>
      </c>
      <c r="Q987">
        <f>IF(Greenleaf[[#This Row],[Shipment Status]]="Delivered",1,0)</f>
        <v>1</v>
      </c>
    </row>
    <row r="988" spans="1:17" x14ac:dyDescent="0.45">
      <c r="A988" t="s">
        <v>1350</v>
      </c>
      <c r="B988">
        <v>45650</v>
      </c>
      <c r="C988" t="s">
        <v>23</v>
      </c>
      <c r="D988" t="s">
        <v>24</v>
      </c>
      <c r="E988">
        <v>8</v>
      </c>
      <c r="F988">
        <v>25</v>
      </c>
      <c r="G988">
        <v>8.4499999999999993</v>
      </c>
      <c r="H988" t="s">
        <v>576</v>
      </c>
      <c r="I988" t="s">
        <v>553</v>
      </c>
      <c r="J988" t="s">
        <v>27</v>
      </c>
      <c r="K988" t="s">
        <v>134</v>
      </c>
      <c r="L988">
        <f t="shared" si="45"/>
        <v>200</v>
      </c>
      <c r="M988">
        <f t="shared" si="46"/>
        <v>67.599999999999994</v>
      </c>
      <c r="N988">
        <f t="shared" si="47"/>
        <v>132.4</v>
      </c>
      <c r="O988" cm="1">
        <f t="array" ref="O988">_xlfn.LET(_xlpm.cat, Greenleaf[[#This Row],[Product Category]], _xlpm.prices, _xlfn._xlws.FILTER(Greenleaf[Unit Price], (Greenleaf[Product Category]=_xlpm.cat)*(Greenleaf[Unit Price]&lt;&gt;"")), IFERROR(MEDIAN(_xlpm.prices), ""))</f>
        <v>25</v>
      </c>
      <c r="P988">
        <f>IF(Greenleaf[[#This Row],[Shipment Status]]="Returned",1,0)</f>
        <v>0</v>
      </c>
      <c r="Q988">
        <f>IF(Greenleaf[[#This Row],[Shipment Status]]="Delivered",1,0)</f>
        <v>1</v>
      </c>
    </row>
    <row r="989" spans="1:17" x14ac:dyDescent="0.45">
      <c r="A989" t="s">
        <v>1351</v>
      </c>
      <c r="B989">
        <v>45650</v>
      </c>
      <c r="C989" t="s">
        <v>49</v>
      </c>
      <c r="D989" t="s">
        <v>50</v>
      </c>
      <c r="E989">
        <v>1</v>
      </c>
      <c r="F989">
        <v>15</v>
      </c>
      <c r="G989">
        <v>5.61</v>
      </c>
      <c r="H989" t="s">
        <v>25</v>
      </c>
      <c r="I989" t="s">
        <v>26</v>
      </c>
      <c r="J989" t="s">
        <v>27</v>
      </c>
      <c r="K989" t="s">
        <v>70</v>
      </c>
      <c r="L989">
        <f t="shared" si="45"/>
        <v>15</v>
      </c>
      <c r="M989">
        <f t="shared" si="46"/>
        <v>5.61</v>
      </c>
      <c r="N989">
        <f t="shared" si="47"/>
        <v>9.39</v>
      </c>
      <c r="O989" cm="1">
        <f t="array" ref="O989">_xlfn.LET(_xlpm.cat, Greenleaf[[#This Row],[Product Category]], _xlpm.prices, _xlfn._xlws.FILTER(Greenleaf[Unit Price], (Greenleaf[Product Category]=_xlpm.cat)*(Greenleaf[Unit Price]&lt;&gt;"")), IFERROR(MEDIAN(_xlpm.prices), ""))</f>
        <v>15</v>
      </c>
      <c r="P989">
        <f>IF(Greenleaf[[#This Row],[Shipment Status]]="Returned",1,0)</f>
        <v>0</v>
      </c>
      <c r="Q989">
        <f>IF(Greenleaf[[#This Row],[Shipment Status]]="Delivered",1,0)</f>
        <v>1</v>
      </c>
    </row>
    <row r="990" spans="1:17" x14ac:dyDescent="0.45">
      <c r="A990" t="s">
        <v>1352</v>
      </c>
      <c r="B990">
        <v>45650</v>
      </c>
      <c r="C990" t="s">
        <v>66</v>
      </c>
      <c r="D990" t="s">
        <v>67</v>
      </c>
      <c r="E990">
        <v>7</v>
      </c>
      <c r="F990">
        <v>12</v>
      </c>
      <c r="G990">
        <v>3.23</v>
      </c>
      <c r="H990" t="s">
        <v>365</v>
      </c>
      <c r="I990" t="s">
        <v>115</v>
      </c>
      <c r="J990" t="s">
        <v>27</v>
      </c>
      <c r="K990" t="s">
        <v>56</v>
      </c>
      <c r="L990">
        <f t="shared" si="45"/>
        <v>84</v>
      </c>
      <c r="M990">
        <f t="shared" si="46"/>
        <v>22.61</v>
      </c>
      <c r="N990">
        <f t="shared" si="47"/>
        <v>61.39</v>
      </c>
      <c r="O990" cm="1">
        <f t="array" ref="O990">_xlfn.LET(_xlpm.cat, Greenleaf[[#This Row],[Product Category]], _xlpm.prices, _xlfn._xlws.FILTER(Greenleaf[Unit Price], (Greenleaf[Product Category]=_xlpm.cat)*(Greenleaf[Unit Price]&lt;&gt;"")), IFERROR(MEDIAN(_xlpm.prices), ""))</f>
        <v>12</v>
      </c>
      <c r="P990">
        <f>IF(Greenleaf[[#This Row],[Shipment Status]]="Returned",1,0)</f>
        <v>0</v>
      </c>
      <c r="Q990">
        <f>IF(Greenleaf[[#This Row],[Shipment Status]]="Delivered",1,0)</f>
        <v>1</v>
      </c>
    </row>
    <row r="991" spans="1:17" x14ac:dyDescent="0.45">
      <c r="A991" t="s">
        <v>1353</v>
      </c>
      <c r="B991">
        <v>45651</v>
      </c>
      <c r="C991" t="s">
        <v>30</v>
      </c>
      <c r="D991" t="s">
        <v>31</v>
      </c>
      <c r="E991">
        <v>8</v>
      </c>
      <c r="F991">
        <v>40</v>
      </c>
      <c r="G991">
        <v>12.11</v>
      </c>
      <c r="H991" t="s">
        <v>552</v>
      </c>
      <c r="I991" t="s">
        <v>553</v>
      </c>
      <c r="J991" t="s">
        <v>27</v>
      </c>
      <c r="K991" t="s">
        <v>74</v>
      </c>
      <c r="L991">
        <f t="shared" si="45"/>
        <v>320</v>
      </c>
      <c r="M991">
        <f t="shared" si="46"/>
        <v>96.88</v>
      </c>
      <c r="N991">
        <f t="shared" si="47"/>
        <v>223.12</v>
      </c>
      <c r="O991" cm="1">
        <f t="array" ref="O991">_xlfn.LET(_xlpm.cat, Greenleaf[[#This Row],[Product Category]], _xlpm.prices, _xlfn._xlws.FILTER(Greenleaf[Unit Price], (Greenleaf[Product Category]=_xlpm.cat)*(Greenleaf[Unit Price]&lt;&gt;"")), IFERROR(MEDIAN(_xlpm.prices), ""))</f>
        <v>40</v>
      </c>
      <c r="P991">
        <f>IF(Greenleaf[[#This Row],[Shipment Status]]="Returned",1,0)</f>
        <v>0</v>
      </c>
      <c r="Q991">
        <f>IF(Greenleaf[[#This Row],[Shipment Status]]="Delivered",1,0)</f>
        <v>1</v>
      </c>
    </row>
    <row r="992" spans="1:17" x14ac:dyDescent="0.45">
      <c r="A992" t="s">
        <v>1354</v>
      </c>
      <c r="B992">
        <v>45651</v>
      </c>
      <c r="C992" t="s">
        <v>23</v>
      </c>
      <c r="D992" t="s">
        <v>24</v>
      </c>
      <c r="E992">
        <v>10</v>
      </c>
      <c r="F992">
        <v>25</v>
      </c>
      <c r="G992">
        <v>5.58</v>
      </c>
      <c r="H992" t="s">
        <v>814</v>
      </c>
      <c r="I992" t="s">
        <v>815</v>
      </c>
      <c r="J992" t="s">
        <v>27</v>
      </c>
      <c r="K992" t="s">
        <v>28</v>
      </c>
      <c r="L992">
        <f t="shared" si="45"/>
        <v>250</v>
      </c>
      <c r="M992">
        <f t="shared" si="46"/>
        <v>55.8</v>
      </c>
      <c r="N992">
        <f t="shared" si="47"/>
        <v>194.2</v>
      </c>
      <c r="O992" cm="1">
        <f t="array" ref="O992">_xlfn.LET(_xlpm.cat, Greenleaf[[#This Row],[Product Category]], _xlpm.prices, _xlfn._xlws.FILTER(Greenleaf[Unit Price], (Greenleaf[Product Category]=_xlpm.cat)*(Greenleaf[Unit Price]&lt;&gt;"")), IFERROR(MEDIAN(_xlpm.prices), ""))</f>
        <v>25</v>
      </c>
      <c r="P992">
        <f>IF(Greenleaf[[#This Row],[Shipment Status]]="Returned",1,0)</f>
        <v>0</v>
      </c>
      <c r="Q992">
        <f>IF(Greenleaf[[#This Row],[Shipment Status]]="Delivered",1,0)</f>
        <v>1</v>
      </c>
    </row>
    <row r="993" spans="1:17" x14ac:dyDescent="0.45">
      <c r="A993" t="s">
        <v>1355</v>
      </c>
      <c r="B993">
        <v>45651</v>
      </c>
      <c r="C993" t="s">
        <v>30</v>
      </c>
      <c r="D993" t="s">
        <v>31</v>
      </c>
      <c r="E993">
        <v>7</v>
      </c>
      <c r="F993">
        <v>40</v>
      </c>
      <c r="G993">
        <v>8.07</v>
      </c>
      <c r="H993" t="s">
        <v>45</v>
      </c>
      <c r="I993" t="s">
        <v>46</v>
      </c>
      <c r="J993" t="s">
        <v>27</v>
      </c>
      <c r="K993" t="s">
        <v>56</v>
      </c>
      <c r="L993">
        <f t="shared" si="45"/>
        <v>280</v>
      </c>
      <c r="M993">
        <f t="shared" si="46"/>
        <v>56.49</v>
      </c>
      <c r="N993">
        <f t="shared" si="47"/>
        <v>223.51</v>
      </c>
      <c r="O993" cm="1">
        <f t="array" ref="O993">_xlfn.LET(_xlpm.cat, Greenleaf[[#This Row],[Product Category]], _xlpm.prices, _xlfn._xlws.FILTER(Greenleaf[Unit Price], (Greenleaf[Product Category]=_xlpm.cat)*(Greenleaf[Unit Price]&lt;&gt;"")), IFERROR(MEDIAN(_xlpm.prices), ""))</f>
        <v>40</v>
      </c>
      <c r="P993">
        <f>IF(Greenleaf[[#This Row],[Shipment Status]]="Returned",1,0)</f>
        <v>0</v>
      </c>
      <c r="Q993">
        <f>IF(Greenleaf[[#This Row],[Shipment Status]]="Delivered",1,0)</f>
        <v>1</v>
      </c>
    </row>
    <row r="994" spans="1:17" x14ac:dyDescent="0.45">
      <c r="A994" t="s">
        <v>1356</v>
      </c>
      <c r="B994">
        <v>45652</v>
      </c>
      <c r="C994" t="s">
        <v>23</v>
      </c>
      <c r="D994" t="s">
        <v>24</v>
      </c>
      <c r="E994">
        <v>1</v>
      </c>
      <c r="F994">
        <v>25</v>
      </c>
      <c r="G994">
        <v>7.33</v>
      </c>
      <c r="H994" t="s">
        <v>662</v>
      </c>
      <c r="I994" t="s">
        <v>663</v>
      </c>
      <c r="J994" t="s">
        <v>20</v>
      </c>
      <c r="K994" t="s">
        <v>34</v>
      </c>
      <c r="L994">
        <f t="shared" si="45"/>
        <v>25</v>
      </c>
      <c r="M994">
        <f t="shared" si="46"/>
        <v>7.33</v>
      </c>
      <c r="N994">
        <f t="shared" si="47"/>
        <v>17.670000000000002</v>
      </c>
      <c r="O994" cm="1">
        <f t="array" ref="O994">_xlfn.LET(_xlpm.cat, Greenleaf[[#This Row],[Product Category]], _xlpm.prices, _xlfn._xlws.FILTER(Greenleaf[Unit Price], (Greenleaf[Product Category]=_xlpm.cat)*(Greenleaf[Unit Price]&lt;&gt;"")), IFERROR(MEDIAN(_xlpm.prices), ""))</f>
        <v>25</v>
      </c>
      <c r="P994">
        <f>IF(Greenleaf[[#This Row],[Shipment Status]]="Returned",1,0)</f>
        <v>0</v>
      </c>
      <c r="Q994">
        <f>IF(Greenleaf[[#This Row],[Shipment Status]]="Delivered",1,0)</f>
        <v>0</v>
      </c>
    </row>
    <row r="995" spans="1:17" x14ac:dyDescent="0.45">
      <c r="A995" t="s">
        <v>1357</v>
      </c>
      <c r="B995">
        <v>45653</v>
      </c>
      <c r="C995" t="s">
        <v>66</v>
      </c>
      <c r="D995" t="s">
        <v>67</v>
      </c>
      <c r="E995">
        <v>5</v>
      </c>
      <c r="F995">
        <v>12</v>
      </c>
      <c r="G995">
        <v>4.26</v>
      </c>
      <c r="H995" t="s">
        <v>303</v>
      </c>
      <c r="I995" t="s">
        <v>214</v>
      </c>
      <c r="J995" t="s">
        <v>27</v>
      </c>
      <c r="K995" t="s">
        <v>21</v>
      </c>
      <c r="L995">
        <f t="shared" si="45"/>
        <v>60</v>
      </c>
      <c r="M995">
        <f t="shared" si="46"/>
        <v>21.299999999999997</v>
      </c>
      <c r="N995">
        <f t="shared" si="47"/>
        <v>38.700000000000003</v>
      </c>
      <c r="O995" cm="1">
        <f t="array" ref="O995">_xlfn.LET(_xlpm.cat, Greenleaf[[#This Row],[Product Category]], _xlpm.prices, _xlfn._xlws.FILTER(Greenleaf[Unit Price], (Greenleaf[Product Category]=_xlpm.cat)*(Greenleaf[Unit Price]&lt;&gt;"")), IFERROR(MEDIAN(_xlpm.prices), ""))</f>
        <v>12</v>
      </c>
      <c r="P995">
        <f>IF(Greenleaf[[#This Row],[Shipment Status]]="Returned",1,0)</f>
        <v>0</v>
      </c>
      <c r="Q995">
        <f>IF(Greenleaf[[#This Row],[Shipment Status]]="Delivered",1,0)</f>
        <v>1</v>
      </c>
    </row>
    <row r="996" spans="1:17" x14ac:dyDescent="0.45">
      <c r="A996" t="s">
        <v>1358</v>
      </c>
      <c r="B996">
        <v>45653</v>
      </c>
      <c r="C996" t="s">
        <v>49</v>
      </c>
      <c r="D996" t="s">
        <v>50</v>
      </c>
      <c r="E996">
        <v>8</v>
      </c>
      <c r="F996">
        <v>15</v>
      </c>
      <c r="G996">
        <v>3.68</v>
      </c>
      <c r="H996" t="s">
        <v>814</v>
      </c>
      <c r="I996" t="s">
        <v>815</v>
      </c>
      <c r="J996" t="s">
        <v>27</v>
      </c>
      <c r="K996" t="s">
        <v>21</v>
      </c>
      <c r="L996">
        <f t="shared" si="45"/>
        <v>120</v>
      </c>
      <c r="M996">
        <f t="shared" si="46"/>
        <v>29.44</v>
      </c>
      <c r="N996">
        <f t="shared" si="47"/>
        <v>90.56</v>
      </c>
      <c r="O996" cm="1">
        <f t="array" ref="O996">_xlfn.LET(_xlpm.cat, Greenleaf[[#This Row],[Product Category]], _xlpm.prices, _xlfn._xlws.FILTER(Greenleaf[Unit Price], (Greenleaf[Product Category]=_xlpm.cat)*(Greenleaf[Unit Price]&lt;&gt;"")), IFERROR(MEDIAN(_xlpm.prices), ""))</f>
        <v>15</v>
      </c>
      <c r="P996">
        <f>IF(Greenleaf[[#This Row],[Shipment Status]]="Returned",1,0)</f>
        <v>0</v>
      </c>
      <c r="Q996">
        <f>IF(Greenleaf[[#This Row],[Shipment Status]]="Delivered",1,0)</f>
        <v>1</v>
      </c>
    </row>
    <row r="997" spans="1:17" x14ac:dyDescent="0.45">
      <c r="A997" t="s">
        <v>1359</v>
      </c>
      <c r="B997">
        <v>45654</v>
      </c>
      <c r="C997" t="s">
        <v>49</v>
      </c>
      <c r="D997" t="s">
        <v>50</v>
      </c>
      <c r="E997">
        <v>1</v>
      </c>
      <c r="F997">
        <v>15</v>
      </c>
      <c r="G997">
        <v>3.83</v>
      </c>
      <c r="H997" t="s">
        <v>439</v>
      </c>
      <c r="I997" t="s">
        <v>440</v>
      </c>
      <c r="J997" t="s">
        <v>42</v>
      </c>
      <c r="K997" t="s">
        <v>38</v>
      </c>
      <c r="L997">
        <f t="shared" si="45"/>
        <v>15</v>
      </c>
      <c r="M997">
        <f t="shared" si="46"/>
        <v>3.83</v>
      </c>
      <c r="N997">
        <f t="shared" si="47"/>
        <v>11.17</v>
      </c>
      <c r="O997" cm="1">
        <f t="array" ref="O997">_xlfn.LET(_xlpm.cat, Greenleaf[[#This Row],[Product Category]], _xlpm.prices, _xlfn._xlws.FILTER(Greenleaf[Unit Price], (Greenleaf[Product Category]=_xlpm.cat)*(Greenleaf[Unit Price]&lt;&gt;"")), IFERROR(MEDIAN(_xlpm.prices), ""))</f>
        <v>15</v>
      </c>
      <c r="P997">
        <f>IF(Greenleaf[[#This Row],[Shipment Status]]="Returned",1,0)</f>
        <v>1</v>
      </c>
      <c r="Q997">
        <f>IF(Greenleaf[[#This Row],[Shipment Status]]="Delivered",1,0)</f>
        <v>0</v>
      </c>
    </row>
    <row r="998" spans="1:17" x14ac:dyDescent="0.45">
      <c r="A998" t="s">
        <v>1360</v>
      </c>
      <c r="B998">
        <v>45654</v>
      </c>
      <c r="C998" t="s">
        <v>49</v>
      </c>
      <c r="D998" t="s">
        <v>50</v>
      </c>
      <c r="E998">
        <v>3</v>
      </c>
      <c r="F998">
        <v>15</v>
      </c>
      <c r="G998">
        <v>3.05</v>
      </c>
      <c r="H998" t="s">
        <v>76</v>
      </c>
      <c r="I998" t="s">
        <v>77</v>
      </c>
      <c r="J998" t="s">
        <v>27</v>
      </c>
      <c r="K998" t="s">
        <v>56</v>
      </c>
      <c r="L998">
        <f t="shared" si="45"/>
        <v>45</v>
      </c>
      <c r="M998">
        <f t="shared" si="46"/>
        <v>9.1499999999999986</v>
      </c>
      <c r="N998">
        <f t="shared" si="47"/>
        <v>35.85</v>
      </c>
      <c r="O998" cm="1">
        <f t="array" ref="O998">_xlfn.LET(_xlpm.cat, Greenleaf[[#This Row],[Product Category]], _xlpm.prices, _xlfn._xlws.FILTER(Greenleaf[Unit Price], (Greenleaf[Product Category]=_xlpm.cat)*(Greenleaf[Unit Price]&lt;&gt;"")), IFERROR(MEDIAN(_xlpm.prices), ""))</f>
        <v>15</v>
      </c>
      <c r="P998">
        <f>IF(Greenleaf[[#This Row],[Shipment Status]]="Returned",1,0)</f>
        <v>0</v>
      </c>
      <c r="Q998">
        <f>IF(Greenleaf[[#This Row],[Shipment Status]]="Delivered",1,0)</f>
        <v>1</v>
      </c>
    </row>
    <row r="999" spans="1:17" x14ac:dyDescent="0.45">
      <c r="A999" t="s">
        <v>1361</v>
      </c>
      <c r="B999">
        <v>45655</v>
      </c>
      <c r="C999" t="s">
        <v>16</v>
      </c>
      <c r="D999" t="s">
        <v>17</v>
      </c>
      <c r="E999">
        <v>1</v>
      </c>
      <c r="F999">
        <v>10</v>
      </c>
      <c r="G999">
        <v>3.56</v>
      </c>
      <c r="H999" t="s">
        <v>598</v>
      </c>
      <c r="I999" t="s">
        <v>474</v>
      </c>
      <c r="J999" t="s">
        <v>20</v>
      </c>
      <c r="K999" t="s">
        <v>38</v>
      </c>
      <c r="L999">
        <f t="shared" si="45"/>
        <v>10</v>
      </c>
      <c r="M999">
        <f t="shared" si="46"/>
        <v>3.56</v>
      </c>
      <c r="N999">
        <f t="shared" si="47"/>
        <v>6.4399999999999995</v>
      </c>
      <c r="O999" cm="1">
        <f t="array" ref="O999">_xlfn.LET(_xlpm.cat, Greenleaf[[#This Row],[Product Category]], _xlpm.prices, _xlfn._xlws.FILTER(Greenleaf[Unit Price], (Greenleaf[Product Category]=_xlpm.cat)*(Greenleaf[Unit Price]&lt;&gt;"")), IFERROR(MEDIAN(_xlpm.prices), ""))</f>
        <v>10</v>
      </c>
      <c r="P999">
        <f>IF(Greenleaf[[#This Row],[Shipment Status]]="Returned",1,0)</f>
        <v>0</v>
      </c>
      <c r="Q999">
        <f>IF(Greenleaf[[#This Row],[Shipment Status]]="Delivered",1,0)</f>
        <v>0</v>
      </c>
    </row>
    <row r="1000" spans="1:17" x14ac:dyDescent="0.45">
      <c r="A1000" t="s">
        <v>1362</v>
      </c>
      <c r="B1000">
        <v>45656</v>
      </c>
      <c r="C1000" t="s">
        <v>30</v>
      </c>
      <c r="D1000" t="s">
        <v>31</v>
      </c>
      <c r="E1000">
        <v>3</v>
      </c>
      <c r="F1000">
        <v>40</v>
      </c>
      <c r="G1000">
        <v>13.05</v>
      </c>
      <c r="H1000" t="s">
        <v>259</v>
      </c>
      <c r="I1000" t="s">
        <v>260</v>
      </c>
      <c r="J1000" t="s">
        <v>27</v>
      </c>
      <c r="K1000" t="s">
        <v>70</v>
      </c>
      <c r="L1000">
        <f t="shared" si="45"/>
        <v>120</v>
      </c>
      <c r="M1000">
        <f t="shared" si="46"/>
        <v>39.150000000000006</v>
      </c>
      <c r="N1000">
        <f t="shared" si="47"/>
        <v>80.849999999999994</v>
      </c>
      <c r="O1000" cm="1">
        <f t="array" ref="O1000">_xlfn.LET(_xlpm.cat, Greenleaf[[#This Row],[Product Category]], _xlpm.prices, _xlfn._xlws.FILTER(Greenleaf[Unit Price], (Greenleaf[Product Category]=_xlpm.cat)*(Greenleaf[Unit Price]&lt;&gt;"")), IFERROR(MEDIAN(_xlpm.prices), ""))</f>
        <v>40</v>
      </c>
      <c r="P1000">
        <f>IF(Greenleaf[[#This Row],[Shipment Status]]="Returned",1,0)</f>
        <v>0</v>
      </c>
      <c r="Q1000">
        <f>IF(Greenleaf[[#This Row],[Shipment Status]]="Delivered",1,0)</f>
        <v>1</v>
      </c>
    </row>
    <row r="1001" spans="1:17" x14ac:dyDescent="0.45">
      <c r="A1001" t="s">
        <v>1363</v>
      </c>
      <c r="B1001">
        <v>45656</v>
      </c>
      <c r="C1001" t="s">
        <v>49</v>
      </c>
      <c r="D1001" t="s">
        <v>50</v>
      </c>
      <c r="E1001">
        <v>6</v>
      </c>
      <c r="F1001">
        <v>15</v>
      </c>
      <c r="G1001">
        <v>5.15</v>
      </c>
      <c r="H1001" t="s">
        <v>1012</v>
      </c>
      <c r="I1001" t="s">
        <v>1013</v>
      </c>
      <c r="J1001" t="s">
        <v>27</v>
      </c>
      <c r="K1001" t="s">
        <v>56</v>
      </c>
      <c r="L1001">
        <f t="shared" si="45"/>
        <v>90</v>
      </c>
      <c r="M1001">
        <f t="shared" si="46"/>
        <v>30.900000000000002</v>
      </c>
      <c r="N1001">
        <f t="shared" si="47"/>
        <v>59.099999999999994</v>
      </c>
      <c r="O1001" cm="1">
        <f t="array" ref="O1001">_xlfn.LET(_xlpm.cat, Greenleaf[[#This Row],[Product Category]], _xlpm.prices, _xlfn._xlws.FILTER(Greenleaf[Unit Price], (Greenleaf[Product Category]=_xlpm.cat)*(Greenleaf[Unit Price]&lt;&gt;"")), IFERROR(MEDIAN(_xlpm.prices), ""))</f>
        <v>15</v>
      </c>
      <c r="P1001">
        <f>IF(Greenleaf[[#This Row],[Shipment Status]]="Returned",1,0)</f>
        <v>0</v>
      </c>
      <c r="Q1001">
        <f>IF(Greenleaf[[#This Row],[Shipment Status]]="Delivered",1,0)</f>
        <v>1</v>
      </c>
    </row>
  </sheetData>
  <phoneticPr fontId="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DE348-09B5-49F6-9DFE-519BA9B2B96C}">
  <dimension ref="B3:R311"/>
  <sheetViews>
    <sheetView showGridLines="0" topLeftCell="A165" workbookViewId="0">
      <selection activeCell="F184" sqref="F184"/>
    </sheetView>
  </sheetViews>
  <sheetFormatPr defaultRowHeight="14.25" x14ac:dyDescent="0.45"/>
  <cols>
    <col min="2" max="2" width="16.73046875" bestFit="1" customWidth="1"/>
    <col min="3" max="14" width="8.796875" bestFit="1" customWidth="1"/>
    <col min="15" max="15" width="9.86328125" bestFit="1" customWidth="1"/>
    <col min="16" max="16" width="7.1328125" bestFit="1" customWidth="1"/>
    <col min="17" max="17" width="8.1328125" bestFit="1" customWidth="1"/>
    <col min="18" max="18" width="7.265625" bestFit="1" customWidth="1"/>
    <col min="19" max="26" width="18" bestFit="1" customWidth="1"/>
    <col min="27" max="27" width="19.19921875" bestFit="1" customWidth="1"/>
    <col min="28" max="28" width="22.33203125" bestFit="1" customWidth="1"/>
    <col min="29" max="111" width="18" bestFit="1" customWidth="1"/>
    <col min="112" max="112" width="22.33203125" bestFit="1" customWidth="1"/>
    <col min="113" max="113" width="19.6640625" bestFit="1" customWidth="1"/>
    <col min="114" max="114" width="21.1328125" bestFit="1" customWidth="1"/>
  </cols>
  <sheetData>
    <row r="3" spans="2:8" x14ac:dyDescent="0.45">
      <c r="B3" t="s">
        <v>1377</v>
      </c>
    </row>
    <row r="4" spans="2:8" x14ac:dyDescent="0.45">
      <c r="B4" t="s">
        <v>1364</v>
      </c>
      <c r="C4" t="s">
        <v>1365</v>
      </c>
      <c r="D4" t="s">
        <v>1366</v>
      </c>
      <c r="E4" t="s">
        <v>1370</v>
      </c>
      <c r="F4" t="s">
        <v>1368</v>
      </c>
      <c r="G4" t="s">
        <v>1369</v>
      </c>
      <c r="H4" t="s">
        <v>1409</v>
      </c>
    </row>
    <row r="5" spans="2:8" x14ac:dyDescent="0.45">
      <c r="B5" s="11">
        <v>117278</v>
      </c>
      <c r="C5" s="8">
        <v>81853.48000000001</v>
      </c>
      <c r="D5" s="9">
        <v>0.69794403042343844</v>
      </c>
      <c r="E5" s="2">
        <v>1000</v>
      </c>
      <c r="F5" s="8">
        <v>117.27800000000001</v>
      </c>
      <c r="G5" s="7">
        <f>COUNTIF(Greenleaf[Shipment Status], "Delivered") / E5</f>
        <v>0.60199999999999998</v>
      </c>
      <c r="H5" s="7">
        <f>COUNTIF(Greenleaf[Shipment Status],"Returned")/E5</f>
        <v>7.1999999999999995E-2</v>
      </c>
    </row>
    <row r="14" spans="2:8" x14ac:dyDescent="0.45">
      <c r="B14" t="s">
        <v>1384</v>
      </c>
    </row>
    <row r="15" spans="2:8" x14ac:dyDescent="0.45">
      <c r="B15" t="s">
        <v>1371</v>
      </c>
      <c r="F15" t="s">
        <v>1371</v>
      </c>
    </row>
    <row r="16" spans="2:8" x14ac:dyDescent="0.45">
      <c r="B16" s="3" t="s">
        <v>1372</v>
      </c>
      <c r="C16" t="s">
        <v>1370</v>
      </c>
      <c r="D16" t="s">
        <v>1373</v>
      </c>
      <c r="F16" s="3" t="s">
        <v>1372</v>
      </c>
      <c r="G16" t="s">
        <v>1370</v>
      </c>
    </row>
    <row r="17" spans="2:16" x14ac:dyDescent="0.45">
      <c r="B17" s="5" t="s">
        <v>42</v>
      </c>
      <c r="C17" s="2">
        <v>72</v>
      </c>
      <c r="D17" s="4">
        <v>7.1999999999999995E-2</v>
      </c>
      <c r="F17" s="5" t="s">
        <v>42</v>
      </c>
      <c r="G17" s="2">
        <v>72</v>
      </c>
    </row>
    <row r="18" spans="2:16" x14ac:dyDescent="0.45">
      <c r="B18" s="5" t="s">
        <v>47</v>
      </c>
      <c r="C18" s="2">
        <v>91</v>
      </c>
      <c r="D18" s="4">
        <v>9.0999999999999998E-2</v>
      </c>
      <c r="F18" s="5" t="s">
        <v>47</v>
      </c>
      <c r="G18" s="2">
        <v>91</v>
      </c>
    </row>
    <row r="19" spans="2:16" x14ac:dyDescent="0.45">
      <c r="B19" s="5" t="s">
        <v>20</v>
      </c>
      <c r="C19" s="2">
        <v>235</v>
      </c>
      <c r="D19" s="4">
        <v>0.23499999999999999</v>
      </c>
      <c r="F19" s="5" t="s">
        <v>20</v>
      </c>
      <c r="G19" s="2">
        <v>235</v>
      </c>
    </row>
    <row r="20" spans="2:16" x14ac:dyDescent="0.45">
      <c r="B20" s="5" t="s">
        <v>27</v>
      </c>
      <c r="C20" s="2">
        <v>602</v>
      </c>
      <c r="D20" s="4">
        <v>0.60199999999999998</v>
      </c>
      <c r="F20" s="5" t="s">
        <v>27</v>
      </c>
      <c r="G20" s="2">
        <v>602</v>
      </c>
    </row>
    <row r="25" spans="2:16" x14ac:dyDescent="0.45">
      <c r="B25" t="s">
        <v>1376</v>
      </c>
    </row>
    <row r="26" spans="2:16" x14ac:dyDescent="0.45">
      <c r="C26" s="3" t="s">
        <v>1367</v>
      </c>
      <c r="L26" t="s">
        <v>1414</v>
      </c>
    </row>
    <row r="27" spans="2:16" x14ac:dyDescent="0.45">
      <c r="C27" t="s">
        <v>1370</v>
      </c>
      <c r="G27" t="s">
        <v>1373</v>
      </c>
      <c r="L27" s="3" t="s">
        <v>1370</v>
      </c>
      <c r="M27" s="3" t="s">
        <v>1367</v>
      </c>
    </row>
    <row r="28" spans="2:16" x14ac:dyDescent="0.45">
      <c r="B28" s="3" t="s">
        <v>1372</v>
      </c>
      <c r="C28" t="s">
        <v>27</v>
      </c>
      <c r="D28" t="s">
        <v>47</v>
      </c>
      <c r="E28" t="s">
        <v>42</v>
      </c>
      <c r="F28" t="s">
        <v>20</v>
      </c>
      <c r="G28" t="s">
        <v>27</v>
      </c>
      <c r="H28" t="s">
        <v>47</v>
      </c>
      <c r="I28" t="s">
        <v>42</v>
      </c>
      <c r="J28" t="s">
        <v>20</v>
      </c>
      <c r="L28" s="3" t="s">
        <v>1372</v>
      </c>
      <c r="M28" t="s">
        <v>27</v>
      </c>
      <c r="N28" t="s">
        <v>47</v>
      </c>
      <c r="O28" t="s">
        <v>42</v>
      </c>
      <c r="P28" t="s">
        <v>20</v>
      </c>
    </row>
    <row r="29" spans="2:16" x14ac:dyDescent="0.45">
      <c r="B29" s="5" t="s">
        <v>134</v>
      </c>
      <c r="C29" s="2">
        <v>59</v>
      </c>
      <c r="D29" s="2">
        <v>9</v>
      </c>
      <c r="E29" s="2">
        <v>3</v>
      </c>
      <c r="F29" s="2">
        <v>16</v>
      </c>
      <c r="G29" s="6">
        <v>5.8999999999999997E-2</v>
      </c>
      <c r="H29" s="6">
        <v>8.9999999999999993E-3</v>
      </c>
      <c r="I29" s="6">
        <v>3.0000000000000001E-3</v>
      </c>
      <c r="J29" s="6">
        <v>1.6E-2</v>
      </c>
      <c r="L29" s="5" t="s">
        <v>134</v>
      </c>
      <c r="M29" s="2">
        <v>59</v>
      </c>
      <c r="N29" s="2">
        <v>9</v>
      </c>
      <c r="O29" s="2">
        <v>3</v>
      </c>
      <c r="P29" s="2">
        <v>16</v>
      </c>
    </row>
    <row r="30" spans="2:16" x14ac:dyDescent="0.45">
      <c r="B30" s="5" t="s">
        <v>38</v>
      </c>
      <c r="C30" s="2">
        <v>52</v>
      </c>
      <c r="D30" s="2">
        <v>9</v>
      </c>
      <c r="E30" s="2">
        <v>3</v>
      </c>
      <c r="F30" s="2">
        <v>23</v>
      </c>
      <c r="G30" s="6">
        <v>5.1999999999999998E-2</v>
      </c>
      <c r="H30" s="6">
        <v>8.9999999999999993E-3</v>
      </c>
      <c r="I30" s="6">
        <v>3.0000000000000001E-3</v>
      </c>
      <c r="J30" s="6">
        <v>2.3E-2</v>
      </c>
      <c r="L30" s="5" t="s">
        <v>38</v>
      </c>
      <c r="M30" s="2">
        <v>52</v>
      </c>
      <c r="N30" s="2">
        <v>9</v>
      </c>
      <c r="O30" s="2">
        <v>3</v>
      </c>
      <c r="P30" s="2">
        <v>23</v>
      </c>
    </row>
    <row r="31" spans="2:16" x14ac:dyDescent="0.45">
      <c r="B31" s="5" t="s">
        <v>74</v>
      </c>
      <c r="C31" s="2">
        <v>55</v>
      </c>
      <c r="D31" s="2">
        <v>11</v>
      </c>
      <c r="E31" s="2">
        <v>6</v>
      </c>
      <c r="F31" s="2">
        <v>20</v>
      </c>
      <c r="G31" s="6">
        <v>5.5E-2</v>
      </c>
      <c r="H31" s="6">
        <v>1.0999999999999999E-2</v>
      </c>
      <c r="I31" s="6">
        <v>6.0000000000000001E-3</v>
      </c>
      <c r="J31" s="6">
        <v>0.02</v>
      </c>
      <c r="L31" s="5" t="s">
        <v>74</v>
      </c>
      <c r="M31" s="2">
        <v>55</v>
      </c>
      <c r="N31" s="2">
        <v>11</v>
      </c>
      <c r="O31" s="2">
        <v>6</v>
      </c>
      <c r="P31" s="2">
        <v>20</v>
      </c>
    </row>
    <row r="32" spans="2:16" x14ac:dyDescent="0.45">
      <c r="B32" s="5" t="s">
        <v>59</v>
      </c>
      <c r="C32" s="2">
        <v>66</v>
      </c>
      <c r="D32" s="2">
        <v>11</v>
      </c>
      <c r="E32" s="2">
        <v>7</v>
      </c>
      <c r="F32" s="2">
        <v>18</v>
      </c>
      <c r="G32" s="6">
        <v>6.6000000000000003E-2</v>
      </c>
      <c r="H32" s="6">
        <v>1.0999999999999999E-2</v>
      </c>
      <c r="I32" s="6">
        <v>7.0000000000000001E-3</v>
      </c>
      <c r="J32" s="6">
        <v>1.7999999999999999E-2</v>
      </c>
      <c r="L32" s="5" t="s">
        <v>59</v>
      </c>
      <c r="M32" s="2">
        <v>66</v>
      </c>
      <c r="N32" s="2">
        <v>11</v>
      </c>
      <c r="O32" s="2">
        <v>7</v>
      </c>
      <c r="P32" s="2">
        <v>18</v>
      </c>
    </row>
    <row r="33" spans="2:16" x14ac:dyDescent="0.45">
      <c r="B33" s="5" t="s">
        <v>21</v>
      </c>
      <c r="C33" s="2">
        <v>62</v>
      </c>
      <c r="D33" s="2">
        <v>7</v>
      </c>
      <c r="E33" s="2">
        <v>9</v>
      </c>
      <c r="F33" s="2">
        <v>22</v>
      </c>
      <c r="G33" s="6">
        <v>6.2E-2</v>
      </c>
      <c r="H33" s="6">
        <v>7.0000000000000001E-3</v>
      </c>
      <c r="I33" s="6">
        <v>8.9999999999999993E-3</v>
      </c>
      <c r="J33" s="6">
        <v>2.1999999999999999E-2</v>
      </c>
      <c r="L33" s="5" t="s">
        <v>21</v>
      </c>
      <c r="M33" s="2">
        <v>62</v>
      </c>
      <c r="N33" s="2">
        <v>7</v>
      </c>
      <c r="O33" s="2">
        <v>9</v>
      </c>
      <c r="P33" s="2">
        <v>22</v>
      </c>
    </row>
    <row r="34" spans="2:16" x14ac:dyDescent="0.45">
      <c r="B34" s="5" t="s">
        <v>34</v>
      </c>
      <c r="C34" s="2">
        <v>54</v>
      </c>
      <c r="D34" s="2">
        <v>8</v>
      </c>
      <c r="E34" s="2">
        <v>12</v>
      </c>
      <c r="F34" s="2">
        <v>20</v>
      </c>
      <c r="G34" s="6">
        <v>5.3999999999999999E-2</v>
      </c>
      <c r="H34" s="6">
        <v>8.0000000000000002E-3</v>
      </c>
      <c r="I34" s="6">
        <v>1.2E-2</v>
      </c>
      <c r="J34" s="6">
        <v>0.02</v>
      </c>
      <c r="L34" s="5" t="s">
        <v>34</v>
      </c>
      <c r="M34" s="2">
        <v>54</v>
      </c>
      <c r="N34" s="2">
        <v>8</v>
      </c>
      <c r="O34" s="2">
        <v>12</v>
      </c>
      <c r="P34" s="2">
        <v>20</v>
      </c>
    </row>
    <row r="35" spans="2:16" x14ac:dyDescent="0.45">
      <c r="B35" s="5" t="s">
        <v>28</v>
      </c>
      <c r="C35" s="2">
        <v>64</v>
      </c>
      <c r="D35" s="2">
        <v>13</v>
      </c>
      <c r="E35" s="2">
        <v>9</v>
      </c>
      <c r="F35" s="2">
        <v>26</v>
      </c>
      <c r="G35" s="6">
        <v>6.4000000000000001E-2</v>
      </c>
      <c r="H35" s="6">
        <v>1.2999999999999999E-2</v>
      </c>
      <c r="I35" s="6">
        <v>8.9999999999999993E-3</v>
      </c>
      <c r="J35" s="6">
        <v>2.5999999999999999E-2</v>
      </c>
      <c r="L35" s="5" t="s">
        <v>28</v>
      </c>
      <c r="M35" s="2">
        <v>64</v>
      </c>
      <c r="N35" s="2">
        <v>13</v>
      </c>
      <c r="O35" s="2">
        <v>9</v>
      </c>
      <c r="P35" s="2">
        <v>26</v>
      </c>
    </row>
    <row r="36" spans="2:16" x14ac:dyDescent="0.45">
      <c r="B36" s="5" t="s">
        <v>43</v>
      </c>
      <c r="C36" s="2">
        <v>80</v>
      </c>
      <c r="D36" s="2">
        <v>4</v>
      </c>
      <c r="E36" s="2">
        <v>5</v>
      </c>
      <c r="F36" s="2">
        <v>34</v>
      </c>
      <c r="G36" s="6">
        <v>0.08</v>
      </c>
      <c r="H36" s="6">
        <v>4.0000000000000001E-3</v>
      </c>
      <c r="I36" s="6">
        <v>5.0000000000000001E-3</v>
      </c>
      <c r="J36" s="6">
        <v>3.4000000000000002E-2</v>
      </c>
      <c r="L36" s="5" t="s">
        <v>43</v>
      </c>
      <c r="M36" s="2">
        <v>80</v>
      </c>
      <c r="N36" s="2">
        <v>4</v>
      </c>
      <c r="O36" s="2">
        <v>5</v>
      </c>
      <c r="P36" s="2">
        <v>34</v>
      </c>
    </row>
    <row r="37" spans="2:16" x14ac:dyDescent="0.45">
      <c r="B37" s="5" t="s">
        <v>70</v>
      </c>
      <c r="C37" s="2">
        <v>54</v>
      </c>
      <c r="D37" s="2">
        <v>11</v>
      </c>
      <c r="E37" s="2">
        <v>10</v>
      </c>
      <c r="F37" s="2">
        <v>28</v>
      </c>
      <c r="G37" s="6">
        <v>5.3999999999999999E-2</v>
      </c>
      <c r="H37" s="6">
        <v>1.0999999999999999E-2</v>
      </c>
      <c r="I37" s="6">
        <v>0.01</v>
      </c>
      <c r="J37" s="6">
        <v>2.8000000000000001E-2</v>
      </c>
      <c r="L37" s="5" t="s">
        <v>70</v>
      </c>
      <c r="M37" s="2">
        <v>54</v>
      </c>
      <c r="N37" s="2">
        <v>11</v>
      </c>
      <c r="O37" s="2">
        <v>10</v>
      </c>
      <c r="P37" s="2">
        <v>28</v>
      </c>
    </row>
    <row r="38" spans="2:16" x14ac:dyDescent="0.45">
      <c r="B38" s="5" t="s">
        <v>56</v>
      </c>
      <c r="C38" s="2">
        <v>56</v>
      </c>
      <c r="D38" s="2">
        <v>8</v>
      </c>
      <c r="E38" s="2">
        <v>8</v>
      </c>
      <c r="F38" s="2">
        <v>28</v>
      </c>
      <c r="G38" s="6">
        <v>5.6000000000000001E-2</v>
      </c>
      <c r="H38" s="6">
        <v>8.0000000000000002E-3</v>
      </c>
      <c r="I38" s="6">
        <v>8.0000000000000002E-3</v>
      </c>
      <c r="J38" s="6">
        <v>2.8000000000000001E-2</v>
      </c>
      <c r="L38" s="5" t="s">
        <v>56</v>
      </c>
      <c r="M38" s="2">
        <v>56</v>
      </c>
      <c r="N38" s="2">
        <v>8</v>
      </c>
      <c r="O38" s="2">
        <v>8</v>
      </c>
      <c r="P38" s="2">
        <v>28</v>
      </c>
    </row>
    <row r="40" spans="2:16" x14ac:dyDescent="0.45">
      <c r="B40" t="s">
        <v>1381</v>
      </c>
    </row>
    <row r="41" spans="2:16" x14ac:dyDescent="0.45">
      <c r="B41" t="s">
        <v>10</v>
      </c>
      <c r="C41" t="s">
        <v>1374</v>
      </c>
      <c r="D41" t="s">
        <v>1375</v>
      </c>
      <c r="E41" t="s">
        <v>27</v>
      </c>
    </row>
    <row r="42" spans="2:16" x14ac:dyDescent="0.45">
      <c r="B42" t="s">
        <v>134</v>
      </c>
      <c r="C42">
        <f t="shared" ref="C42:C51" si="0">SUM(H29:J29)</f>
        <v>2.8000000000000001E-2</v>
      </c>
      <c r="D42">
        <f t="shared" ref="D42:D51" si="1">SUM(H29:I29)</f>
        <v>1.2E-2</v>
      </c>
      <c r="E42">
        <v>5.8999999999999997E-2</v>
      </c>
    </row>
    <row r="43" spans="2:16" x14ac:dyDescent="0.45">
      <c r="B43" t="s">
        <v>38</v>
      </c>
      <c r="C43">
        <f t="shared" si="0"/>
        <v>3.5000000000000003E-2</v>
      </c>
      <c r="D43">
        <f t="shared" si="1"/>
        <v>1.2E-2</v>
      </c>
      <c r="E43">
        <v>5.1999999999999998E-2</v>
      </c>
    </row>
    <row r="44" spans="2:16" x14ac:dyDescent="0.45">
      <c r="B44" t="s">
        <v>74</v>
      </c>
      <c r="C44">
        <f t="shared" si="0"/>
        <v>3.7000000000000005E-2</v>
      </c>
      <c r="D44">
        <f t="shared" si="1"/>
        <v>1.7000000000000001E-2</v>
      </c>
      <c r="E44">
        <v>5.5E-2</v>
      </c>
    </row>
    <row r="45" spans="2:16" x14ac:dyDescent="0.45">
      <c r="B45" t="s">
        <v>59</v>
      </c>
      <c r="C45">
        <f t="shared" si="0"/>
        <v>3.5999999999999997E-2</v>
      </c>
      <c r="D45">
        <f t="shared" si="1"/>
        <v>1.7999999999999999E-2</v>
      </c>
      <c r="E45">
        <v>6.6000000000000003E-2</v>
      </c>
    </row>
    <row r="46" spans="2:16" x14ac:dyDescent="0.45">
      <c r="B46" t="s">
        <v>21</v>
      </c>
      <c r="C46">
        <f t="shared" si="0"/>
        <v>3.7999999999999999E-2</v>
      </c>
      <c r="D46">
        <f t="shared" si="1"/>
        <v>1.6E-2</v>
      </c>
      <c r="E46">
        <v>6.2E-2</v>
      </c>
    </row>
    <row r="47" spans="2:16" x14ac:dyDescent="0.45">
      <c r="B47" t="s">
        <v>34</v>
      </c>
      <c r="C47">
        <f t="shared" si="0"/>
        <v>0.04</v>
      </c>
      <c r="D47">
        <f t="shared" si="1"/>
        <v>0.02</v>
      </c>
      <c r="E47">
        <v>5.3999999999999999E-2</v>
      </c>
    </row>
    <row r="48" spans="2:16" x14ac:dyDescent="0.45">
      <c r="B48" t="s">
        <v>28</v>
      </c>
      <c r="C48">
        <f t="shared" si="0"/>
        <v>4.8000000000000001E-2</v>
      </c>
      <c r="D48">
        <f t="shared" si="1"/>
        <v>2.1999999999999999E-2</v>
      </c>
      <c r="E48">
        <v>6.4000000000000001E-2</v>
      </c>
    </row>
    <row r="49" spans="2:18" x14ac:dyDescent="0.45">
      <c r="B49" t="s">
        <v>43</v>
      </c>
      <c r="C49">
        <f t="shared" si="0"/>
        <v>4.3000000000000003E-2</v>
      </c>
      <c r="D49">
        <f t="shared" si="1"/>
        <v>9.0000000000000011E-3</v>
      </c>
      <c r="E49">
        <v>0.08</v>
      </c>
    </row>
    <row r="50" spans="2:18" x14ac:dyDescent="0.45">
      <c r="B50" t="s">
        <v>70</v>
      </c>
      <c r="C50">
        <f t="shared" si="0"/>
        <v>4.9000000000000002E-2</v>
      </c>
      <c r="D50">
        <f t="shared" si="1"/>
        <v>2.0999999999999998E-2</v>
      </c>
      <c r="E50">
        <v>5.3999999999999999E-2</v>
      </c>
    </row>
    <row r="51" spans="2:18" x14ac:dyDescent="0.45">
      <c r="B51" t="s">
        <v>56</v>
      </c>
      <c r="C51">
        <f t="shared" si="0"/>
        <v>4.3999999999999997E-2</v>
      </c>
      <c r="D51">
        <f t="shared" si="1"/>
        <v>1.6E-2</v>
      </c>
      <c r="E51">
        <v>5.6000000000000001E-2</v>
      </c>
    </row>
    <row r="55" spans="2:18" x14ac:dyDescent="0.45">
      <c r="B55" t="s">
        <v>1378</v>
      </c>
    </row>
    <row r="57" spans="2:18" x14ac:dyDescent="0.45">
      <c r="C57" s="3" t="s">
        <v>1367</v>
      </c>
    </row>
    <row r="58" spans="2:18" x14ac:dyDescent="0.45">
      <c r="C58" t="s">
        <v>1370</v>
      </c>
      <c r="G58" t="s">
        <v>1373</v>
      </c>
      <c r="K58" t="s">
        <v>1383</v>
      </c>
      <c r="O58" t="s">
        <v>1365</v>
      </c>
    </row>
    <row r="59" spans="2:18" x14ac:dyDescent="0.45">
      <c r="B59" s="3" t="s">
        <v>1372</v>
      </c>
      <c r="C59" t="s">
        <v>27</v>
      </c>
      <c r="D59" t="s">
        <v>47</v>
      </c>
      <c r="E59" t="s">
        <v>42</v>
      </c>
      <c r="F59" t="s">
        <v>20</v>
      </c>
      <c r="G59" t="s">
        <v>27</v>
      </c>
      <c r="H59" t="s">
        <v>47</v>
      </c>
      <c r="I59" t="s">
        <v>42</v>
      </c>
      <c r="J59" t="s">
        <v>20</v>
      </c>
      <c r="K59" t="s">
        <v>27</v>
      </c>
      <c r="L59" t="s">
        <v>47</v>
      </c>
      <c r="M59" t="s">
        <v>42</v>
      </c>
      <c r="N59" t="s">
        <v>20</v>
      </c>
      <c r="O59" t="s">
        <v>27</v>
      </c>
      <c r="P59" t="s">
        <v>47</v>
      </c>
      <c r="Q59" t="s">
        <v>42</v>
      </c>
      <c r="R59" t="s">
        <v>20</v>
      </c>
    </row>
    <row r="60" spans="2:18" x14ac:dyDescent="0.45">
      <c r="B60" s="5" t="s">
        <v>16</v>
      </c>
      <c r="C60" s="2">
        <v>106</v>
      </c>
      <c r="D60" s="2">
        <v>13</v>
      </c>
      <c r="E60" s="2">
        <v>15</v>
      </c>
      <c r="F60" s="2">
        <v>49</v>
      </c>
      <c r="G60" s="6">
        <v>0.106</v>
      </c>
      <c r="H60" s="6">
        <v>1.2999999999999999E-2</v>
      </c>
      <c r="I60" s="6">
        <v>1.4999999999999999E-2</v>
      </c>
      <c r="J60" s="6">
        <v>4.9000000000000002E-2</v>
      </c>
      <c r="K60" s="4">
        <v>0.47540644435556606</v>
      </c>
      <c r="L60" s="4">
        <v>0.55095912801535329</v>
      </c>
      <c r="M60" s="4">
        <v>0.43202191942791196</v>
      </c>
      <c r="N60" s="4">
        <v>0.48898291900876723</v>
      </c>
      <c r="O60" s="4">
        <v>5.0252109012347453E-2</v>
      </c>
      <c r="P60" s="4">
        <v>7.3462973107557561E-3</v>
      </c>
      <c r="Q60" s="4">
        <v>6.4548263555807292E-3</v>
      </c>
      <c r="R60" s="4">
        <v>2.4402994228223413E-2</v>
      </c>
    </row>
    <row r="61" spans="2:18" x14ac:dyDescent="0.45">
      <c r="B61" s="5" t="s">
        <v>66</v>
      </c>
      <c r="C61" s="2">
        <v>109</v>
      </c>
      <c r="D61" s="2">
        <v>16</v>
      </c>
      <c r="E61" s="2">
        <v>13</v>
      </c>
      <c r="F61" s="2">
        <v>36</v>
      </c>
      <c r="G61" s="6">
        <v>0.109</v>
      </c>
      <c r="H61" s="6">
        <v>1.6E-2</v>
      </c>
      <c r="I61" s="6">
        <v>1.2999999999999999E-2</v>
      </c>
      <c r="J61" s="6">
        <v>3.5999999999999997E-2</v>
      </c>
      <c r="K61" s="4">
        <v>0.5838866984445803</v>
      </c>
      <c r="L61" s="4">
        <v>0.5435802111222906</v>
      </c>
      <c r="M61" s="4">
        <v>0.49586321521381804</v>
      </c>
      <c r="N61" s="4">
        <v>0.48034016041656008</v>
      </c>
      <c r="O61" s="4">
        <v>6.3497483552318143E-2</v>
      </c>
      <c r="P61" s="4">
        <v>8.5811867742214519E-3</v>
      </c>
      <c r="Q61" s="4">
        <v>6.3168969724928031E-3</v>
      </c>
      <c r="R61" s="4">
        <v>1.7059751155357107E-2</v>
      </c>
    </row>
    <row r="62" spans="2:18" x14ac:dyDescent="0.45">
      <c r="B62" s="5" t="s">
        <v>23</v>
      </c>
      <c r="C62" s="2">
        <v>133</v>
      </c>
      <c r="D62" s="2">
        <v>17</v>
      </c>
      <c r="E62" s="2">
        <v>11</v>
      </c>
      <c r="F62" s="2">
        <v>58</v>
      </c>
      <c r="G62" s="6">
        <v>0.13300000000000001</v>
      </c>
      <c r="H62" s="6">
        <v>1.7000000000000001E-2</v>
      </c>
      <c r="I62" s="6">
        <v>1.0999999999999999E-2</v>
      </c>
      <c r="J62" s="6">
        <v>5.8000000000000003E-2</v>
      </c>
      <c r="K62" s="4">
        <v>1.157201569896193</v>
      </c>
      <c r="L62" s="4">
        <v>0.84013550507943413</v>
      </c>
      <c r="M62" s="4">
        <v>1.3371491824398591</v>
      </c>
      <c r="N62" s="4">
        <v>1.0658435512201776</v>
      </c>
      <c r="O62" s="4">
        <v>0.15338663670744368</v>
      </c>
      <c r="P62" s="4">
        <v>1.4388392527721488E-2</v>
      </c>
      <c r="Q62" s="4">
        <v>1.4737064325182023E-2</v>
      </c>
      <c r="R62" s="4">
        <v>6.1925772734403001E-2</v>
      </c>
    </row>
    <row r="63" spans="2:18" x14ac:dyDescent="0.45">
      <c r="B63" s="5" t="s">
        <v>49</v>
      </c>
      <c r="C63" s="2">
        <v>124</v>
      </c>
      <c r="D63" s="2">
        <v>19</v>
      </c>
      <c r="E63" s="2">
        <v>16</v>
      </c>
      <c r="F63" s="2">
        <v>39</v>
      </c>
      <c r="G63" s="6">
        <v>0.124</v>
      </c>
      <c r="H63" s="6">
        <v>1.9E-2</v>
      </c>
      <c r="I63" s="6">
        <v>1.6E-2</v>
      </c>
      <c r="J63" s="6">
        <v>3.9E-2</v>
      </c>
      <c r="K63" s="4">
        <v>0.68489043678406258</v>
      </c>
      <c r="L63" s="4">
        <v>0.84818707865521503</v>
      </c>
      <c r="M63" s="4">
        <v>0.68746909053701455</v>
      </c>
      <c r="N63" s="4">
        <v>0.75428928240197191</v>
      </c>
      <c r="O63" s="4">
        <v>8.465223470034508E-2</v>
      </c>
      <c r="P63" s="4">
        <v>1.6465274292552994E-2</v>
      </c>
      <c r="Q63" s="4">
        <v>1.1079309028767014E-2</v>
      </c>
      <c r="R63" s="4">
        <v>2.9045924498262016E-2</v>
      </c>
    </row>
    <row r="64" spans="2:18" x14ac:dyDescent="0.45">
      <c r="B64" s="5" t="s">
        <v>30</v>
      </c>
      <c r="C64" s="2">
        <v>130</v>
      </c>
      <c r="D64" s="2">
        <v>26</v>
      </c>
      <c r="E64" s="2">
        <v>17</v>
      </c>
      <c r="F64" s="2">
        <v>53</v>
      </c>
      <c r="G64" s="6">
        <v>0.13</v>
      </c>
      <c r="H64" s="6">
        <v>2.5999999999999999E-2</v>
      </c>
      <c r="I64" s="6">
        <v>1.7000000000000001E-2</v>
      </c>
      <c r="J64" s="6">
        <v>5.2999999999999999E-2</v>
      </c>
      <c r="K64" s="4">
        <v>1.8942499544146911</v>
      </c>
      <c r="L64" s="4">
        <v>2.0333015438661848</v>
      </c>
      <c r="M64" s="4">
        <v>2.0464196183427412</v>
      </c>
      <c r="N64" s="4">
        <v>1.8083141910512901</v>
      </c>
      <c r="O64" s="4">
        <v>0.24637461962521326</v>
      </c>
      <c r="P64" s="4">
        <v>5.3212520713841367E-2</v>
      </c>
      <c r="Q64" s="4">
        <v>3.4214916702380894E-2</v>
      </c>
      <c r="R64" s="4">
        <v>9.6605788782590574E-2</v>
      </c>
    </row>
    <row r="67" spans="2:14" x14ac:dyDescent="0.45">
      <c r="B67" t="s">
        <v>1382</v>
      </c>
      <c r="J67" t="s">
        <v>1415</v>
      </c>
    </row>
    <row r="68" spans="2:14" x14ac:dyDescent="0.45">
      <c r="B68" t="s">
        <v>1379</v>
      </c>
      <c r="C68" t="s">
        <v>27</v>
      </c>
      <c r="D68" t="s">
        <v>1375</v>
      </c>
      <c r="E68" t="s">
        <v>1375</v>
      </c>
      <c r="F68" t="s">
        <v>42</v>
      </c>
      <c r="G68" t="s">
        <v>1380</v>
      </c>
      <c r="J68" s="3" t="s">
        <v>1370</v>
      </c>
      <c r="K68" s="3" t="s">
        <v>1367</v>
      </c>
    </row>
    <row r="69" spans="2:14" x14ac:dyDescent="0.45">
      <c r="B69" t="s">
        <v>16</v>
      </c>
      <c r="C69">
        <v>0.106</v>
      </c>
      <c r="D69">
        <f>SUM(H60:I60)</f>
        <v>2.7999999999999997E-2</v>
      </c>
      <c r="E69">
        <f>SUM(H60:I60)</f>
        <v>2.7999999999999997E-2</v>
      </c>
      <c r="F69">
        <v>1.4999999999999999E-2</v>
      </c>
      <c r="G69">
        <f>SUM(H60:J60)</f>
        <v>7.6999999999999999E-2</v>
      </c>
      <c r="J69" s="3" t="s">
        <v>1372</v>
      </c>
      <c r="K69" t="s">
        <v>27</v>
      </c>
      <c r="L69" t="s">
        <v>47</v>
      </c>
      <c r="M69" t="s">
        <v>42</v>
      </c>
      <c r="N69" t="s">
        <v>20</v>
      </c>
    </row>
    <row r="70" spans="2:14" x14ac:dyDescent="0.45">
      <c r="B70" t="s">
        <v>66</v>
      </c>
      <c r="C70">
        <v>0.109</v>
      </c>
      <c r="D70">
        <f t="shared" ref="D70:D73" si="2">SUM(H61:I61)</f>
        <v>2.8999999999999998E-2</v>
      </c>
      <c r="E70">
        <f t="shared" ref="E70:E73" si="3">SUM(H61:I61)</f>
        <v>2.8999999999999998E-2</v>
      </c>
      <c r="F70">
        <v>1.2999999999999999E-2</v>
      </c>
      <c r="G70">
        <f t="shared" ref="G70:G73" si="4">SUM(H61:J61)</f>
        <v>6.5000000000000002E-2</v>
      </c>
      <c r="J70" s="5" t="s">
        <v>16</v>
      </c>
      <c r="K70" s="2">
        <v>106</v>
      </c>
      <c r="L70" s="2">
        <v>13</v>
      </c>
      <c r="M70" s="2">
        <v>15</v>
      </c>
      <c r="N70" s="2">
        <v>49</v>
      </c>
    </row>
    <row r="71" spans="2:14" x14ac:dyDescent="0.45">
      <c r="B71" t="s">
        <v>23</v>
      </c>
      <c r="C71">
        <v>0.13300000000000001</v>
      </c>
      <c r="D71">
        <f t="shared" si="2"/>
        <v>2.8000000000000001E-2</v>
      </c>
      <c r="E71">
        <f t="shared" si="3"/>
        <v>2.8000000000000001E-2</v>
      </c>
      <c r="F71">
        <v>1.0999999999999999E-2</v>
      </c>
      <c r="G71">
        <f t="shared" si="4"/>
        <v>8.6000000000000007E-2</v>
      </c>
      <c r="J71" s="5" t="s">
        <v>66</v>
      </c>
      <c r="K71" s="2">
        <v>109</v>
      </c>
      <c r="L71" s="2">
        <v>16</v>
      </c>
      <c r="M71" s="2">
        <v>13</v>
      </c>
      <c r="N71" s="2">
        <v>36</v>
      </c>
    </row>
    <row r="72" spans="2:14" x14ac:dyDescent="0.45">
      <c r="B72" t="s">
        <v>49</v>
      </c>
      <c r="C72">
        <v>0.124</v>
      </c>
      <c r="D72">
        <f t="shared" si="2"/>
        <v>3.5000000000000003E-2</v>
      </c>
      <c r="E72">
        <f t="shared" si="3"/>
        <v>3.5000000000000003E-2</v>
      </c>
      <c r="F72">
        <v>1.6E-2</v>
      </c>
      <c r="G72">
        <f t="shared" si="4"/>
        <v>7.400000000000001E-2</v>
      </c>
      <c r="J72" s="5" t="s">
        <v>23</v>
      </c>
      <c r="K72" s="2">
        <v>133</v>
      </c>
      <c r="L72" s="2">
        <v>17</v>
      </c>
      <c r="M72" s="2">
        <v>11</v>
      </c>
      <c r="N72" s="2">
        <v>58</v>
      </c>
    </row>
    <row r="73" spans="2:14" x14ac:dyDescent="0.45">
      <c r="B73" t="s">
        <v>30</v>
      </c>
      <c r="C73">
        <v>0.13</v>
      </c>
      <c r="D73">
        <f t="shared" si="2"/>
        <v>4.2999999999999997E-2</v>
      </c>
      <c r="E73">
        <f t="shared" si="3"/>
        <v>4.2999999999999997E-2</v>
      </c>
      <c r="F73">
        <v>1.7000000000000001E-2</v>
      </c>
      <c r="G73">
        <f t="shared" si="4"/>
        <v>9.6000000000000002E-2</v>
      </c>
      <c r="J73" s="5" t="s">
        <v>49</v>
      </c>
      <c r="K73" s="2">
        <v>124</v>
      </c>
      <c r="L73" s="2">
        <v>19</v>
      </c>
      <c r="M73" s="2">
        <v>16</v>
      </c>
      <c r="N73" s="2">
        <v>39</v>
      </c>
    </row>
    <row r="74" spans="2:14" x14ac:dyDescent="0.45">
      <c r="J74" s="5" t="s">
        <v>30</v>
      </c>
      <c r="K74" s="2">
        <v>130</v>
      </c>
      <c r="L74" s="2">
        <v>26</v>
      </c>
      <c r="M74" s="2">
        <v>17</v>
      </c>
      <c r="N74" s="2">
        <v>53</v>
      </c>
    </row>
    <row r="79" spans="2:14" x14ac:dyDescent="0.45">
      <c r="B79" t="s">
        <v>1391</v>
      </c>
      <c r="I79" t="s">
        <v>1413</v>
      </c>
    </row>
    <row r="80" spans="2:14" x14ac:dyDescent="0.45">
      <c r="B80" t="s">
        <v>1385</v>
      </c>
      <c r="I80" t="s">
        <v>1412</v>
      </c>
    </row>
    <row r="81" spans="2:12" x14ac:dyDescent="0.45">
      <c r="B81" s="3" t="s">
        <v>1372</v>
      </c>
      <c r="C81" t="s">
        <v>1370</v>
      </c>
      <c r="D81" t="s">
        <v>1365</v>
      </c>
      <c r="E81" t="s">
        <v>1387</v>
      </c>
      <c r="F81" t="s">
        <v>1366</v>
      </c>
      <c r="G81" t="s">
        <v>1383</v>
      </c>
      <c r="I81" s="3" t="s">
        <v>1372</v>
      </c>
      <c r="J81" t="s">
        <v>1370</v>
      </c>
      <c r="K81" t="s">
        <v>1365</v>
      </c>
      <c r="L81" t="s">
        <v>1383</v>
      </c>
    </row>
    <row r="82" spans="2:12" x14ac:dyDescent="0.45">
      <c r="B82" s="5" t="s">
        <v>24</v>
      </c>
      <c r="C82" s="2">
        <v>0.219</v>
      </c>
      <c r="D82" s="2">
        <v>20008.09</v>
      </c>
      <c r="E82" s="2">
        <v>0.24443786629475028</v>
      </c>
      <c r="F82" s="2">
        <v>0.69714599303135893</v>
      </c>
      <c r="G82" s="2">
        <v>131.05022831050229</v>
      </c>
      <c r="I82" s="5" t="s">
        <v>24</v>
      </c>
      <c r="J82" s="2">
        <v>219</v>
      </c>
      <c r="K82" s="2">
        <v>20008.09</v>
      </c>
      <c r="L82" s="2">
        <v>131.05022831050229</v>
      </c>
    </row>
    <row r="83" spans="2:12" x14ac:dyDescent="0.45">
      <c r="B83" s="5" t="s">
        <v>17</v>
      </c>
      <c r="C83" s="2">
        <v>0.183</v>
      </c>
      <c r="D83" s="2">
        <v>7240.4499999999989</v>
      </c>
      <c r="E83" s="2">
        <v>8.8456226906907368E-2</v>
      </c>
      <c r="F83" s="2">
        <v>0.70159399224806196</v>
      </c>
      <c r="G83" s="2">
        <v>56.393442622950822</v>
      </c>
      <c r="I83" s="5" t="s">
        <v>17</v>
      </c>
      <c r="J83" s="2">
        <v>183</v>
      </c>
      <c r="K83" s="2">
        <v>7240.4499999999989</v>
      </c>
      <c r="L83" s="2">
        <v>56.393442622950822</v>
      </c>
    </row>
    <row r="84" spans="2:12" x14ac:dyDescent="0.45">
      <c r="B84" s="5" t="s">
        <v>67</v>
      </c>
      <c r="C84" s="2">
        <v>0.17399999999999999</v>
      </c>
      <c r="D84" s="2">
        <v>7813.3499999999976</v>
      </c>
      <c r="E84" s="2">
        <v>9.5455318454389523E-2</v>
      </c>
      <c r="F84" s="2">
        <v>0.69341054313099015</v>
      </c>
      <c r="G84" s="2">
        <v>64.758620689655174</v>
      </c>
      <c r="I84" s="5" t="s">
        <v>67</v>
      </c>
      <c r="J84" s="2">
        <v>174</v>
      </c>
      <c r="K84" s="2">
        <v>7813.3499999999976</v>
      </c>
      <c r="L84" s="2">
        <v>64.758620689655174</v>
      </c>
    </row>
    <row r="85" spans="2:12" x14ac:dyDescent="0.45">
      <c r="B85" s="5" t="s">
        <v>50</v>
      </c>
      <c r="C85" s="2">
        <v>0.19800000000000001</v>
      </c>
      <c r="D85" s="2">
        <v>11561.21</v>
      </c>
      <c r="E85" s="2">
        <v>0.14124274251992716</v>
      </c>
      <c r="F85" s="2">
        <v>0.69687823990355635</v>
      </c>
      <c r="G85" s="2">
        <v>83.787878787878782</v>
      </c>
      <c r="I85" s="5" t="s">
        <v>50</v>
      </c>
      <c r="J85" s="2">
        <v>198</v>
      </c>
      <c r="K85" s="2">
        <v>11561.21</v>
      </c>
      <c r="L85" s="2">
        <v>83.787878787878782</v>
      </c>
    </row>
    <row r="86" spans="2:12" x14ac:dyDescent="0.45">
      <c r="B86" s="5" t="s">
        <v>31</v>
      </c>
      <c r="C86" s="2">
        <v>0.22600000000000001</v>
      </c>
      <c r="D86" s="2">
        <v>35230.37999999999</v>
      </c>
      <c r="E86" s="2">
        <v>0.43040784582402625</v>
      </c>
      <c r="F86" s="2">
        <v>0.69901547619047599</v>
      </c>
      <c r="G86" s="2">
        <v>223.00884955752213</v>
      </c>
      <c r="I86" s="5" t="s">
        <v>31</v>
      </c>
      <c r="J86" s="2">
        <v>226</v>
      </c>
      <c r="K86" s="2">
        <v>35230.37999999999</v>
      </c>
      <c r="L86" s="2">
        <v>223.00884955752213</v>
      </c>
    </row>
    <row r="89" spans="2:12" x14ac:dyDescent="0.45">
      <c r="B89" t="s">
        <v>1390</v>
      </c>
    </row>
    <row r="90" spans="2:12" x14ac:dyDescent="0.45">
      <c r="B90" t="s">
        <v>1426</v>
      </c>
      <c r="G90" t="s">
        <v>1406</v>
      </c>
    </row>
    <row r="91" spans="2:12" x14ac:dyDescent="0.45">
      <c r="B91" s="3" t="s">
        <v>2</v>
      </c>
      <c r="C91" t="s">
        <v>1411</v>
      </c>
      <c r="D91" t="s">
        <v>1410</v>
      </c>
      <c r="G91" s="3" t="s">
        <v>1372</v>
      </c>
      <c r="H91" t="s">
        <v>1383</v>
      </c>
    </row>
    <row r="92" spans="2:12" x14ac:dyDescent="0.45">
      <c r="B92" t="s">
        <v>16</v>
      </c>
      <c r="C92" s="2">
        <v>7240.4499999999989</v>
      </c>
      <c r="D92" s="4">
        <v>8.8456226906907326E-2</v>
      </c>
      <c r="G92" s="5" t="s">
        <v>24</v>
      </c>
      <c r="H92" s="2">
        <v>131.05022831050229</v>
      </c>
    </row>
    <row r="93" spans="2:12" x14ac:dyDescent="0.45">
      <c r="B93" t="s">
        <v>66</v>
      </c>
      <c r="C93" s="2">
        <v>7813.3499999999976</v>
      </c>
      <c r="D93" s="4">
        <v>0.18391154536129678</v>
      </c>
      <c r="G93" s="5" t="s">
        <v>17</v>
      </c>
      <c r="H93" s="2">
        <v>56.393442622950822</v>
      </c>
    </row>
    <row r="94" spans="2:12" x14ac:dyDescent="0.45">
      <c r="B94" t="s">
        <v>49</v>
      </c>
      <c r="C94" s="2">
        <v>11561.21</v>
      </c>
      <c r="D94" s="4">
        <v>0.32515428788122386</v>
      </c>
      <c r="G94" s="5" t="s">
        <v>67</v>
      </c>
      <c r="H94" s="2">
        <v>64.758620689655174</v>
      </c>
    </row>
    <row r="95" spans="2:12" x14ac:dyDescent="0.45">
      <c r="B95" t="s">
        <v>23</v>
      </c>
      <c r="C95" s="2">
        <v>20008.09</v>
      </c>
      <c r="D95" s="4">
        <v>0.56959215417597397</v>
      </c>
      <c r="G95" s="5" t="s">
        <v>50</v>
      </c>
      <c r="H95" s="2">
        <v>83.787878787878782</v>
      </c>
    </row>
    <row r="96" spans="2:12" x14ac:dyDescent="0.45">
      <c r="B96" t="s">
        <v>30</v>
      </c>
      <c r="C96" s="2">
        <v>35230.37999999999</v>
      </c>
      <c r="D96" s="4">
        <v>1</v>
      </c>
      <c r="G96" s="5" t="s">
        <v>31</v>
      </c>
      <c r="H96" s="2">
        <v>223.00884955752213</v>
      </c>
    </row>
    <row r="102" spans="2:8" x14ac:dyDescent="0.45">
      <c r="B102" t="s">
        <v>1392</v>
      </c>
      <c r="G102" t="s">
        <v>1407</v>
      </c>
    </row>
    <row r="104" spans="2:8" x14ac:dyDescent="0.45">
      <c r="B104" t="s">
        <v>1393</v>
      </c>
      <c r="G104" t="s">
        <v>1416</v>
      </c>
    </row>
    <row r="105" spans="2:8" x14ac:dyDescent="0.45">
      <c r="B105" s="3" t="s">
        <v>1372</v>
      </c>
      <c r="C105" t="s">
        <v>1364</v>
      </c>
      <c r="G105" s="3" t="s">
        <v>1372</v>
      </c>
      <c r="H105" t="s">
        <v>1364</v>
      </c>
    </row>
    <row r="106" spans="2:8" x14ac:dyDescent="0.45">
      <c r="B106" s="5" t="s">
        <v>1394</v>
      </c>
      <c r="C106" s="2">
        <v>12522</v>
      </c>
      <c r="G106" s="5" t="s">
        <v>333</v>
      </c>
      <c r="H106" s="2">
        <v>2050</v>
      </c>
    </row>
    <row r="107" spans="2:8" x14ac:dyDescent="0.45">
      <c r="B107" s="5" t="s">
        <v>1395</v>
      </c>
      <c r="C107" s="2">
        <v>9126</v>
      </c>
      <c r="G107" s="5" t="s">
        <v>52</v>
      </c>
      <c r="H107" s="2">
        <v>2077</v>
      </c>
    </row>
    <row r="108" spans="2:8" x14ac:dyDescent="0.45">
      <c r="B108" s="5" t="s">
        <v>1396</v>
      </c>
      <c r="C108" s="2">
        <v>10068</v>
      </c>
      <c r="G108" s="5" t="s">
        <v>100</v>
      </c>
      <c r="H108" s="2">
        <v>2230</v>
      </c>
    </row>
    <row r="109" spans="2:8" x14ac:dyDescent="0.45">
      <c r="B109" s="5" t="s">
        <v>1397</v>
      </c>
      <c r="C109" s="2">
        <v>11214</v>
      </c>
      <c r="G109" s="5" t="s">
        <v>319</v>
      </c>
      <c r="H109" s="2">
        <v>2283</v>
      </c>
    </row>
    <row r="110" spans="2:8" x14ac:dyDescent="0.45">
      <c r="B110" s="5" t="s">
        <v>1398</v>
      </c>
      <c r="C110" s="2">
        <v>11006</v>
      </c>
      <c r="G110" s="5" t="s">
        <v>128</v>
      </c>
      <c r="H110" s="2">
        <v>2374</v>
      </c>
    </row>
    <row r="111" spans="2:8" x14ac:dyDescent="0.45">
      <c r="B111" s="5" t="s">
        <v>1399</v>
      </c>
      <c r="C111" s="2">
        <v>7062</v>
      </c>
      <c r="G111" s="5" t="s">
        <v>143</v>
      </c>
      <c r="H111" s="2">
        <v>2490</v>
      </c>
    </row>
    <row r="112" spans="2:8" x14ac:dyDescent="0.45">
      <c r="B112" s="5" t="s">
        <v>1400</v>
      </c>
      <c r="C112" s="2">
        <v>9817</v>
      </c>
      <c r="G112" s="5" t="s">
        <v>210</v>
      </c>
      <c r="H112" s="2">
        <v>2496</v>
      </c>
    </row>
    <row r="113" spans="2:8" x14ac:dyDescent="0.45">
      <c r="B113" s="5" t="s">
        <v>1401</v>
      </c>
      <c r="C113" s="2">
        <v>9506</v>
      </c>
      <c r="G113" s="5" t="s">
        <v>357</v>
      </c>
      <c r="H113" s="2">
        <v>2588</v>
      </c>
    </row>
    <row r="114" spans="2:8" x14ac:dyDescent="0.45">
      <c r="B114" s="5" t="s">
        <v>1402</v>
      </c>
      <c r="C114" s="2">
        <v>7099</v>
      </c>
      <c r="G114" s="5" t="s">
        <v>167</v>
      </c>
      <c r="H114" s="2">
        <v>2808</v>
      </c>
    </row>
    <row r="115" spans="2:8" x14ac:dyDescent="0.45">
      <c r="B115" s="5" t="s">
        <v>1403</v>
      </c>
      <c r="C115" s="2">
        <v>11384</v>
      </c>
      <c r="G115" s="5" t="s">
        <v>93</v>
      </c>
      <c r="H115" s="2">
        <v>3215</v>
      </c>
    </row>
    <row r="116" spans="2:8" x14ac:dyDescent="0.45">
      <c r="B116" s="5" t="s">
        <v>1404</v>
      </c>
      <c r="C116" s="2">
        <v>8308</v>
      </c>
    </row>
    <row r="117" spans="2:8" x14ac:dyDescent="0.45">
      <c r="B117" s="5" t="s">
        <v>1405</v>
      </c>
      <c r="C117" s="2">
        <v>10166</v>
      </c>
    </row>
    <row r="122" spans="2:8" x14ac:dyDescent="0.45">
      <c r="B122" t="s">
        <v>1417</v>
      </c>
    </row>
    <row r="123" spans="2:8" x14ac:dyDescent="0.45">
      <c r="B123" s="3" t="s">
        <v>3</v>
      </c>
      <c r="C123" t="s">
        <v>1370</v>
      </c>
      <c r="D123" t="s">
        <v>1420</v>
      </c>
      <c r="E123" t="s">
        <v>1409</v>
      </c>
    </row>
    <row r="124" spans="2:8" x14ac:dyDescent="0.45">
      <c r="B124" t="s">
        <v>24</v>
      </c>
      <c r="C124" s="2">
        <v>219</v>
      </c>
      <c r="D124" s="2">
        <v>11</v>
      </c>
      <c r="E124" s="7">
        <f>D124/C124</f>
        <v>5.0228310502283102E-2</v>
      </c>
    </row>
    <row r="125" spans="2:8" x14ac:dyDescent="0.45">
      <c r="B125" t="s">
        <v>17</v>
      </c>
      <c r="C125" s="2">
        <v>183</v>
      </c>
      <c r="D125" s="2">
        <v>15</v>
      </c>
      <c r="E125" s="7">
        <f>D125/C125</f>
        <v>8.1967213114754092E-2</v>
      </c>
    </row>
    <row r="126" spans="2:8" x14ac:dyDescent="0.45">
      <c r="B126" t="s">
        <v>67</v>
      </c>
      <c r="C126" s="2">
        <v>174</v>
      </c>
      <c r="D126" s="2">
        <v>13</v>
      </c>
      <c r="E126" s="7">
        <f>D126/C126</f>
        <v>7.4712643678160925E-2</v>
      </c>
    </row>
    <row r="127" spans="2:8" x14ac:dyDescent="0.45">
      <c r="B127" t="s">
        <v>50</v>
      </c>
      <c r="C127" s="2">
        <v>198</v>
      </c>
      <c r="D127" s="2">
        <v>16</v>
      </c>
      <c r="E127" s="7">
        <f>D127/C127</f>
        <v>8.0808080808080815E-2</v>
      </c>
    </row>
    <row r="128" spans="2:8" x14ac:dyDescent="0.45">
      <c r="B128" t="s">
        <v>31</v>
      </c>
      <c r="C128" s="2">
        <v>226</v>
      </c>
      <c r="D128" s="2">
        <v>17</v>
      </c>
      <c r="E128" s="7">
        <f>D128/C128</f>
        <v>7.5221238938053103E-2</v>
      </c>
    </row>
    <row r="134" spans="2:5" x14ac:dyDescent="0.45">
      <c r="B134" t="s">
        <v>1421</v>
      </c>
    </row>
    <row r="135" spans="2:5" x14ac:dyDescent="0.45">
      <c r="B135" s="3" t="s">
        <v>3</v>
      </c>
      <c r="C135" t="s">
        <v>1370</v>
      </c>
      <c r="D135" t="s">
        <v>1422</v>
      </c>
      <c r="E135" t="s">
        <v>1423</v>
      </c>
    </row>
    <row r="136" spans="2:5" x14ac:dyDescent="0.45">
      <c r="B136" t="s">
        <v>24</v>
      </c>
      <c r="C136" s="2">
        <v>219</v>
      </c>
      <c r="D136" s="2">
        <v>133</v>
      </c>
      <c r="E136">
        <f>D136/C136</f>
        <v>0.60730593607305938</v>
      </c>
    </row>
    <row r="137" spans="2:5" x14ac:dyDescent="0.45">
      <c r="B137" t="s">
        <v>17</v>
      </c>
      <c r="C137" s="2">
        <v>183</v>
      </c>
      <c r="D137" s="2">
        <v>106</v>
      </c>
      <c r="E137">
        <f t="shared" ref="E137:E140" si="5">D137/C137</f>
        <v>0.57923497267759561</v>
      </c>
    </row>
    <row r="138" spans="2:5" x14ac:dyDescent="0.45">
      <c r="B138" t="s">
        <v>67</v>
      </c>
      <c r="C138" s="2">
        <v>174</v>
      </c>
      <c r="D138" s="2">
        <v>109</v>
      </c>
      <c r="E138">
        <f t="shared" si="5"/>
        <v>0.62643678160919536</v>
      </c>
    </row>
    <row r="139" spans="2:5" x14ac:dyDescent="0.45">
      <c r="B139" t="s">
        <v>50</v>
      </c>
      <c r="C139" s="2">
        <v>198</v>
      </c>
      <c r="D139" s="2">
        <v>124</v>
      </c>
      <c r="E139">
        <f t="shared" si="5"/>
        <v>0.6262626262626263</v>
      </c>
    </row>
    <row r="140" spans="2:5" x14ac:dyDescent="0.45">
      <c r="B140" t="s">
        <v>31</v>
      </c>
      <c r="C140" s="2">
        <v>226</v>
      </c>
      <c r="D140" s="2">
        <v>130</v>
      </c>
      <c r="E140">
        <f t="shared" si="5"/>
        <v>0.5752212389380531</v>
      </c>
    </row>
    <row r="142" spans="2:5" x14ac:dyDescent="0.45">
      <c r="B142" s="3" t="s">
        <v>9</v>
      </c>
      <c r="C142" t="s">
        <v>42</v>
      </c>
    </row>
    <row r="144" spans="2:5" x14ac:dyDescent="0.45">
      <c r="B144" s="3" t="s">
        <v>3</v>
      </c>
      <c r="C144" t="s">
        <v>1370</v>
      </c>
      <c r="D144" t="s">
        <v>1424</v>
      </c>
      <c r="E144" t="s">
        <v>1409</v>
      </c>
    </row>
    <row r="145" spans="2:8" x14ac:dyDescent="0.45">
      <c r="B145" t="s">
        <v>24</v>
      </c>
      <c r="C145" s="2">
        <v>11</v>
      </c>
      <c r="D145">
        <f>COUNTIF(Greenleaf[Product Category], B145)</f>
        <v>219</v>
      </c>
      <c r="E145">
        <f>C145/D145</f>
        <v>5.0228310502283102E-2</v>
      </c>
    </row>
    <row r="146" spans="2:8" x14ac:dyDescent="0.45">
      <c r="B146" t="s">
        <v>17</v>
      </c>
      <c r="C146" s="2">
        <v>15</v>
      </c>
      <c r="D146">
        <f>COUNTIF(Greenleaf[Product Category], B146)</f>
        <v>183</v>
      </c>
      <c r="E146">
        <f t="shared" ref="E146:E149" si="6">C146/D146</f>
        <v>8.1967213114754092E-2</v>
      </c>
    </row>
    <row r="147" spans="2:8" x14ac:dyDescent="0.45">
      <c r="B147" t="s">
        <v>67</v>
      </c>
      <c r="C147" s="2">
        <v>13</v>
      </c>
      <c r="D147">
        <f>COUNTIF(Greenleaf[Product Category], B147)</f>
        <v>174</v>
      </c>
      <c r="E147">
        <f t="shared" si="6"/>
        <v>7.4712643678160925E-2</v>
      </c>
    </row>
    <row r="148" spans="2:8" x14ac:dyDescent="0.45">
      <c r="B148" t="s">
        <v>50</v>
      </c>
      <c r="C148" s="2">
        <v>16</v>
      </c>
      <c r="D148">
        <f>COUNTIF(Greenleaf[Product Category], B148)</f>
        <v>198</v>
      </c>
      <c r="E148">
        <f t="shared" si="6"/>
        <v>8.0808080808080815E-2</v>
      </c>
    </row>
    <row r="149" spans="2:8" x14ac:dyDescent="0.45">
      <c r="B149" t="s">
        <v>31</v>
      </c>
      <c r="C149" s="2">
        <v>17</v>
      </c>
      <c r="D149">
        <f>COUNTIF(Greenleaf[Product Category], B149)</f>
        <v>226</v>
      </c>
      <c r="E149">
        <f t="shared" si="6"/>
        <v>7.5221238938053103E-2</v>
      </c>
    </row>
    <row r="154" spans="2:8" x14ac:dyDescent="0.45">
      <c r="E154" t="s">
        <v>2630</v>
      </c>
    </row>
    <row r="157" spans="2:8" x14ac:dyDescent="0.45">
      <c r="B157" t="s">
        <v>2627</v>
      </c>
      <c r="F157" t="s">
        <v>2628</v>
      </c>
    </row>
    <row r="159" spans="2:8" x14ac:dyDescent="0.45">
      <c r="B159" s="3" t="s">
        <v>2631</v>
      </c>
      <c r="C159" t="s">
        <v>1364</v>
      </c>
      <c r="D159" t="s">
        <v>2627</v>
      </c>
      <c r="F159" s="3" t="s">
        <v>2631</v>
      </c>
      <c r="G159" t="s">
        <v>1383</v>
      </c>
      <c r="H159" t="s">
        <v>2628</v>
      </c>
    </row>
    <row r="160" spans="2:8" x14ac:dyDescent="0.45">
      <c r="B160" t="s">
        <v>1394</v>
      </c>
      <c r="C160" s="2">
        <v>12522</v>
      </c>
      <c r="D160" s="4"/>
      <c r="F160" t="s">
        <v>1394</v>
      </c>
      <c r="G160" s="2">
        <v>113.83636363636364</v>
      </c>
      <c r="H160" s="4"/>
    </row>
    <row r="161" spans="2:8" x14ac:dyDescent="0.45">
      <c r="B161" t="s">
        <v>1395</v>
      </c>
      <c r="C161" s="2">
        <v>9126</v>
      </c>
      <c r="D161" s="4">
        <v>-0.27120268327743174</v>
      </c>
      <c r="F161" t="s">
        <v>1395</v>
      </c>
      <c r="G161" s="2">
        <v>136.20895522388059</v>
      </c>
      <c r="H161" s="4">
        <v>0.19653290805197768</v>
      </c>
    </row>
    <row r="162" spans="2:8" x14ac:dyDescent="0.45">
      <c r="B162" t="s">
        <v>1396</v>
      </c>
      <c r="C162" s="2">
        <v>10068</v>
      </c>
      <c r="D162" s="4">
        <v>-0.19597508385241974</v>
      </c>
      <c r="F162" t="s">
        <v>1396</v>
      </c>
      <c r="G162" s="2">
        <v>105.97894736842105</v>
      </c>
      <c r="H162" s="4">
        <v>-6.9023781302801915E-2</v>
      </c>
    </row>
    <row r="163" spans="2:8" x14ac:dyDescent="0.45">
      <c r="B163" t="s">
        <v>1397</v>
      </c>
      <c r="C163" s="2">
        <v>11214</v>
      </c>
      <c r="D163" s="4">
        <v>-0.10445615716339243</v>
      </c>
      <c r="F163" t="s">
        <v>1397</v>
      </c>
      <c r="G163" s="2">
        <v>131.92941176470589</v>
      </c>
      <c r="H163" s="4">
        <v>0.15893909072972745</v>
      </c>
    </row>
    <row r="164" spans="2:8" x14ac:dyDescent="0.45">
      <c r="B164" t="s">
        <v>1398</v>
      </c>
      <c r="C164" s="2">
        <v>11006</v>
      </c>
      <c r="D164" s="4">
        <v>-0.12106692221689826</v>
      </c>
      <c r="F164" t="s">
        <v>1398</v>
      </c>
      <c r="G164" s="2">
        <v>119.6304347826087</v>
      </c>
      <c r="H164" s="4">
        <v>5.0898245175447734E-2</v>
      </c>
    </row>
    <row r="165" spans="2:8" x14ac:dyDescent="0.45">
      <c r="B165" t="s">
        <v>1399</v>
      </c>
      <c r="C165" s="2">
        <v>7062</v>
      </c>
      <c r="D165" s="4">
        <v>-0.43603258265452804</v>
      </c>
      <c r="F165" t="s">
        <v>1399</v>
      </c>
      <c r="G165" s="2">
        <v>107</v>
      </c>
      <c r="H165" s="4">
        <v>-6.0054304424213438E-2</v>
      </c>
    </row>
    <row r="166" spans="2:8" x14ac:dyDescent="0.45">
      <c r="B166" t="s">
        <v>1400</v>
      </c>
      <c r="C166" s="2">
        <v>9817</v>
      </c>
      <c r="D166" s="4">
        <v>-0.21601980514294841</v>
      </c>
      <c r="F166" t="s">
        <v>1400</v>
      </c>
      <c r="G166" s="2">
        <v>129.17105263157896</v>
      </c>
      <c r="H166" s="4">
        <v>0.13470817676678523</v>
      </c>
    </row>
    <row r="167" spans="2:8" x14ac:dyDescent="0.45">
      <c r="B167" t="s">
        <v>1401</v>
      </c>
      <c r="C167" s="2">
        <v>9506</v>
      </c>
      <c r="D167" s="4">
        <v>-0.24085609327583454</v>
      </c>
      <c r="F167" t="s">
        <v>1401</v>
      </c>
      <c r="G167" s="2">
        <v>102.21505376344086</v>
      </c>
      <c r="H167" s="4">
        <v>-0.10208785226173979</v>
      </c>
    </row>
    <row r="168" spans="2:8" x14ac:dyDescent="0.45">
      <c r="B168" t="s">
        <v>1402</v>
      </c>
      <c r="C168" s="2">
        <v>7099</v>
      </c>
      <c r="D168" s="4">
        <v>-0.43307778310174094</v>
      </c>
      <c r="F168" t="s">
        <v>1402</v>
      </c>
      <c r="G168" s="2">
        <v>107.56060606060606</v>
      </c>
      <c r="H168" s="4">
        <v>-5.5129638502901604E-2</v>
      </c>
    </row>
    <row r="169" spans="2:8" x14ac:dyDescent="0.45">
      <c r="B169" t="s">
        <v>1403</v>
      </c>
      <c r="C169" s="2">
        <v>11384</v>
      </c>
      <c r="D169" s="4">
        <v>-9.0880051110046323E-2</v>
      </c>
      <c r="F169" t="s">
        <v>1403</v>
      </c>
      <c r="G169" s="2">
        <v>122.40860215053763</v>
      </c>
      <c r="H169" s="4">
        <v>7.5303165353708568E-2</v>
      </c>
    </row>
    <row r="170" spans="2:8" x14ac:dyDescent="0.45">
      <c r="B170" t="s">
        <v>1404</v>
      </c>
      <c r="C170" s="2">
        <v>8308</v>
      </c>
      <c r="D170" s="4">
        <v>-0.33652771122823832</v>
      </c>
      <c r="F170" t="s">
        <v>1404</v>
      </c>
      <c r="G170" s="2">
        <v>107.8961038961039</v>
      </c>
      <c r="H170" s="4">
        <v>-5.2182444611769067E-2</v>
      </c>
    </row>
    <row r="171" spans="2:8" x14ac:dyDescent="0.45">
      <c r="B171" t="s">
        <v>1405</v>
      </c>
      <c r="C171" s="2">
        <v>10166</v>
      </c>
      <c r="D171" s="4">
        <v>-0.18814885800990258</v>
      </c>
      <c r="F171" t="s">
        <v>1405</v>
      </c>
      <c r="G171" s="2">
        <v>127.075</v>
      </c>
      <c r="H171" s="4">
        <v>0.11629532023638392</v>
      </c>
    </row>
    <row r="173" spans="2:8" x14ac:dyDescent="0.45">
      <c r="H173" t="str">
        <f>IF(B15&gt;=0,"▲ "&amp;TEXT(B15,"0.0%"),"▼ "&amp;TEXT(B15,"0.0%"))</f>
        <v>▲ Shipment Status (% of total orders)</v>
      </c>
    </row>
    <row r="175" spans="2:8" x14ac:dyDescent="0.45">
      <c r="B175" t="s">
        <v>2629</v>
      </c>
      <c r="F175" t="s">
        <v>2627</v>
      </c>
    </row>
    <row r="176" spans="2:8" x14ac:dyDescent="0.45">
      <c r="F176" s="10">
        <f>GETPIVOTDATA("Revenue MOM(%)",$D$171,"Months","Dec")</f>
        <v>-0.18814885800990258</v>
      </c>
    </row>
    <row r="177" spans="2:6" x14ac:dyDescent="0.45">
      <c r="B177" s="3" t="s">
        <v>2631</v>
      </c>
      <c r="C177" t="s">
        <v>1365</v>
      </c>
      <c r="D177" t="s">
        <v>2629</v>
      </c>
    </row>
    <row r="178" spans="2:6" x14ac:dyDescent="0.45">
      <c r="B178" t="s">
        <v>1394</v>
      </c>
      <c r="C178" s="2">
        <v>8724.489999999998</v>
      </c>
      <c r="D178" s="4"/>
    </row>
    <row r="179" spans="2:6" x14ac:dyDescent="0.45">
      <c r="B179" t="s">
        <v>1395</v>
      </c>
      <c r="C179" s="2">
        <v>6410.4100000000008</v>
      </c>
      <c r="D179" s="4">
        <v>-0.26523957274293369</v>
      </c>
      <c r="F179" t="s">
        <v>2628</v>
      </c>
    </row>
    <row r="180" spans="2:6" x14ac:dyDescent="0.45">
      <c r="B180" t="s">
        <v>1396</v>
      </c>
      <c r="C180" s="2">
        <v>7127.3600000000015</v>
      </c>
      <c r="D180" s="4">
        <v>-0.18306284951899732</v>
      </c>
      <c r="F180" s="10">
        <f>GETPIVOTDATA("Revenue MOM(%)",$D$171,"Months","Dec")</f>
        <v>-0.18814885800990258</v>
      </c>
    </row>
    <row r="181" spans="2:6" x14ac:dyDescent="0.45">
      <c r="B181" t="s">
        <v>1397</v>
      </c>
      <c r="C181" s="2">
        <v>7884.6000000000013</v>
      </c>
      <c r="D181" s="4">
        <v>-9.6268091315365928E-2</v>
      </c>
    </row>
    <row r="182" spans="2:6" x14ac:dyDescent="0.45">
      <c r="B182" t="s">
        <v>1398</v>
      </c>
      <c r="C182" s="2">
        <v>7638.4799999999987</v>
      </c>
      <c r="D182" s="4">
        <v>-0.12447833626951255</v>
      </c>
    </row>
    <row r="183" spans="2:6" x14ac:dyDescent="0.45">
      <c r="B183" t="s">
        <v>1399</v>
      </c>
      <c r="C183" s="2">
        <v>4911.8200000000015</v>
      </c>
      <c r="D183" s="4">
        <v>-0.4370077792512797</v>
      </c>
      <c r="F183" t="s">
        <v>2629</v>
      </c>
    </row>
    <row r="184" spans="2:6" x14ac:dyDescent="0.45">
      <c r="B184" t="s">
        <v>1400</v>
      </c>
      <c r="C184" s="2">
        <v>6738.8399999999983</v>
      </c>
      <c r="D184" s="4">
        <v>-0.22759496543637509</v>
      </c>
      <c r="F184" s="10">
        <f>GETPIVOTDATA("Profit MOM(%)",$D$189,"Months","Dec")</f>
        <v>-0.18643611259798556</v>
      </c>
    </row>
    <row r="185" spans="2:6" x14ac:dyDescent="0.45">
      <c r="B185" t="s">
        <v>1401</v>
      </c>
      <c r="C185" s="2">
        <v>6682.1999999999971</v>
      </c>
      <c r="D185" s="4">
        <v>-0.23408703545995255</v>
      </c>
    </row>
    <row r="186" spans="2:6" x14ac:dyDescent="0.45">
      <c r="B186" t="s">
        <v>1402</v>
      </c>
      <c r="C186" s="2">
        <v>5039.5700000000006</v>
      </c>
      <c r="D186" s="4">
        <v>-0.42236508953531932</v>
      </c>
    </row>
    <row r="187" spans="2:6" x14ac:dyDescent="0.45">
      <c r="B187" t="s">
        <v>1403</v>
      </c>
      <c r="C187" s="2">
        <v>7841.0100000000011</v>
      </c>
      <c r="D187" s="4">
        <v>-0.10126437190024827</v>
      </c>
    </row>
    <row r="188" spans="2:6" x14ac:dyDescent="0.45">
      <c r="B188" t="s">
        <v>1404</v>
      </c>
      <c r="C188" s="2">
        <v>5756.7699999999968</v>
      </c>
      <c r="D188" s="4">
        <v>-0.34015971134129352</v>
      </c>
    </row>
    <row r="189" spans="2:6" x14ac:dyDescent="0.45">
      <c r="B189" t="s">
        <v>1405</v>
      </c>
      <c r="C189" s="2">
        <v>7097.9299999999994</v>
      </c>
      <c r="D189" s="4">
        <v>-0.18643611259798556</v>
      </c>
    </row>
    <row r="194" spans="2:15" x14ac:dyDescent="0.45">
      <c r="B194" t="s">
        <v>2632</v>
      </c>
    </row>
    <row r="196" spans="2:15" x14ac:dyDescent="0.45">
      <c r="B196" s="3" t="s">
        <v>2627</v>
      </c>
      <c r="C196" s="3" t="s">
        <v>2631</v>
      </c>
    </row>
    <row r="197" spans="2:15" x14ac:dyDescent="0.45">
      <c r="B197" s="3" t="s">
        <v>3</v>
      </c>
      <c r="C197" t="s">
        <v>1394</v>
      </c>
      <c r="D197" t="s">
        <v>1395</v>
      </c>
      <c r="E197" t="s">
        <v>1396</v>
      </c>
      <c r="F197" t="s">
        <v>1397</v>
      </c>
      <c r="G197" t="s">
        <v>1398</v>
      </c>
      <c r="H197" t="s">
        <v>1399</v>
      </c>
      <c r="I197" t="s">
        <v>1400</v>
      </c>
      <c r="J197" t="s">
        <v>1401</v>
      </c>
      <c r="K197" t="s">
        <v>1402</v>
      </c>
      <c r="L197" t="s">
        <v>1403</v>
      </c>
      <c r="M197" t="s">
        <v>1404</v>
      </c>
      <c r="N197" t="s">
        <v>1405</v>
      </c>
      <c r="O197" t="s">
        <v>2634</v>
      </c>
    </row>
    <row r="198" spans="2:15" x14ac:dyDescent="0.45">
      <c r="B198" t="s">
        <v>17</v>
      </c>
      <c r="C198" s="4"/>
      <c r="D198" s="4">
        <v>-0.58064516129032262</v>
      </c>
      <c r="E198" s="4">
        <v>-0.24516129032258063</v>
      </c>
      <c r="F198" s="4">
        <v>-0.45806451612903226</v>
      </c>
      <c r="G198" s="4">
        <v>-0.54193548387096779</v>
      </c>
      <c r="H198" s="4">
        <v>-0.55483870967741933</v>
      </c>
      <c r="I198" s="4">
        <v>-0.69032258064516128</v>
      </c>
      <c r="J198" s="4">
        <v>-0.64516129032258063</v>
      </c>
      <c r="K198" s="4">
        <v>-0.25806451612903225</v>
      </c>
      <c r="L198" s="4">
        <v>-0.43225806451612903</v>
      </c>
      <c r="M198" s="4">
        <v>-0.28387096774193549</v>
      </c>
      <c r="N198" s="4">
        <v>-0.65161290322580645</v>
      </c>
      <c r="O198" s="4"/>
    </row>
    <row r="199" spans="2:15" x14ac:dyDescent="0.45">
      <c r="B199" t="s">
        <v>67</v>
      </c>
      <c r="C199" s="4"/>
      <c r="D199" s="4">
        <v>-0.2839506172839506</v>
      </c>
      <c r="E199" s="4">
        <v>-0.14814814814814814</v>
      </c>
      <c r="F199" s="4">
        <v>1.2345679012345678E-2</v>
      </c>
      <c r="G199" s="4">
        <v>0.14814814814814814</v>
      </c>
      <c r="H199" s="4">
        <v>0.43209876543209874</v>
      </c>
      <c r="I199" s="4">
        <v>-0.61728395061728392</v>
      </c>
      <c r="J199" s="4">
        <v>0.33333333333333331</v>
      </c>
      <c r="K199" s="4">
        <v>-4.9382716049382713E-2</v>
      </c>
      <c r="L199" s="4">
        <v>1.2345679012345678E-2</v>
      </c>
      <c r="M199" s="4">
        <v>-0.20987654320987653</v>
      </c>
      <c r="N199" s="4">
        <v>-3.7037037037037035E-2</v>
      </c>
      <c r="O199" s="4"/>
    </row>
    <row r="200" spans="2:15" x14ac:dyDescent="0.45">
      <c r="B200" t="s">
        <v>50</v>
      </c>
      <c r="C200" s="4"/>
      <c r="D200" s="4">
        <v>-0.38461538461538464</v>
      </c>
      <c r="E200" s="4">
        <v>-7.6923076923076927E-2</v>
      </c>
      <c r="F200" s="4">
        <v>-0.44230769230769229</v>
      </c>
      <c r="G200" s="4">
        <v>-9.6153846153846159E-3</v>
      </c>
      <c r="H200" s="4">
        <v>-0.27884615384615385</v>
      </c>
      <c r="I200" s="4">
        <v>0.27884615384615385</v>
      </c>
      <c r="J200" s="4">
        <v>-9.6153846153846159E-3</v>
      </c>
      <c r="K200" s="4">
        <v>-0.48076923076923078</v>
      </c>
      <c r="L200" s="4">
        <v>0.5</v>
      </c>
      <c r="M200" s="4">
        <v>-0.375</v>
      </c>
      <c r="N200" s="4">
        <v>-8.6538461538461536E-2</v>
      </c>
      <c r="O200" s="4"/>
    </row>
    <row r="201" spans="2:15" x14ac:dyDescent="0.45">
      <c r="B201" t="s">
        <v>24</v>
      </c>
      <c r="C201" s="4"/>
      <c r="D201" s="4">
        <v>-0.61764705882352944</v>
      </c>
      <c r="E201" s="4">
        <v>-0.30882352941176472</v>
      </c>
      <c r="F201" s="4">
        <v>-0.29411764705882354</v>
      </c>
      <c r="G201" s="4">
        <v>-0.38970588235294118</v>
      </c>
      <c r="H201" s="4">
        <v>-0.65441176470588236</v>
      </c>
      <c r="I201" s="4">
        <v>-0.22058823529411764</v>
      </c>
      <c r="J201" s="4">
        <v>-0.21323529411764705</v>
      </c>
      <c r="K201" s="4">
        <v>-0.3014705882352941</v>
      </c>
      <c r="L201" s="4">
        <v>-0.26470588235294118</v>
      </c>
      <c r="M201" s="4">
        <v>-6.6176470588235295E-2</v>
      </c>
      <c r="N201" s="4">
        <v>-0.22794117647058823</v>
      </c>
      <c r="O201" s="4"/>
    </row>
    <row r="202" spans="2:15" x14ac:dyDescent="0.45">
      <c r="B202" t="s">
        <v>31</v>
      </c>
      <c r="C202" s="4"/>
      <c r="D202" s="4">
        <v>9.5238095238095233E-2</v>
      </c>
      <c r="E202" s="4">
        <v>-0.15079365079365079</v>
      </c>
      <c r="F202" s="4">
        <v>0.21428571428571427</v>
      </c>
      <c r="G202" s="4">
        <v>0.10317460317460317</v>
      </c>
      <c r="H202" s="4">
        <v>-0.46825396825396826</v>
      </c>
      <c r="I202" s="4">
        <v>-0.14285714285714285</v>
      </c>
      <c r="J202" s="4">
        <v>-0.31746031746031744</v>
      </c>
      <c r="K202" s="4">
        <v>-0.63492063492063489</v>
      </c>
      <c r="L202" s="4">
        <v>-7.1428571428571425E-2</v>
      </c>
      <c r="M202" s="4">
        <v>-0.54761904761904767</v>
      </c>
      <c r="N202" s="4">
        <v>-7.9365079365079361E-2</v>
      </c>
      <c r="O202" s="4"/>
    </row>
    <row r="203" spans="2:15" x14ac:dyDescent="0.45">
      <c r="B203" t="s">
        <v>2634</v>
      </c>
      <c r="C203" s="4"/>
      <c r="D203" s="4">
        <v>-0.27120268327743174</v>
      </c>
      <c r="E203" s="4">
        <v>-0.19597508385241974</v>
      </c>
      <c r="F203" s="4">
        <v>-0.10445615716339243</v>
      </c>
      <c r="G203" s="4">
        <v>-0.12106692221689826</v>
      </c>
      <c r="H203" s="4">
        <v>-0.43603258265452804</v>
      </c>
      <c r="I203" s="4">
        <v>-0.21601980514294841</v>
      </c>
      <c r="J203" s="4">
        <v>-0.24085609327583454</v>
      </c>
      <c r="K203" s="4">
        <v>-0.43307778310174094</v>
      </c>
      <c r="L203" s="4">
        <v>-9.0880051110046323E-2</v>
      </c>
      <c r="M203" s="4">
        <v>-0.33652771122823832</v>
      </c>
      <c r="N203" s="4">
        <v>-0.18814885800990258</v>
      </c>
      <c r="O203" s="4"/>
    </row>
    <row r="285" spans="2:4" x14ac:dyDescent="0.45">
      <c r="B285" t="s">
        <v>1427</v>
      </c>
    </row>
    <row r="286" spans="2:4" x14ac:dyDescent="0.45">
      <c r="B286" s="3" t="s">
        <v>1372</v>
      </c>
      <c r="C286" t="s">
        <v>1370</v>
      </c>
      <c r="D286" t="s">
        <v>1373</v>
      </c>
    </row>
    <row r="287" spans="2:4" x14ac:dyDescent="0.45">
      <c r="B287" s="5" t="s">
        <v>134</v>
      </c>
      <c r="C287" s="2">
        <v>87</v>
      </c>
      <c r="D287" s="2">
        <v>8.6999999999999994E-2</v>
      </c>
    </row>
    <row r="288" spans="2:4" x14ac:dyDescent="0.45">
      <c r="B288" s="5" t="s">
        <v>38</v>
      </c>
      <c r="C288" s="2">
        <v>87</v>
      </c>
      <c r="D288" s="2">
        <v>8.6999999999999994E-2</v>
      </c>
    </row>
    <row r="289" spans="2:4" x14ac:dyDescent="0.45">
      <c r="B289" s="5" t="s">
        <v>74</v>
      </c>
      <c r="C289" s="2">
        <v>92</v>
      </c>
      <c r="D289" s="2">
        <v>9.1999999999999998E-2</v>
      </c>
    </row>
    <row r="290" spans="2:4" x14ac:dyDescent="0.45">
      <c r="B290" s="5" t="s">
        <v>59</v>
      </c>
      <c r="C290" s="2">
        <v>102</v>
      </c>
      <c r="D290" s="2">
        <v>0.10199999999999999</v>
      </c>
    </row>
    <row r="291" spans="2:4" x14ac:dyDescent="0.45">
      <c r="B291" s="5" t="s">
        <v>21</v>
      </c>
      <c r="C291" s="2">
        <v>100</v>
      </c>
      <c r="D291" s="2">
        <v>0.1</v>
      </c>
    </row>
    <row r="292" spans="2:4" x14ac:dyDescent="0.45">
      <c r="B292" s="5" t="s">
        <v>34</v>
      </c>
      <c r="C292" s="2">
        <v>94</v>
      </c>
      <c r="D292" s="2">
        <v>9.4E-2</v>
      </c>
    </row>
    <row r="293" spans="2:4" x14ac:dyDescent="0.45">
      <c r="B293" s="5" t="s">
        <v>28</v>
      </c>
      <c r="C293" s="2">
        <v>112</v>
      </c>
      <c r="D293" s="2">
        <v>0.112</v>
      </c>
    </row>
    <row r="294" spans="2:4" x14ac:dyDescent="0.45">
      <c r="B294" s="5" t="s">
        <v>43</v>
      </c>
      <c r="C294" s="2">
        <v>123</v>
      </c>
      <c r="D294" s="2">
        <v>0.123</v>
      </c>
    </row>
    <row r="295" spans="2:4" x14ac:dyDescent="0.45">
      <c r="B295" s="5" t="s">
        <v>70</v>
      </c>
      <c r="C295" s="2">
        <v>103</v>
      </c>
      <c r="D295" s="2">
        <v>0.10299999999999999</v>
      </c>
    </row>
    <row r="296" spans="2:4" x14ac:dyDescent="0.45">
      <c r="B296" s="5" t="s">
        <v>56</v>
      </c>
      <c r="C296" s="2">
        <v>100</v>
      </c>
      <c r="D296" s="2">
        <v>0.1</v>
      </c>
    </row>
    <row r="300" spans="2:4" x14ac:dyDescent="0.45">
      <c r="B300" t="s">
        <v>1427</v>
      </c>
    </row>
    <row r="301" spans="2:4" x14ac:dyDescent="0.45">
      <c r="B301" t="s">
        <v>1372</v>
      </c>
      <c r="C301" t="s">
        <v>1370</v>
      </c>
    </row>
    <row r="302" spans="2:4" x14ac:dyDescent="0.45">
      <c r="B302" t="s">
        <v>134</v>
      </c>
      <c r="C302">
        <v>87</v>
      </c>
    </row>
    <row r="303" spans="2:4" x14ac:dyDescent="0.45">
      <c r="B303" t="s">
        <v>38</v>
      </c>
      <c r="C303">
        <v>87</v>
      </c>
    </row>
    <row r="304" spans="2:4" x14ac:dyDescent="0.45">
      <c r="B304" t="s">
        <v>74</v>
      </c>
      <c r="C304">
        <v>92</v>
      </c>
    </row>
    <row r="305" spans="2:3" x14ac:dyDescent="0.45">
      <c r="B305" t="s">
        <v>59</v>
      </c>
      <c r="C305">
        <v>102</v>
      </c>
    </row>
    <row r="306" spans="2:3" x14ac:dyDescent="0.45">
      <c r="B306" t="s">
        <v>21</v>
      </c>
      <c r="C306">
        <v>100</v>
      </c>
    </row>
    <row r="307" spans="2:3" x14ac:dyDescent="0.45">
      <c r="B307" t="s">
        <v>34</v>
      </c>
      <c r="C307">
        <v>94</v>
      </c>
    </row>
    <row r="308" spans="2:3" x14ac:dyDescent="0.45">
      <c r="B308" t="s">
        <v>28</v>
      </c>
      <c r="C308">
        <v>112</v>
      </c>
    </row>
    <row r="309" spans="2:3" x14ac:dyDescent="0.45">
      <c r="B309" t="s">
        <v>43</v>
      </c>
      <c r="C309">
        <v>123</v>
      </c>
    </row>
    <row r="310" spans="2:3" x14ac:dyDescent="0.45">
      <c r="B310" t="s">
        <v>70</v>
      </c>
      <c r="C310">
        <v>103</v>
      </c>
    </row>
    <row r="311" spans="2:3" x14ac:dyDescent="0.45">
      <c r="B311" t="s">
        <v>56</v>
      </c>
      <c r="C311">
        <v>100</v>
      </c>
    </row>
  </sheetData>
  <conditionalFormatting sqref="B41:E41 B42:D51">
    <cfRule type="top10" priority="24" percent="1" rank="10"/>
  </conditionalFormatting>
  <conditionalFormatting sqref="C42:C51">
    <cfRule type="top10" priority="21" rank="5"/>
    <cfRule type="top10" priority="22" percent="1" rank="30"/>
  </conditionalFormatting>
  <conditionalFormatting sqref="D42:D51">
    <cfRule type="top10" priority="20" rank="5"/>
    <cfRule type="top10" priority="23" percent="1" rank="30"/>
  </conditionalFormatting>
  <conditionalFormatting sqref="E42:E51">
    <cfRule type="top10" priority="18" rank="5"/>
  </conditionalFormatting>
  <conditionalFormatting sqref="C69:C73">
    <cfRule type="top10" priority="15" percent="1" rank="50"/>
  </conditionalFormatting>
  <conditionalFormatting sqref="D69:D73">
    <cfRule type="top10" priority="14" percent="1" rank="50"/>
  </conditionalFormatting>
  <conditionalFormatting sqref="E69:E73">
    <cfRule type="top10" priority="13" percent="1" rank="50"/>
  </conditionalFormatting>
  <conditionalFormatting sqref="F69:F73">
    <cfRule type="top10" priority="12" percent="1" rank="50"/>
  </conditionalFormatting>
  <conditionalFormatting sqref="G69:G73">
    <cfRule type="top10" priority="11" percent="1" rank="50"/>
  </conditionalFormatting>
  <conditionalFormatting pivot="1" sqref="D82:D86">
    <cfRule type="top10" priority="10" percent="1" rank="5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05B06-09E0-461D-911A-21165B59B301}">
  <dimension ref="B3:J61"/>
  <sheetViews>
    <sheetView showGridLines="0" topLeftCell="A59" workbookViewId="0">
      <selection activeCell="T64" sqref="T64"/>
    </sheetView>
  </sheetViews>
  <sheetFormatPr defaultRowHeight="14.25" x14ac:dyDescent="0.45"/>
  <sheetData>
    <row r="3" spans="2:10" x14ac:dyDescent="0.45">
      <c r="B3" t="s">
        <v>1384</v>
      </c>
      <c r="J3" t="s">
        <v>1386</v>
      </c>
    </row>
    <row r="21" spans="2:10" x14ac:dyDescent="0.45">
      <c r="B21" t="s">
        <v>1388</v>
      </c>
      <c r="J21" t="s">
        <v>1389</v>
      </c>
    </row>
    <row r="40" spans="2:2" x14ac:dyDescent="0.45">
      <c r="B40" t="s">
        <v>1408</v>
      </c>
    </row>
    <row r="61" spans="2:10" x14ac:dyDescent="0.45">
      <c r="B61" t="s">
        <v>1425</v>
      </c>
      <c r="J61" t="s">
        <v>2633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D293F-2F53-413B-A5CD-65BC5810AEDA}">
  <sheetPr>
    <pageSetUpPr fitToPage="1"/>
  </sheetPr>
  <dimension ref="B3:M18"/>
  <sheetViews>
    <sheetView showGridLines="0" view="pageBreakPreview" topLeftCell="A5" zoomScaleNormal="100" zoomScaleSheetLayoutView="100" workbookViewId="0">
      <selection activeCell="A8" sqref="A8"/>
    </sheetView>
  </sheetViews>
  <sheetFormatPr defaultRowHeight="14.25" x14ac:dyDescent="0.45"/>
  <cols>
    <col min="2" max="13" width="15.59765625" customWidth="1"/>
  </cols>
  <sheetData>
    <row r="3" spans="2:13" ht="38" customHeight="1" x14ac:dyDescent="0.45">
      <c r="B3" s="1"/>
      <c r="C3" s="1"/>
      <c r="D3" s="1"/>
      <c r="E3" s="1"/>
      <c r="F3" s="1"/>
      <c r="G3" s="1"/>
      <c r="H3" s="1"/>
      <c r="I3" s="1"/>
      <c r="J3" s="1"/>
      <c r="K3" s="1"/>
      <c r="L3" s="1"/>
      <c r="M3" s="1"/>
    </row>
    <row r="4" spans="2:13" ht="38" customHeight="1" x14ac:dyDescent="0.45"/>
    <row r="5" spans="2:13" ht="38" customHeight="1" x14ac:dyDescent="0.45"/>
    <row r="6" spans="2:13" ht="38" customHeight="1" x14ac:dyDescent="0.45"/>
    <row r="7" spans="2:13" ht="38" customHeight="1" x14ac:dyDescent="0.45"/>
    <row r="8" spans="2:13" ht="38" customHeight="1" x14ac:dyDescent="0.45"/>
    <row r="9" spans="2:13" ht="38" customHeight="1" x14ac:dyDescent="0.45"/>
    <row r="10" spans="2:13" ht="38" customHeight="1" x14ac:dyDescent="0.45"/>
    <row r="11" spans="2:13" ht="38" customHeight="1" x14ac:dyDescent="0.45"/>
    <row r="12" spans="2:13" ht="38" customHeight="1" x14ac:dyDescent="0.45"/>
    <row r="13" spans="2:13" ht="38" customHeight="1" x14ac:dyDescent="0.45"/>
    <row r="14" spans="2:13" ht="38" customHeight="1" x14ac:dyDescent="0.45"/>
    <row r="15" spans="2:13" ht="38" customHeight="1" x14ac:dyDescent="0.45"/>
    <row r="16" spans="2:13" ht="38" customHeight="1" x14ac:dyDescent="0.45"/>
    <row r="17" ht="38" customHeight="1" x14ac:dyDescent="0.45"/>
    <row r="18" ht="38" customHeight="1" x14ac:dyDescent="0.45"/>
  </sheetData>
  <mergeCells count="1">
    <mergeCell ref="B3:M3"/>
  </mergeCells>
  <pageMargins left="0.7" right="0.7" top="0.75" bottom="0.75" header="0.3" footer="0.3"/>
  <pageSetup paperSize="13" scale="56" orientation="landscape"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A7671-FE59-43D7-A40D-6327E0CF6171}">
  <dimension ref="A1"/>
  <sheetViews>
    <sheetView showGridLines="0" tabSelected="1" zoomScaleNormal="100" workbookViewId="0">
      <selection activeCell="T25" sqref="T25"/>
    </sheetView>
  </sheetViews>
  <sheetFormatPr defaultRowHeight="14.25" x14ac:dyDescent="0.45"/>
  <cols>
    <col min="1" max="16384" width="9.06640625" style="12"/>
  </cols>
  <sheetData/>
  <conditionalFormatting sqref="S24">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Greenleaf_Working_Data</vt:lpstr>
      <vt:lpstr>Pivot Table &amp; Charts</vt:lpstr>
      <vt:lpstr>Charts</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Afolarin</dc:creator>
  <cp:lastModifiedBy>Deborah Afolarin</cp:lastModifiedBy>
  <cp:lastPrinted>2025-12-23T22:17:10Z</cp:lastPrinted>
  <dcterms:created xsi:type="dcterms:W3CDTF">2025-12-21T22:23:50Z</dcterms:created>
  <dcterms:modified xsi:type="dcterms:W3CDTF">2025-12-30T14:58:06Z</dcterms:modified>
</cp:coreProperties>
</file>